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1e2138306240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anh_muc_du_an" sheetId="1" r:id="Rf99ae7b1c12a4008"/>
    <x:sheet xmlns:r="http://schemas.openxmlformats.org/officeDocument/2006/relationships" name="02_Phap_ly" sheetId="2" r:id="Rf3bcebe3e3a240b5"/>
    <x:sheet xmlns:r="http://schemas.openxmlformats.org/officeDocument/2006/relationships" name="03_CAPEX" sheetId="3" r:id="R9102f5be065e481a"/>
    <x:sheet xmlns:r="http://schemas.openxmlformats.org/officeDocument/2006/relationships" name="04_Ban_hang" sheetId="4" r:id="R114092cecb5645cd"/>
    <x:sheet xmlns:r="http://schemas.openxmlformats.org/officeDocument/2006/relationships" name="05_Nguon_von" sheetId="5" r:id="Rfd13838b573a4db8"/>
    <x:sheet xmlns:r="http://schemas.openxmlformats.org/officeDocument/2006/relationships" name="06_Rui_ro" sheetId="6" r:id="Rb8bd73abae064d75"/>
    <x:sheet xmlns:r="http://schemas.openxmlformats.org/officeDocument/2006/relationships" name="07_Hanh_dong" sheetId="7" r:id="R272946b2e2a44f73"/>
    <x:sheet xmlns:r="http://schemas.openxmlformats.org/officeDocument/2006/relationships" name="08_Feasibility_MA" sheetId="8" r:id="R0f86f2a4e7414c37"/>
    <x:sheet xmlns:r="http://schemas.openxmlformats.org/officeDocument/2006/relationships" name="09_Dong_tien_24T" sheetId="9" r:id="R209667ce11b34a36"/>
    <x:sheet xmlns:r="http://schemas.openxmlformats.org/officeDocument/2006/relationships" name="10_Kich_ban" sheetId="10" r:id="Re71fc3db70994c94"/>
    <x:sheet xmlns:r="http://schemas.openxmlformats.org/officeDocument/2006/relationships" name="11_Phan_bo_von" sheetId="11" r:id="Ra7b410414a0e4017"/>
    <x:sheet xmlns:r="http://schemas.openxmlformats.org/officeDocument/2006/relationships" name="12_Cap_nhat_phap_ly" sheetId="12" r:id="R57569bc32bce4edb"/>
    <x:sheet xmlns:r="http://schemas.openxmlformats.org/officeDocument/2006/relationships" name="13_Checklist_phap_ly" sheetId="13" r:id="R6d1d70b96d4343d9"/>
    <x:sheet xmlns:r="http://schemas.openxmlformats.org/officeDocument/2006/relationships" name="14_Duong_gang_PL" sheetId="14" r:id="R235bbbfafdf8458a"/>
    <x:sheet xmlns:r="http://schemas.openxmlformats.org/officeDocument/2006/relationships" name="15_Phong_ho_so_PL" sheetId="15" r:id="R378c15cfa92a4c79"/>
    <x:sheet xmlns:r="http://schemas.openxmlformats.org/officeDocument/2006/relationships" name="16_Suc_khoe_du_an" sheetId="16" r:id="R9fb01cf9577346dd"/>
    <x:sheet xmlns:r="http://schemas.openxmlformats.org/officeDocument/2006/relationships" name="00_Huong_dan" sheetId="17" r:id="R343d926214c04280"/>
    <x:sheet xmlns:r="http://schemas.openxmlformats.org/officeDocument/2006/relationships" name="17_Gia_dinh_mo_hinh" sheetId="18" r:id="R5b3b53d80def4162"/>
    <x:sheet xmlns:r="http://schemas.openxmlformats.org/officeDocument/2006/relationships" name="18_Mo_hinh_60T" sheetId="19" r:id="R8ea986086ca6412d"/>
    <x:sheet xmlns:r="http://schemas.openxmlformats.org/officeDocument/2006/relationships" name="19_BCTC_du_an_5N" sheetId="20" r:id="R9d10cddaab544bd1"/>
    <x:sheet xmlns:r="http://schemas.openxmlformats.org/officeDocument/2006/relationships" name="20_Hop_nhat_cong_ty" sheetId="21" r:id="Rffd09cfb531e4a2d"/>
    <x:sheet xmlns:r="http://schemas.openxmlformats.org/officeDocument/2006/relationships" name="21_Truyen_dan_tac_dong" sheetId="22" r:id="Rcb3b7f1560ea4e52"/>
    <x:sheet xmlns:r="http://schemas.openxmlformats.org/officeDocument/2006/relationships" name="22_Ban_dieu_hanh" sheetId="23" r:id="R6d738d8453374311"/>
    <x:sheet xmlns:r="http://schemas.openxmlformats.org/officeDocument/2006/relationships" name="23_BCTC_Chi_tiet" sheetId="24" r:id="R2c7eac7408b44a9a"/>
    <x:sheet xmlns:r="http://schemas.openxmlformats.org/officeDocument/2006/relationships" name="24_B01_DN_CDKT" sheetId="25" r:id="R30590f7e8cd24ff2"/>
    <x:sheet xmlns:r="http://schemas.openxmlformats.org/officeDocument/2006/relationships" name="25_B02_DN_KQKD" sheetId="26" r:id="R88a86a11a4fc427e"/>
    <x:sheet xmlns:r="http://schemas.openxmlformats.org/officeDocument/2006/relationships" name="26_B03_DN_LCTT" sheetId="27" r:id="Re0ff5b2d5d2c425f"/>
    <x:sheet xmlns:r="http://schemas.openxmlformats.org/officeDocument/2006/relationships" name="27_B04_DN_Thuyet_minh" sheetId="28" r:id="Re2cbbd7f4dca4d64"/>
    <x:sheet xmlns:r="http://schemas.openxmlformats.org/officeDocument/2006/relationships" name="28_Kiem_tra_BCTC" sheetId="29" r:id="Rad7828c0454b4e14"/>
    <x:sheet xmlns:r="http://schemas.openxmlformats.org/officeDocument/2006/relationships" name="29_Danh_muc_phap_nhan" sheetId="30" r:id="R87518104ee2344a8"/>
    <x:sheet xmlns:r="http://schemas.openxmlformats.org/officeDocument/2006/relationships" name="30_Giao_dich_noi_bo" sheetId="31" r:id="R8294dbe56b4a4bee"/>
    <x:sheet xmlns:r="http://schemas.openxmlformats.org/officeDocument/2006/relationships" name="31_Loai_tru_hop_nhat" sheetId="32" r:id="Rffc717c437924f02"/>
    <x:sheet xmlns:r="http://schemas.openxmlformats.org/officeDocument/2006/relationships" name="32_Treasury_Cash_Pool" sheetId="33" r:id="R4ffadccace1b40f4"/>
    <x:sheet xmlns:r="http://schemas.openxmlformats.org/officeDocument/2006/relationships" name="33_No_vay_Covenant" sheetId="34" r:id="Ra3cf0d60acdb4af4"/>
    <x:sheet xmlns:r="http://schemas.openxmlformats.org/officeDocument/2006/relationships" name="34_Waterfall_Nguon_von" sheetId="35" r:id="Re4a26e2fd66e479d"/>
    <x:sheet xmlns:r="http://schemas.openxmlformats.org/officeDocument/2006/relationships" name="35_BCTC_Hop_nhat_Data" sheetId="36" r:id="R51c22d6e5b304cc4"/>
    <x:sheet xmlns:r="http://schemas.openxmlformats.org/officeDocument/2006/relationships" name="36_B01_DN_Hop_nhat" sheetId="37" r:id="Rccb16c55e856465d"/>
    <x:sheet xmlns:r="http://schemas.openxmlformats.org/officeDocument/2006/relationships" name="37_B02_DN_Hop_nhat" sheetId="38" r:id="R897303c79e984080"/>
    <x:sheet xmlns:r="http://schemas.openxmlformats.org/officeDocument/2006/relationships" name="38_B03_DN_Hop_nhat" sheetId="39" r:id="Rdc8943143bfc449a"/>
    <x:sheet xmlns:r="http://schemas.openxmlformats.org/officeDocument/2006/relationships" name="39_Quyet_dinh_TGD" sheetId="40" r:id="Rf0cb6cba065d4009"/>
    <x:sheet xmlns:r="http://schemas.openxmlformats.org/officeDocument/2006/relationships" name="40_Dashboard" sheetId="41" r:id="R4cfea666babf4422"/>
    <x:sheet xmlns:r="http://schemas.openxmlformats.org/officeDocument/2006/relationships" name="41_Actual_Theo_thang" sheetId="42" r:id="Rfefd114c95334c79"/>
    <x:sheet xmlns:r="http://schemas.openxmlformats.org/officeDocument/2006/relationships" name="42_Budget_vs_Actual" sheetId="43" r:id="Refe97c96eb964760"/>
    <x:sheet xmlns:r="http://schemas.openxmlformats.org/officeDocument/2006/relationships" name="43_Rolling_Forecast" sheetId="44" r:id="R010e4ff120094112"/>
    <x:sheet xmlns:r="http://schemas.openxmlformats.org/officeDocument/2006/relationships" name="44_Covenant_Forecast" sheetId="45" r:id="R46408120098345a6"/>
    <x:sheet xmlns:r="http://schemas.openxmlformats.org/officeDocument/2006/relationships" name="45_Phan_bo_von" sheetId="46" r:id="R717b751b014c430b"/>
    <x:sheet xmlns:r="http://schemas.openxmlformats.org/officeDocument/2006/relationships" name="46_Board_CFO_Pack" sheetId="47" r:id="Rdf8ed736c0ac438c"/>
    <x:sheet xmlns:r="http://schemas.openxmlformats.org/officeDocument/2006/relationships" name="47_Quan_ly_Phien_ban" sheetId="48" r:id="R258e79371f354fa1"/>
    <x:sheet xmlns:r="http://schemas.openxmlformats.org/officeDocument/2006/relationships" name="48_Workflow_Phe_duyet" sheetId="49" r:id="R3d7413f279894245"/>
    <x:sheet xmlns:r="http://schemas.openxmlformats.org/officeDocument/2006/relationships" name="49_Monthly_Close" sheetId="50" r:id="R21d68f5388984228"/>
    <x:sheet xmlns:r="http://schemas.openxmlformats.org/officeDocument/2006/relationships" name="50_Latest_Estimate" sheetId="51" r:id="R70bd023d24dc416f"/>
    <x:sheet xmlns:r="http://schemas.openxmlformats.org/officeDocument/2006/relationships" name="51_Working_Capital" sheetId="52" r:id="Rbd51628c35a74b22"/>
    <x:sheet xmlns:r="http://schemas.openxmlformats.org/officeDocument/2006/relationships" name="52_Ke_hoach_Thue" sheetId="53" r:id="Rb6b0014c664a4282"/>
    <x:sheet xmlns:r="http://schemas.openxmlformats.org/officeDocument/2006/relationships" name="53_Variance_Bridge" sheetId="54" r:id="R845164c60d324b0b"/>
    <x:sheet xmlns:r="http://schemas.openxmlformats.org/officeDocument/2006/relationships" name="54_Quan_tri_Du_lieu" sheetId="55" r:id="Rc81e9327fa7049cd"/>
    <x:sheet xmlns:r="http://schemas.openxmlformats.org/officeDocument/2006/relationships" name="55_Management_Report" sheetId="56" r:id="R826f6298893f4bb4"/>
    <x:sheet xmlns:r="http://schemas.openxmlformats.org/officeDocument/2006/relationships" name="56_Cau_hinh_Import" sheetId="57" r:id="Re5dbe785b5204488"/>
    <x:sheet xmlns:r="http://schemas.openxmlformats.org/officeDocument/2006/relationships" name="57_Tu_dien_Mapping" sheetId="58" r:id="R7a81d59ab6ab4a89"/>
    <x:sheet xmlns:r="http://schemas.openxmlformats.org/officeDocument/2006/relationships" name="58_Staging_Import" sheetId="59" r:id="R7321c759bdbd4fc2"/>
    <x:sheet xmlns:r="http://schemas.openxmlformats.org/officeDocument/2006/relationships" name="59_Doi_chieu_Du_lieu" sheetId="60" r:id="R0b0b6a3c22174ccf"/>
    <x:sheet xmlns:r="http://schemas.openxmlformats.org/officeDocument/2006/relationships" name="60_Audit_Trail" sheetId="61" r:id="R427ac9058cba466e"/>
    <x:sheet xmlns:r="http://schemas.openxmlformats.org/officeDocument/2006/relationships" name="61_Phan_quyen" sheetId="62" r:id="R5b2867a386474b1d"/>
    <x:sheet xmlns:r="http://schemas.openxmlformats.org/officeDocument/2006/relationships" name="62_Khoa_Ky" sheetId="63" r:id="Re13ada82f61f43b8"/>
    <x:sheet xmlns:r="http://schemas.openxmlformats.org/officeDocument/2006/relationships" name="63_Data_Pipeline" sheetId="64" r:id="R15be8b3dfbce4481"/>
    <x:sheet xmlns:r="http://schemas.openxmlformats.org/officeDocument/2006/relationships" name="64_GoLive_Readiness" sheetId="65" r:id="Rd4ca421f7d824cb5"/>
    <x:sheet xmlns:r="http://schemas.openxmlformats.org/officeDocument/2006/relationships" name="65_Operational_Control" sheetId="66" r:id="R924e0829357742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;[Red](#,##0);-"/>
    <x:numFmt numFmtId="201" formatCode="0%"/>
    <x:numFmt numFmtId="202" formatCode="mm/yyyy"/>
    <x:numFmt numFmtId="203" formatCode="dd/mm/yyyy"/>
    <x:numFmt numFmtId="204" formatCode="0.0%;[Red](0.0%);-"/>
    <x:numFmt numFmtId="205" formatCode="#,##0.0;[Red](#,##0.0);-"/>
    <x:numFmt numFmtId="206" formatCode="mmm-yy"/>
    <x:numFmt numFmtId="207" formatCode="0.0"/>
    <x:numFmt numFmtId="208" formatCode="0.00x"/>
    <x:numFmt numFmtId="209" formatCode="0"/>
    <x:numFmt numFmtId="210" formatCode="dd/mm/yyyy hh:mm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17365D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4" fillId="0" borderId="1" xfId="0" applyNumberFormat="1" applyFont="1" applyFill="1" applyBorder="1"/>
    <x:xf numFmtId="0" fontId="5" fillId="3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/>
    <x:xf numFmtId="202" fontId="4" fillId="0" borderId="1" xfId="0" applyNumberFormat="1" applyFont="1" applyFill="1" applyBorder="1" applyAlignment="1">
      <x:alignment wrapText="1"/>
    </x:xf>
    <x:xf numFmtId="202" fontId="4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1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205" fontId="6" fillId="0" borderId="0" xfId="0" applyNumberFormat="1" applyFont="1" applyFill="1" applyBorder="1"/>
    <x:xf numFmtId="206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7" fillId="0" borderId="0" xfId="0" applyNumberFormat="1" applyFont="1" applyFill="1" applyBorder="1"/>
    <x:xf numFmtId="0" fontId="7" fillId="0" borderId="0" xfId="0" applyNumberFormat="1" applyFont="1" applyFill="1" applyBorder="1"/>
    <x:xf numFmtId="205" fontId="7" fillId="0" borderId="0" xfId="0" applyNumberFormat="1" applyFont="1" applyFill="1" applyBorder="1"/>
    <x:xf numFmtId="204" fontId="0" fillId="0" borderId="0" xfId="0" applyNumberFormat="1" applyFont="1" applyFill="1" applyBorder="1"/>
    <x:xf numFmtId="207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1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208" fontId="0" fillId="0" borderId="0" xfId="0" applyNumberFormat="1" applyFont="1" applyFill="1" applyBorder="1"/>
    <x:xf numFmtId="208" fontId="6" fillId="0" borderId="0" xfId="0" applyNumberFormat="1" applyFont="1" applyFill="1" applyBorder="1"/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05" fontId="6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 applyAlignment="1">
      <x:alignment wrapText="1"/>
    </x:xf>
    <x:xf numFmtId="208" fontId="6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206" fontId="6" fillId="0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206" fontId="6" fillId="0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left"/>
    </x:xf>
    <x:xf numFmtId="0" fontId="1" fillId="13" borderId="0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209" fontId="0" fillId="0" borderId="0" xfId="0" applyNumberFormat="1" applyFont="1" applyFill="1" applyBorder="1"/>
    <x:xf numFmtId="204" fontId="0" fillId="15" borderId="0" xfId="0" applyNumberFormat="1" applyFont="1" applyFill="1" applyBorder="1"/>
    <x:xf numFmtId="205" fontId="0" fillId="15" borderId="0" xfId="0" applyNumberFormat="1" applyFont="1" applyFill="1" applyBorder="1"/>
    <x:xf numFmtId="204" fontId="6" fillId="15" borderId="0" xfId="0" applyNumberFormat="1" applyFont="1" applyFill="1" applyBorder="1"/>
    <x:xf numFmtId="205" fontId="6" fillId="15" borderId="0" xfId="0" applyNumberFormat="1" applyFont="1" applyFill="1" applyBorder="1"/>
    <x:xf numFmtId="0" fontId="0" fillId="16" borderId="0" xfId="0" applyNumberFormat="1" applyFont="1" applyFill="1" applyBorder="1"/>
    <x:xf numFmtId="0" fontId="8" fillId="16" borderId="0" xfId="0" applyNumberFormat="1" applyFont="1" applyFill="1" applyBorder="1"/>
    <x:xf numFmtId="0" fontId="1" fillId="13" borderId="0" xfId="0" applyNumberFormat="1" applyFont="1" applyFill="1" applyBorder="1" applyAlignment="1">
      <x:alignment horizontal="left" vertical="center" wrapText="1"/>
    </x:xf>
    <x:xf numFmtId="206" fontId="0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 applyAlignment="1">
      <x:alignment wrapText="1"/>
    </x:xf>
    <x:xf numFmtId="204" fontId="6" fillId="15" borderId="0" xfId="0" applyNumberFormat="1" applyFont="1" applyFill="1" applyBorder="1" applyAlignment="1">
      <x:alignment wrapText="1"/>
    </x:xf>
    <x:xf numFmtId="205" fontId="6" fillId="15" borderId="0" xfId="0" applyNumberFormat="1" applyFont="1" applyFill="1" applyBorder="1" applyAlignment="1">
      <x:alignment wrapText="1"/>
    </x:xf>
    <x:xf numFmtId="0" fontId="8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2" fillId="18" borderId="0" xfId="0" applyNumberFormat="1" applyFont="1" applyFill="1" applyBorder="1" applyAlignment="1">
      <x:alignment horizontal="center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210" fontId="0" fillId="0" borderId="0" xfId="0" applyNumberFormat="1" applyFont="1" applyFill="1" applyBorder="1"/>
    <x:xf numFmtId="0" fontId="1" fillId="19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1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  <x:dxf>
      <x:font>
        <x:b/>
        <x:color rgb="FFB54708"/>
      </x:font>
      <x:fill>
        <x:patternFill>
          <x:bgColor rgb="FFFFF4E5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B54708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27A48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B54708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B54708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9226d89c4e4973" /><Relationship Type="http://schemas.openxmlformats.org/officeDocument/2006/relationships/theme" Target="/xl/theme/theme1.xml" Id="R26a3837053c84fd3" /><Relationship Type="http://schemas.openxmlformats.org/officeDocument/2006/relationships/sharedStrings" Target="/xl/sharedStrings.xml" Id="R321c8d2e251c46ec" /><Relationship Type="http://schemas.openxmlformats.org/officeDocument/2006/relationships/worksheet" Target="/xl/worksheets/sheet1.xml" Id="Rf99ae7b1c12a4008" /><Relationship Type="http://schemas.openxmlformats.org/officeDocument/2006/relationships/worksheet" Target="/xl/worksheets/sheet2.xml" Id="Rf3bcebe3e3a240b5" /><Relationship Type="http://schemas.openxmlformats.org/officeDocument/2006/relationships/worksheet" Target="/xl/worksheets/sheet3.xml" Id="R9102f5be065e481a" /><Relationship Type="http://schemas.openxmlformats.org/officeDocument/2006/relationships/worksheet" Target="/xl/worksheets/sheet4.xml" Id="R114092cecb5645cd" /><Relationship Type="http://schemas.openxmlformats.org/officeDocument/2006/relationships/worksheet" Target="/xl/worksheets/sheet5.xml" Id="Rfd13838b573a4db8" /><Relationship Type="http://schemas.openxmlformats.org/officeDocument/2006/relationships/worksheet" Target="/xl/worksheets/sheet6.xml" Id="Rb8bd73abae064d75" /><Relationship Type="http://schemas.openxmlformats.org/officeDocument/2006/relationships/worksheet" Target="/xl/worksheets/sheet7.xml" Id="R272946b2e2a44f73" /><Relationship Type="http://schemas.openxmlformats.org/officeDocument/2006/relationships/worksheet" Target="/xl/worksheets/sheet8.xml" Id="R0f86f2a4e7414c37" /><Relationship Type="http://schemas.openxmlformats.org/officeDocument/2006/relationships/worksheet" Target="/xl/worksheets/sheet9.xml" Id="R209667ce11b34a36" /><Relationship Type="http://schemas.openxmlformats.org/officeDocument/2006/relationships/worksheet" Target="/xl/worksheets/sheet10.xml" Id="Re71fc3db70994c94" /><Relationship Type="http://schemas.openxmlformats.org/officeDocument/2006/relationships/worksheet" Target="/xl/worksheets/sheet11.xml" Id="Ra7b410414a0e4017" /><Relationship Type="http://schemas.openxmlformats.org/officeDocument/2006/relationships/worksheet" Target="/xl/worksheets/sheet12.xml" Id="R57569bc32bce4edb" /><Relationship Type="http://schemas.openxmlformats.org/officeDocument/2006/relationships/worksheet" Target="/xl/worksheets/sheet13.xml" Id="R6d1d70b96d4343d9" /><Relationship Type="http://schemas.openxmlformats.org/officeDocument/2006/relationships/worksheet" Target="/xl/worksheets/sheet14.xml" Id="R235bbbfafdf8458a" /><Relationship Type="http://schemas.openxmlformats.org/officeDocument/2006/relationships/worksheet" Target="/xl/worksheets/sheet15.xml" Id="R378c15cfa92a4c79" /><Relationship Type="http://schemas.openxmlformats.org/officeDocument/2006/relationships/worksheet" Target="/xl/worksheets/sheet16.xml" Id="R9fb01cf9577346dd" /><Relationship Type="http://schemas.openxmlformats.org/officeDocument/2006/relationships/worksheet" Target="/xl/worksheets/sheet17.xml" Id="R343d926214c04280" /><Relationship Type="http://schemas.openxmlformats.org/officeDocument/2006/relationships/worksheet" Target="/xl/worksheets/sheet18.xml" Id="R5b3b53d80def4162" /><Relationship Type="http://schemas.openxmlformats.org/officeDocument/2006/relationships/worksheet" Target="/xl/worksheets/sheet19.xml" Id="R8ea986086ca6412d" /><Relationship Type="http://schemas.openxmlformats.org/officeDocument/2006/relationships/worksheet" Target="/xl/worksheets/sheet20.xml" Id="R9d10cddaab544bd1" /><Relationship Type="http://schemas.openxmlformats.org/officeDocument/2006/relationships/worksheet" Target="/xl/worksheets/sheet21.xml" Id="Rffd09cfb531e4a2d" /><Relationship Type="http://schemas.openxmlformats.org/officeDocument/2006/relationships/worksheet" Target="/xl/worksheets/sheet22.xml" Id="Rcb3b7f1560ea4e52" /><Relationship Type="http://schemas.openxmlformats.org/officeDocument/2006/relationships/worksheet" Target="/xl/worksheets/sheet23.xml" Id="R6d738d8453374311" /><Relationship Type="http://schemas.openxmlformats.org/officeDocument/2006/relationships/worksheet" Target="/xl/worksheets/sheet24.xml" Id="R2c7eac7408b44a9a" /><Relationship Type="http://schemas.openxmlformats.org/officeDocument/2006/relationships/worksheet" Target="/xl/worksheets/sheet25.xml" Id="R30590f7e8cd24ff2" /><Relationship Type="http://schemas.openxmlformats.org/officeDocument/2006/relationships/worksheet" Target="/xl/worksheets/sheet26.xml" Id="R88a86a11a4fc427e" /><Relationship Type="http://schemas.openxmlformats.org/officeDocument/2006/relationships/worksheet" Target="/xl/worksheets/sheet27.xml" Id="Re0ff5b2d5d2c425f" /><Relationship Type="http://schemas.openxmlformats.org/officeDocument/2006/relationships/worksheet" Target="/xl/worksheets/sheet28.xml" Id="Re2cbbd7f4dca4d64" /><Relationship Type="http://schemas.openxmlformats.org/officeDocument/2006/relationships/worksheet" Target="/xl/worksheets/sheet29.xml" Id="Rad7828c0454b4e14" /><Relationship Type="http://schemas.openxmlformats.org/officeDocument/2006/relationships/worksheet" Target="/xl/worksheets/sheet30.xml" Id="R87518104ee2344a8" /><Relationship Type="http://schemas.openxmlformats.org/officeDocument/2006/relationships/worksheet" Target="/xl/worksheets/sheet31.xml" Id="R8294dbe56b4a4bee" /><Relationship Type="http://schemas.openxmlformats.org/officeDocument/2006/relationships/worksheet" Target="/xl/worksheets/sheet32.xml" Id="Rffc717c437924f02" /><Relationship Type="http://schemas.openxmlformats.org/officeDocument/2006/relationships/worksheet" Target="/xl/worksheets/sheet33.xml" Id="R4ffadccace1b40f4" /><Relationship Type="http://schemas.openxmlformats.org/officeDocument/2006/relationships/worksheet" Target="/xl/worksheets/sheet34.xml" Id="Ra3cf0d60acdb4af4" /><Relationship Type="http://schemas.openxmlformats.org/officeDocument/2006/relationships/worksheet" Target="/xl/worksheets/sheet35.xml" Id="Re4a26e2fd66e479d" /><Relationship Type="http://schemas.openxmlformats.org/officeDocument/2006/relationships/worksheet" Target="/xl/worksheets/sheet36.xml" Id="R51c22d6e5b304cc4" /><Relationship Type="http://schemas.openxmlformats.org/officeDocument/2006/relationships/worksheet" Target="/xl/worksheets/sheet37.xml" Id="Rccb16c55e856465d" /><Relationship Type="http://schemas.openxmlformats.org/officeDocument/2006/relationships/worksheet" Target="/xl/worksheets/sheet38.xml" Id="R897303c79e984080" /><Relationship Type="http://schemas.openxmlformats.org/officeDocument/2006/relationships/worksheet" Target="/xl/worksheets/sheet39.xml" Id="Rdc8943143bfc449a" /><Relationship Type="http://schemas.openxmlformats.org/officeDocument/2006/relationships/worksheet" Target="/xl/worksheets/sheet40.xml" Id="Rf0cb6cba065d4009" /><Relationship Type="http://schemas.openxmlformats.org/officeDocument/2006/relationships/worksheet" Target="/xl/worksheets/sheet41.xml" Id="R4cfea666babf4422" /><Relationship Type="http://schemas.openxmlformats.org/officeDocument/2006/relationships/worksheet" Target="/xl/worksheets/sheet42.xml" Id="Rfefd114c95334c79" /><Relationship Type="http://schemas.openxmlformats.org/officeDocument/2006/relationships/worksheet" Target="/xl/worksheets/sheet43.xml" Id="Refe97c96eb964760" /><Relationship Type="http://schemas.openxmlformats.org/officeDocument/2006/relationships/worksheet" Target="/xl/worksheets/sheet44.xml" Id="R010e4ff120094112" /><Relationship Type="http://schemas.openxmlformats.org/officeDocument/2006/relationships/worksheet" Target="/xl/worksheets/sheet45.xml" Id="R46408120098345a6" /><Relationship Type="http://schemas.openxmlformats.org/officeDocument/2006/relationships/worksheet" Target="/xl/worksheets/sheet46.xml" Id="R717b751b014c430b" /><Relationship Type="http://schemas.openxmlformats.org/officeDocument/2006/relationships/worksheet" Target="/xl/worksheets/sheet47.xml" Id="Rdf8ed736c0ac438c" /><Relationship Type="http://schemas.openxmlformats.org/officeDocument/2006/relationships/worksheet" Target="/xl/worksheets/sheet48.xml" Id="R258e79371f354fa1" /><Relationship Type="http://schemas.openxmlformats.org/officeDocument/2006/relationships/worksheet" Target="/xl/worksheets/sheet49.xml" Id="R3d7413f279894245" /><Relationship Type="http://schemas.openxmlformats.org/officeDocument/2006/relationships/worksheet" Target="/xl/worksheets/sheet50.xml" Id="R21d68f5388984228" /><Relationship Type="http://schemas.openxmlformats.org/officeDocument/2006/relationships/worksheet" Target="/xl/worksheets/sheet51.xml" Id="R70bd023d24dc416f" /><Relationship Type="http://schemas.openxmlformats.org/officeDocument/2006/relationships/worksheet" Target="/xl/worksheets/sheet52.xml" Id="Rbd51628c35a74b22" /><Relationship Type="http://schemas.openxmlformats.org/officeDocument/2006/relationships/worksheet" Target="/xl/worksheets/sheet53.xml" Id="Rb6b0014c664a4282" /><Relationship Type="http://schemas.openxmlformats.org/officeDocument/2006/relationships/worksheet" Target="/xl/worksheets/sheet54.xml" Id="R845164c60d324b0b" /><Relationship Type="http://schemas.openxmlformats.org/officeDocument/2006/relationships/worksheet" Target="/xl/worksheets/sheet55.xml" Id="Rc81e9327fa7049cd" /><Relationship Type="http://schemas.openxmlformats.org/officeDocument/2006/relationships/worksheet" Target="/xl/worksheets/sheet56.xml" Id="R826f6298893f4bb4" /><Relationship Type="http://schemas.openxmlformats.org/officeDocument/2006/relationships/worksheet" Target="/xl/worksheets/sheet57.xml" Id="Re5dbe785b5204488" /><Relationship Type="http://schemas.openxmlformats.org/officeDocument/2006/relationships/worksheet" Target="/xl/worksheets/sheet58.xml" Id="R7a81d59ab6ab4a89" /><Relationship Type="http://schemas.openxmlformats.org/officeDocument/2006/relationships/worksheet" Target="/xl/worksheets/sheet59.xml" Id="R7321c759bdbd4fc2" /><Relationship Type="http://schemas.openxmlformats.org/officeDocument/2006/relationships/worksheet" Target="/xl/worksheets/sheet60.xml" Id="R0b0b6a3c22174ccf" /><Relationship Type="http://schemas.openxmlformats.org/officeDocument/2006/relationships/worksheet" Target="/xl/worksheets/sheet61.xml" Id="R427ac9058cba466e" /><Relationship Type="http://schemas.openxmlformats.org/officeDocument/2006/relationships/worksheet" Target="/xl/worksheets/sheet62.xml" Id="R5b2867a386474b1d" /><Relationship Type="http://schemas.openxmlformats.org/officeDocument/2006/relationships/worksheet" Target="/xl/worksheets/sheet63.xml" Id="Re13ada82f61f43b8" /><Relationship Type="http://schemas.openxmlformats.org/officeDocument/2006/relationships/worksheet" Target="/xl/worksheets/sheet64.xml" Id="R15be8b3dfbce4481" /><Relationship Type="http://schemas.openxmlformats.org/officeDocument/2006/relationships/worksheet" Target="/xl/worksheets/sheet65.xml" Id="Rd4ca421f7d824cb5" /><Relationship Type="http://schemas.openxmlformats.org/officeDocument/2006/relationships/worksheet" Target="/xl/worksheets/sheet66.xml" Id="R924e0829357742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bf383d6361443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28a4d0eb7094b2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c24a08859fd44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Doanh thu &amp; LNST hợp nhất 5 năm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Doanh thu HN</c:v>
          </c:tx>
          <c:cat>
            <c:strRef>
              <c:f>'40_Dashboard_V7'!$D$4:$D$8</c:f>
              <c:strCache>
                <c:ptCount val="0"/>
              </c:strCache>
            </c:strRef>
          </c:cat>
          <c:val>
            <c:numRef>
              <c:f>'40_Dashboard_V7'!$E$4:$E$8</c:f>
              <c:numCache>
                <c:formatCode>#,##0.0;[Red](#,##0.0);-</c:formatCode>
                <c:ptCount val="0"/>
              </c:numCache>
            </c:numRef>
          </c:val>
        </c:ser>
        <c:ser>
          <c:idx val="1"/>
          <c:order val="1"/>
          <c:tx>
            <c:v>LNST HN</c:v>
          </c:tx>
          <c:cat>
            <c:strRef>
              <c:f>'40_Dashboard_V7'!$D$4:$D$8</c:f>
              <c:strCache>
                <c:ptCount val="0"/>
              </c:strCache>
            </c:strRef>
          </c:cat>
          <c:val>
            <c:numRef>
              <c:f>'40_Dashboard_V7'!$F$4:$F$8</c:f>
              <c:numCache>
                <c:formatCode>#,##0.0;[Red](#,##0.0);-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Executive KPI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'46_Board_CFO_Pack'!$A$4:$A$10</c:f>
              <c:strCache>
                <c:ptCount val="0"/>
              </c:strCache>
            </c:strRef>
          </c:cat>
          <c:val>
            <c:numRef>
              <c:f>'46_Board_CFO_Pack'!$B$4:$B$10</c:f>
              <c:numCache>
                <c:formatCode>#,##0.0;[Red](#,##0.0);-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Budget vs Latest Estimate – Doanh thu FY2026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Budget DT</c:v>
          </c:tx>
          <c:cat>
            <c:strRef>
              <c:f>'55_Management_Report'!$E$4:$E$9</c:f>
              <c:strCache>
                <c:ptCount val="0"/>
              </c:strCache>
            </c:strRef>
          </c:cat>
          <c:val>
            <c:numRef>
              <c:f>'55_Management_Report'!$F$4:$F$9</c:f>
              <c:numCache>
                <c:formatCode>#,##0.0;[Red](#,##0.0);-</c:formatCode>
                <c:ptCount val="0"/>
              </c:numCache>
            </c:numRef>
          </c:val>
        </c:ser>
        <c:ser>
          <c:idx val="1"/>
          <c:order val="1"/>
          <c:tx>
            <c:v>LE DT</c:v>
          </c:tx>
          <c:cat>
            <c:strRef>
              <c:f>'55_Management_Report'!$E$4:$E$9</c:f>
              <c:strCache>
                <c:ptCount val="0"/>
              </c:strCache>
            </c:strRef>
          </c:cat>
          <c:val>
            <c:numRef>
              <c:f>'55_Management_Report'!$G$4:$G$9</c:f>
              <c:numCache>
                <c:formatCode>#,##0.0;[Red](#,##0.0);-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bf383d6361443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8a4d0eb7094b2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24a08859fd44d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86b45795fc40a6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2.xml" Id="R193db0004fdd427b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3.xml" Id="Rae26c58cc65b485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22" hidden="0" customWidth="1"/>
    <x:col min="8" max="8" width="16" hidden="0" customWidth="1"/>
    <x:col min="9" max="9" width="18" hidden="0" customWidth="1"/>
    <x:col min="10" max="10" width="14" hidden="0" customWidth="1"/>
    <x:col min="11" max="11" width="16" hidden="0" customWidth="1"/>
    <x:col min="12" max="12" width="28" hidden="0" customWidth="1"/>
    <x:col min="13" max="13" width="16" hidden="0" customWidth="1"/>
  </x:cols>
  <x:sheetData>
    <x:row r="1" ht="26" customHeight="1">
      <x:c r="A1" s="3" t="str">
        <x:v>01_Danh_muc_du_an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>
      <x:c r="A3" s="9" t="str">
        <x:v>Mã dự án</x:v>
      </x:c>
      <x:c r="B3" s="9" t="str">
        <x:v>Tên dự án</x:v>
      </x:c>
      <x:c r="C3" s="9" t="str">
        <x:v>Địa phương</x:v>
      </x:c>
      <x:c r="D3" s="9" t="str">
        <x:v>Giai đoạn</x:v>
      </x:c>
      <x:c r="E3" s="9" t="str">
        <x:v>Loại hình</x:v>
      </x:c>
      <x:c r="F3" s="9" t="str">
        <x:v>Tổng mức đầu tư (tỷ)</x:v>
      </x:c>
      <x:c r="G3" s="9" t="str">
        <x:v>Doanh thu kỳ vọng (tỷ)</x:v>
      </x:c>
      <x:c r="H3" s="9" t="str">
        <x:v>Tiến độ pháp lý</x:v>
      </x:c>
      <x:c r="I3" s="9" t="str">
        <x:v>Tiến độ xây dựng</x:v>
      </x:c>
      <x:c r="J3" s="9" t="str">
        <x:v>Tỷ lệ bán</x:v>
      </x:c>
      <x:c r="K3" s="9" t="str">
        <x:v>Điểm sức khỏe</x:v>
      </x:c>
      <x:c r="L3" s="9" t="str">
        <x:v>Vấn đề chính</x:v>
      </x:c>
      <x:c r="M3" s="9" t="str">
        <x:v>Mức cảnh báo</x:v>
      </x:c>
    </x:row>
    <x:row r="4">
      <x:c r="A4" s="14" t="str">
        <x:v>DA01</x:v>
      </x:c>
      <x:c r="B4" s="14" t="str">
        <x:v>Khu đô thị Tây Hà Nội</x:v>
      </x:c>
      <x:c r="C4" s="14" t="str">
        <x:v>Hà Nội</x:v>
      </x:c>
      <x:c r="D4" s="14" t="str">
        <x:v>Chuẩn bị đầu tư</x:v>
      </x:c>
      <x:c r="E4" s="14" t="str">
        <x:v>Khu đô thị</x:v>
      </x:c>
      <x:c r="F4" s="16" t="n">
        <x:v>6500</x:v>
      </x:c>
      <x:c r="G4" s="16" t="n">
        <x:v>9800</x:v>
      </x:c>
      <x:c r="H4" s="20" t="n">
        <x:v>0.25</x:v>
      </x:c>
      <x:c r="I4" s="20" t="n">
        <x:v>0</x:v>
      </x:c>
      <x:c r="J4" s="20" t="n">
        <x:v>0</x:v>
      </x:c>
      <x:c r="K4" s="14" t="n">
        <x:v>61</x:v>
      </x:c>
      <x:c r="L4" s="14" t="str">
        <x:v>Quy hoạch 1/500</x:v>
      </x:c>
      <x:c r="M4" s="14" t="str">
        <x:v>Rất cao</x:v>
      </x:c>
    </x:row>
    <x:row r="5">
      <x:c r="A5" s="14" t="str">
        <x:v>DA02</x:v>
      </x:c>
      <x:c r="B5" s="14" t="str">
        <x:v>Khu nhà ở Đông Anh</x:v>
      </x:c>
      <x:c r="C5" s="14" t="str">
        <x:v>Hà Nội</x:v>
      </x:c>
      <x:c r="D5" s="14" t="str">
        <x:v>Hoàn thiện pháp lý</x:v>
      </x:c>
      <x:c r="E5" s="14" t="str">
        <x:v>Nhà ở thấp tầng</x:v>
      </x:c>
      <x:c r="F5" s="16" t="n">
        <x:v>7200</x:v>
      </x:c>
      <x:c r="G5" s="16" t="n">
        <x:v>11200</x:v>
      </x:c>
      <x:c r="H5" s="20" t="n">
        <x:v>0.68</x:v>
      </x:c>
      <x:c r="I5" s="20" t="n">
        <x:v>0</x:v>
      </x:c>
      <x:c r="J5" s="20" t="n">
        <x:v>0</x:v>
      </x:c>
      <x:c r="K5" s="14" t="n">
        <x:v>72</x:v>
      </x:c>
      <x:c r="L5" s="14" t="str">
        <x:v>Nghĩa vụ tài chính đất</x:v>
      </x:c>
      <x:c r="M5" s="14" t="str">
        <x:v>Rất cao</x:v>
      </x:c>
    </x:row>
    <x:row r="6">
      <x:c r="A6" s="14" t="str">
        <x:v>DA03</x:v>
      </x:c>
      <x:c r="B6" s="14" t="str">
        <x:v>Khu đô thị Hưng Yên</x:v>
      </x:c>
      <x:c r="C6" s="14" t="str">
        <x:v>Hưng Yên</x:v>
      </x:c>
      <x:c r="D6" s="14" t="str">
        <x:v>Thi công</x:v>
      </x:c>
      <x:c r="E6" s="14" t="str">
        <x:v>Khu đô thị</x:v>
      </x:c>
      <x:c r="F6" s="16" t="n">
        <x:v>9800</x:v>
      </x:c>
      <x:c r="G6" s="16" t="n">
        <x:v>14800</x:v>
      </x:c>
      <x:c r="H6" s="20" t="n">
        <x:v>0.91</x:v>
      </x:c>
      <x:c r="I6" s="20" t="n">
        <x:v>0.42</x:v>
      </x:c>
      <x:c r="J6" s="20" t="n">
        <x:v>0.28</x:v>
      </x:c>
      <x:c r="K6" s="14" t="n">
        <x:v>78</x:v>
      </x:c>
      <x:c r="L6" s="14" t="str">
        <x:v>CAPEX vượt kế hoạch</x:v>
      </x:c>
      <x:c r="M6" s="14" t="str">
        <x:v>Cao</x:v>
      </x:c>
    </x:row>
    <x:row r="7">
      <x:c r="A7" s="14" t="str">
        <x:v>DA04</x:v>
      </x:c>
      <x:c r="B7" s="14" t="str">
        <x:v>Tổ hợp Hải Phòng</x:v>
      </x:c>
      <x:c r="C7" s="14" t="str">
        <x:v>Hải Phòng</x:v>
      </x:c>
      <x:c r="D7" s="14" t="str">
        <x:v>Mở bán</x:v>
      </x:c>
      <x:c r="E7" s="14" t="str">
        <x:v>Chung cư + thương mại</x:v>
      </x:c>
      <x:c r="F7" s="16" t="n">
        <x:v>8400</x:v>
      </x:c>
      <x:c r="G7" s="16" t="n">
        <x:v>13200</x:v>
      </x:c>
      <x:c r="H7" s="20" t="n">
        <x:v>1</x:v>
      </x:c>
      <x:c r="I7" s="20" t="n">
        <x:v>0.67</x:v>
      </x:c>
      <x:c r="J7" s="20" t="n">
        <x:v>0.54</x:v>
      </x:c>
      <x:c r="K7" s="14" t="n">
        <x:v>84</x:v>
      </x:c>
      <x:c r="L7" s="14" t="str">
        <x:v>Tốc độ hấp thụ</x:v>
      </x:c>
      <x:c r="M7" s="14" t="str">
        <x:v>Cao</x:v>
      </x:c>
    </x:row>
    <x:row r="8">
      <x:c r="A8" s="14" t="str">
        <x:v>DA05</x:v>
      </x:c>
      <x:c r="B8" s="14" t="str">
        <x:v>Khu nghỉ dưỡng Quảng Ninh</x:v>
      </x:c>
      <x:c r="C8" s="14" t="str">
        <x:v>Quảng Ninh</x:v>
      </x:c>
      <x:c r="D8" s="14" t="str">
        <x:v>Bàn giao</x:v>
      </x:c>
      <x:c r="E8" s="14" t="str">
        <x:v>Nghỉ dưỡng</x:v>
      </x:c>
      <x:c r="F8" s="16" t="n">
        <x:v>6200</x:v>
      </x:c>
      <x:c r="G8" s="16" t="n">
        <x:v>9400</x:v>
      </x:c>
      <x:c r="H8" s="20" t="n">
        <x:v>1</x:v>
      </x:c>
      <x:c r="I8" s="20" t="n">
        <x:v>0.96</x:v>
      </x:c>
      <x:c r="J8" s="20" t="n">
        <x:v>0.91</x:v>
      </x:c>
      <x:c r="K8" s="14" t="n">
        <x:v>89</x:v>
      </x:c>
      <x:c r="L8" s="14" t="str">
        <x:v>GCN cho khách hàng</x:v>
      </x:c>
      <x:c r="M8" s="14" t="str">
        <x:v>Trung bình</x:v>
      </x:c>
    </x:row>
    <x:row r="9">
      <x:c r="A9" s="14" t="str">
        <x:v>DA06</x:v>
      </x:c>
      <x:c r="B9" s="14" t="str">
        <x:v>Dự án M&amp;A Đà Nẵng</x:v>
      </x:c>
      <x:c r="C9" s="14" t="str">
        <x:v>Đà Nẵng</x:v>
      </x:c>
      <x:c r="D9" s="14" t="str">
        <x:v>M&amp;A/Đánh giá</x:v>
      </x:c>
      <x:c r="E9" s="14" t="str">
        <x:v>Phức hợp</x:v>
      </x:c>
      <x:c r="F9" s="16" t="n">
        <x:v>4500</x:v>
      </x:c>
      <x:c r="G9" s="16" t="n">
        <x:v>7200</x:v>
      </x:c>
      <x:c r="H9" s="20" t="n">
        <x:v>0.15</x:v>
      </x:c>
      <x:c r="I9" s="20" t="n">
        <x:v>0</x:v>
      </x:c>
      <x:c r="J9" s="20" t="n">
        <x:v>0</x:v>
      </x:c>
      <x:c r="K9" s="14"/>
      <x:c r="L9" s="14" t="str">
        <x:v>Giá mua &amp; DD pháp lý</x:v>
      </x:c>
      <x:c r="M9" s="14" t="str">
        <x:v>Rất cao</x:v>
      </x:c>
    </x:row>
    <x:row r="10">
      <x:c r="F10" s="17"/>
      <x:c r="G10" s="17"/>
      <x:c r="H10" s="21"/>
      <x:c r="I10" s="21"/>
      <x:c r="J10" s="21"/>
    </x:row>
    <x:row r="11">
      <x:c r="F11" s="17"/>
      <x:c r="G11" s="17"/>
      <x:c r="H11" s="21"/>
      <x:c r="I11" s="21"/>
      <x:c r="J11" s="21"/>
    </x:row>
    <x:row r="12">
      <x:c r="F12" s="17"/>
      <x:c r="G12" s="17"/>
      <x:c r="H12" s="21"/>
      <x:c r="I12" s="21"/>
      <x:c r="J12" s="21"/>
    </x:row>
    <x:row r="13">
      <x:c r="F13" s="17"/>
      <x:c r="G13" s="17"/>
      <x:c r="H13" s="21"/>
      <x:c r="I13" s="21"/>
      <x:c r="J13" s="21"/>
    </x:row>
    <x:row r="14">
      <x:c r="F14" s="17"/>
      <x:c r="G14" s="17"/>
      <x:c r="H14" s="21"/>
      <x:c r="I14" s="21"/>
      <x:c r="J14" s="21"/>
    </x:row>
    <x:row r="15">
      <x:c r="F15" s="17"/>
      <x:c r="G15" s="17"/>
      <x:c r="H15" s="21"/>
      <x:c r="I15" s="21"/>
      <x:c r="J15" s="21"/>
    </x:row>
    <x:row r="16">
      <x:c r="F16" s="17"/>
      <x:c r="G16" s="17"/>
      <x:c r="H16" s="21"/>
      <x:c r="I16" s="21"/>
      <x:c r="J16" s="21"/>
    </x:row>
    <x:row r="17">
      <x:c r="F17" s="17"/>
      <x:c r="G17" s="17"/>
      <x:c r="H17" s="21"/>
      <x:c r="I17" s="21"/>
      <x:c r="J17" s="21"/>
    </x:row>
    <x:row r="18">
      <x:c r="F18" s="17"/>
      <x:c r="G18" s="17"/>
      <x:c r="H18" s="21"/>
      <x:c r="I18" s="21"/>
      <x:c r="J18" s="21"/>
    </x:row>
    <x:row r="19">
      <x:c r="F19" s="17"/>
      <x:c r="G19" s="17"/>
      <x:c r="H19" s="21"/>
      <x:c r="I19" s="21"/>
      <x:c r="J19" s="21"/>
    </x:row>
    <x:row r="20">
      <x:c r="F20" s="17"/>
      <x:c r="G20" s="17"/>
      <x:c r="H20" s="21"/>
      <x:c r="I20" s="21"/>
      <x:c r="J20" s="21"/>
    </x:row>
  </x:sheetData>
  <x:mergeCells>
    <x:mergeCell ref="A1:M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2" hidden="0" customWidth="1"/>
    <x:col min="4" max="4" width="18" hidden="0" customWidth="1"/>
    <x:col min="5" max="5" width="18" hidden="0" customWidth="1"/>
    <x:col min="6" max="6" width="14" hidden="0" customWidth="1"/>
    <x:col min="7" max="7" width="22" hidden="0" customWidth="1"/>
    <x:col min="8" max="8" width="28" hidden="0" customWidth="1"/>
    <x:col min="9" max="9" width="40" hidden="0" customWidth="1"/>
  </x:cols>
  <x:sheetData>
    <x:row r="1" ht="26" customHeight="1">
      <x:c r="A1" s="3" t="str">
        <x:v>02_Phap_ly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9" t="str">
        <x:v>Mã dự án</x:v>
      </x:c>
      <x:c r="B3" s="9" t="str">
        <x:v>Mã thủ tục</x:v>
      </x:c>
      <x:c r="C3" s="9" t="str">
        <x:v>Thủ tục/Mốc pháp lý</x:v>
      </x:c>
      <x:c r="D3" s="9" t="str">
        <x:v>Nhóm</x:v>
      </x:c>
      <x:c r="E3" s="9" t="str">
        <x:v>Trạng thái</x:v>
      </x:c>
      <x:c r="F3" s="9" t="str">
        <x:v>Mức độ</x:v>
      </x:c>
      <x:c r="G3" s="9" t="str">
        <x:v>Chủ trì</x:v>
      </x:c>
      <x:c r="H3" s="9" t="str">
        <x:v>Căn cứ pháp lý</x:v>
      </x:c>
      <x:c r="I3" s="9" t="str">
        <x:v>Lưu ý thực tế</x:v>
      </x:c>
    </x:row>
    <x:row r="4">
      <x:c r="A4" s="14" t="str">
        <x:v>DA01</x:v>
      </x:c>
      <x:c r="B4" s="14" t="str">
        <x:v>PL01</x:v>
      </x:c>
      <x:c r="C4" s="14" t="str">
        <x:v>Chấp thuận/chủ trương đầu tư</x:v>
      </x:c>
      <x:c r="D4" s="14" t="str">
        <x:v>Đầu tư</x:v>
      </x:c>
      <x:c r="E4" s="14" t="str">
        <x:v>Đang thực hiện</x:v>
      </x:c>
      <x:c r="F4" s="14" t="str">
        <x:v>Rất cao</x:v>
      </x:c>
      <x:c r="G4" s="14" t="str">
        <x:v>Pháp chế/Phát triển dự án</x:v>
      </x:c>
      <x:c r="H4" s="14" t="str">
        <x:v>Theo hồ sơ dự án</x:v>
      </x:c>
      <x:c r="I4" s="14" t="str">
        <x:v>Kiểm tra điều kiện áp dụng theo loại dự án và địa phương</x:v>
      </x:c>
    </x:row>
    <x:row r="5">
      <x:c r="A5" s="14" t="str">
        <x:v>DA01</x:v>
      </x:c>
      <x:c r="B5" s="14" t="str">
        <x:v>PL02</x:v>
      </x:c>
      <x:c r="C5" s="14" t="str">
        <x:v>Quy hoạch chi tiết 1/500</x:v>
      </x:c>
      <x:c r="D5" s="14" t="str">
        <x:v>Quy hoạch</x:v>
      </x:c>
      <x:c r="E5" s="14" t="str">
        <x:v>Đang thực hiện</x:v>
      </x:c>
      <x:c r="F5" s="14" t="str">
        <x:v>Rất cao</x:v>
      </x:c>
      <x:c r="G5" s="14" t="str">
        <x:v>Pháp chế/Phát triển dự án</x:v>
      </x:c>
      <x:c r="H5" s="14" t="str">
        <x:v>Theo hồ sơ dự án</x:v>
      </x:c>
      <x:c r="I5" s="14" t="str">
        <x:v>Kiểm tra điều kiện áp dụng theo loại dự án và địa phương</x:v>
      </x:c>
    </x:row>
    <x:row r="6">
      <x:c r="A6" s="14" t="str">
        <x:v>DA01</x:v>
      </x:c>
      <x:c r="B6" s="14" t="str">
        <x:v>PL03</x:v>
      </x:c>
      <x:c r="C6" s="14" t="str">
        <x:v>Đất đai/GPMB/quyền sử dụng đất</x:v>
      </x:c>
      <x:c r="D6" s="14" t="str">
        <x:v>Đất đai</x:v>
      </x:c>
      <x:c r="E6" s="14" t="str">
        <x:v>Đang thực hiện</x:v>
      </x:c>
      <x:c r="F6" s="14" t="str">
        <x:v>Rất cao</x:v>
      </x:c>
      <x:c r="G6" s="14" t="str">
        <x:v>Pháp chế/Phát triển dự án</x:v>
      </x:c>
      <x:c r="H6" s="14" t="str">
        <x:v>Theo hồ sơ dự án</x:v>
      </x:c>
      <x:c r="I6" s="14" t="str">
        <x:v>Kiểm tra điều kiện áp dụng theo loại dự án và địa phương</x:v>
      </x:c>
    </x:row>
    <x:row r="7">
      <x:c r="A7" s="14" t="str">
        <x:v>DA01</x:v>
      </x:c>
      <x:c r="B7" s="14" t="str">
        <x:v>PL04</x:v>
      </x:c>
      <x:c r="C7" s="14" t="str">
        <x:v>Nghĩa vụ tài chính về đất</x:v>
      </x:c>
      <x:c r="D7" s="14" t="str">
        <x:v>Đất đai</x:v>
      </x:c>
      <x:c r="E7" s="14" t="str">
        <x:v>Chờ cơ quan NN</x:v>
      </x:c>
      <x:c r="F7" s="14" t="str">
        <x:v>Rất cao</x:v>
      </x:c>
      <x:c r="G7" s="14" t="str">
        <x:v>Pháp chế/Phát triển dự án</x:v>
      </x:c>
      <x:c r="H7" s="14" t="str">
        <x:v>Theo hồ sơ dự án</x:v>
      </x:c>
      <x:c r="I7" s="14" t="str">
        <x:v>Kiểm tra điều kiện áp dụng theo loại dự án và địa phương</x:v>
      </x:c>
    </x:row>
    <x:row r="8">
      <x:c r="A8" s="14" t="str">
        <x:v>DA01</x:v>
      </x:c>
      <x:c r="B8" s="14" t="str">
        <x:v>PL05</x:v>
      </x:c>
      <x:c r="C8" s="14" t="str">
        <x:v>Thiết kế/PCCC/môi trường áp dụng</x:v>
      </x:c>
      <x:c r="D8" s="14" t="str">
        <x:v>Xây dựng</x:v>
      </x:c>
      <x:c r="E8" s="14" t="str">
        <x:v>Chưa bắt đầu</x:v>
      </x:c>
      <x:c r="F8" s="14" t="str">
        <x:v>Cao</x:v>
      </x:c>
      <x:c r="G8" s="14" t="str">
        <x:v>Pháp chế/Phát triển dự án</x:v>
      </x:c>
      <x:c r="H8" s="14" t="str">
        <x:v>Theo hồ sơ dự án</x:v>
      </x:c>
      <x:c r="I8" s="14" t="str">
        <x:v>Kiểm tra điều kiện áp dụng theo loại dự án và địa phương</x:v>
      </x:c>
    </x:row>
    <x:row r="9">
      <x:c r="A9" s="14" t="str">
        <x:v>DA01</x:v>
      </x:c>
      <x:c r="B9" s="14" t="str">
        <x:v>PL06</x:v>
      </x:c>
      <x:c r="C9" s="14" t="str">
        <x:v>Giấy phép xây dựng/điều kiện khởi công</x:v>
      </x:c>
      <x:c r="D9" s="14" t="str">
        <x:v>Xây dựng</x:v>
      </x:c>
      <x:c r="E9" s="14" t="str">
        <x:v>Chưa bắt đầu</x:v>
      </x:c>
      <x:c r="F9" s="14" t="str">
        <x:v>Rất cao</x:v>
      </x:c>
      <x:c r="G9" s="14" t="str">
        <x:v>Pháp chế/Phát triển dự án</x:v>
      </x:c>
      <x:c r="H9" s="14" t="str">
        <x:v>Theo hồ sơ dự án</x:v>
      </x:c>
      <x:c r="I9" s="14" t="str">
        <x:v>Kiểm tra điều kiện áp dụng theo loại dự án và địa phương</x:v>
      </x:c>
    </x:row>
    <x:row r="10">
      <x:c r="A10" s="14" t="str">
        <x:v>DA01</x:v>
      </x:c>
      <x:c r="B10" s="14" t="str">
        <x:v>PL07</x:v>
      </x:c>
      <x:c r="C10" s="14" t="str">
        <x:v>Điều kiện kinh doanh/mở bán</x:v>
      </x:c>
      <x:c r="D10" s="14" t="str">
        <x:v>Kinh doanh BĐS</x:v>
      </x:c>
      <x:c r="E10" s="14" t="str">
        <x:v>Chưa bắt đầu</x:v>
      </x:c>
      <x:c r="F10" s="14" t="str">
        <x:v>Rất cao</x:v>
      </x:c>
      <x:c r="G10" s="14" t="str">
        <x:v>Pháp chế/Phát triển dự án</x:v>
      </x:c>
      <x:c r="H10" s="14" t="str">
        <x:v>Theo hồ sơ dự án</x:v>
      </x:c>
      <x:c r="I10" s="14" t="str">
        <x:v>Kiểm tra điều kiện áp dụng theo loại dự án và địa phương</x:v>
      </x:c>
    </x:row>
    <x:row r="11">
      <x:c r="A11" s="14" t="str">
        <x:v>DA01</x:v>
      </x:c>
      <x:c r="B11" s="14" t="str">
        <x:v>PL08</x:v>
      </x:c>
      <x:c r="C11" s="14" t="str">
        <x:v>Nghiệm thu/bàn giao/GCN</x:v>
      </x:c>
      <x:c r="D11" s="14" t="str">
        <x:v>Bàn giao</x:v>
      </x:c>
      <x:c r="E11" s="14" t="str">
        <x:v>Chưa bắt đầu</x:v>
      </x:c>
      <x:c r="F11" s="14" t="str">
        <x:v>Cao</x:v>
      </x:c>
      <x:c r="G11" s="14" t="str">
        <x:v>Pháp chế/Phát triển dự án</x:v>
      </x:c>
      <x:c r="H11" s="14" t="str">
        <x:v>Theo hồ sơ dự án</x:v>
      </x:c>
      <x:c r="I11" s="14" t="str">
        <x:v>Kiểm tra điều kiện áp dụng theo loại dự án và địa phương</x:v>
      </x:c>
    </x:row>
    <x:row r="12">
      <x:c r="A12" s="14" t="str">
        <x:v>DA02</x:v>
      </x:c>
      <x:c r="B12" s="14" t="str">
        <x:v>PL01</x:v>
      </x:c>
      <x:c r="C12" s="14" t="str">
        <x:v>Chấp thuận/chủ trương đầu tư</x:v>
      </x:c>
      <x:c r="D12" s="14" t="str">
        <x:v>Đầu tư</x:v>
      </x:c>
      <x:c r="E12" s="14" t="str">
        <x:v>Hoàn thành</x:v>
      </x:c>
      <x:c r="F12" s="14" t="str">
        <x:v>Rất cao</x:v>
      </x:c>
      <x:c r="G12" s="14" t="str">
        <x:v>Pháp chế/Phát triển dự án</x:v>
      </x:c>
      <x:c r="H12" s="14" t="str">
        <x:v>Theo hồ sơ dự án</x:v>
      </x:c>
      <x:c r="I12" s="14" t="str">
        <x:v>Kiểm tra điều kiện áp dụng theo loại dự án và địa phương</x:v>
      </x:c>
    </x:row>
    <x:row r="13">
      <x:c r="A13" s="14" t="str">
        <x:v>DA02</x:v>
      </x:c>
      <x:c r="B13" s="14" t="str">
        <x:v>PL02</x:v>
      </x:c>
      <x:c r="C13" s="14" t="str">
        <x:v>Quy hoạch chi tiết 1/500</x:v>
      </x:c>
      <x:c r="D13" s="14" t="str">
        <x:v>Quy hoạch</x:v>
      </x:c>
      <x:c r="E13" s="14" t="str">
        <x:v>Hoàn thành</x:v>
      </x:c>
      <x:c r="F13" s="14" t="str">
        <x:v>Rất cao</x:v>
      </x:c>
      <x:c r="G13" s="14" t="str">
        <x:v>Pháp chế/Phát triển dự án</x:v>
      </x:c>
      <x:c r="H13" s="14" t="str">
        <x:v>Theo hồ sơ dự án</x:v>
      </x:c>
      <x:c r="I13" s="14" t="str">
        <x:v>Kiểm tra điều kiện áp dụng theo loại dự án và địa phương</x:v>
      </x:c>
    </x:row>
    <x:row r="14">
      <x:c r="A14" s="14" t="str">
        <x:v>DA02</x:v>
      </x:c>
      <x:c r="B14" s="14" t="str">
        <x:v>PL03</x:v>
      </x:c>
      <x:c r="C14" s="14" t="str">
        <x:v>Đất đai/GPMB/quyền sử dụng đất</x:v>
      </x:c>
      <x:c r="D14" s="14" t="str">
        <x:v>Đất đai</x:v>
      </x:c>
      <x:c r="E14" s="14" t="str">
        <x:v>Đang thực hiện</x:v>
      </x:c>
      <x:c r="F14" s="14" t="str">
        <x:v>Rất cao</x:v>
      </x:c>
      <x:c r="G14" s="14" t="str">
        <x:v>Pháp chế/Phát triển dự án</x:v>
      </x:c>
      <x:c r="H14" s="14" t="str">
        <x:v>Theo hồ sơ dự án</x:v>
      </x:c>
      <x:c r="I14" s="14" t="str">
        <x:v>Kiểm tra điều kiện áp dụng theo loại dự án và địa phương</x:v>
      </x:c>
    </x:row>
    <x:row r="15">
      <x:c r="A15" s="14" t="str">
        <x:v>DA02</x:v>
      </x:c>
      <x:c r="B15" s="14" t="str">
        <x:v>PL04</x:v>
      </x:c>
      <x:c r="C15" s="14" t="str">
        <x:v>Nghĩa vụ tài chính về đất</x:v>
      </x:c>
      <x:c r="D15" s="14" t="str">
        <x:v>Đất đai</x:v>
      </x:c>
      <x:c r="E15" s="14" t="str">
        <x:v>Chờ cơ quan NN</x:v>
      </x:c>
      <x:c r="F15" s="14" t="str">
        <x:v>Rất cao</x:v>
      </x:c>
      <x:c r="G15" s="14" t="str">
        <x:v>Pháp chế/Phát triển dự án</x:v>
      </x:c>
      <x:c r="H15" s="14" t="str">
        <x:v>Theo hồ sơ dự án</x:v>
      </x:c>
      <x:c r="I15" s="14" t="str">
        <x:v>Kiểm tra điều kiện áp dụng theo loại dự án và địa phương</x:v>
      </x:c>
    </x:row>
    <x:row r="16">
      <x:c r="A16" s="14" t="str">
        <x:v>DA02</x:v>
      </x:c>
      <x:c r="B16" s="14" t="str">
        <x:v>PL05</x:v>
      </x:c>
      <x:c r="C16" s="14" t="str">
        <x:v>Thiết kế/PCCC/môi trường áp dụng</x:v>
      </x:c>
      <x:c r="D16" s="14" t="str">
        <x:v>Xây dựng</x:v>
      </x:c>
      <x:c r="E16" s="14" t="str">
        <x:v>Chưa bắt đầu</x:v>
      </x:c>
      <x:c r="F16" s="14" t="str">
        <x:v>Cao</x:v>
      </x:c>
      <x:c r="G16" s="14" t="str">
        <x:v>Pháp chế/Phát triển dự án</x:v>
      </x:c>
      <x:c r="H16" s="14" t="str">
        <x:v>Theo hồ sơ dự án</x:v>
      </x:c>
      <x:c r="I16" s="14" t="str">
        <x:v>Kiểm tra điều kiện áp dụng theo loại dự án và địa phương</x:v>
      </x:c>
    </x:row>
    <x:row r="17">
      <x:c r="A17" s="14" t="str">
        <x:v>DA02</x:v>
      </x:c>
      <x:c r="B17" s="14" t="str">
        <x:v>PL06</x:v>
      </x:c>
      <x:c r="C17" s="14" t="str">
        <x:v>Giấy phép xây dựng/điều kiện khởi công</x:v>
      </x:c>
      <x:c r="D17" s="14" t="str">
        <x:v>Xây dựng</x:v>
      </x:c>
      <x:c r="E17" s="14" t="str">
        <x:v>Chưa bắt đầu</x:v>
      </x:c>
      <x:c r="F17" s="14" t="str">
        <x:v>Rất cao</x:v>
      </x:c>
      <x:c r="G17" s="14" t="str">
        <x:v>Pháp chế/Phát triển dự án</x:v>
      </x:c>
      <x:c r="H17" s="14" t="str">
        <x:v>Theo hồ sơ dự án</x:v>
      </x:c>
      <x:c r="I17" s="14" t="str">
        <x:v>Kiểm tra điều kiện áp dụng theo loại dự án và địa phương</x:v>
      </x:c>
    </x:row>
    <x:row r="18">
      <x:c r="A18" s="14" t="str">
        <x:v>DA02</x:v>
      </x:c>
      <x:c r="B18" s="14" t="str">
        <x:v>PL07</x:v>
      </x:c>
      <x:c r="C18" s="14" t="str">
        <x:v>Điều kiện kinh doanh/mở bán</x:v>
      </x:c>
      <x:c r="D18" s="14" t="str">
        <x:v>Kinh doanh BĐS</x:v>
      </x:c>
      <x:c r="E18" s="14" t="str">
        <x:v>Chưa bắt đầu</x:v>
      </x:c>
      <x:c r="F18" s="14" t="str">
        <x:v>Rất cao</x:v>
      </x:c>
      <x:c r="G18" s="14" t="str">
        <x:v>Pháp chế/Phát triển dự án</x:v>
      </x:c>
      <x:c r="H18" s="14" t="str">
        <x:v>Theo hồ sơ dự án</x:v>
      </x:c>
      <x:c r="I18" s="14" t="str">
        <x:v>Kiểm tra điều kiện áp dụng theo loại dự án và địa phương</x:v>
      </x:c>
    </x:row>
    <x:row r="19">
      <x:c r="A19" s="14" t="str">
        <x:v>DA02</x:v>
      </x:c>
      <x:c r="B19" s="14" t="str">
        <x:v>PL08</x:v>
      </x:c>
      <x:c r="C19" s="14" t="str">
        <x:v>Nghiệm thu/bàn giao/GCN</x:v>
      </x:c>
      <x:c r="D19" s="14" t="str">
        <x:v>Bàn giao</x:v>
      </x:c>
      <x:c r="E19" s="14" t="str">
        <x:v>Chưa bắt đầu</x:v>
      </x:c>
      <x:c r="F19" s="14" t="str">
        <x:v>Cao</x:v>
      </x:c>
      <x:c r="G19" s="14" t="str">
        <x:v>Pháp chế/Phát triển dự án</x:v>
      </x:c>
      <x:c r="H19" s="14" t="str">
        <x:v>Theo hồ sơ dự án</x:v>
      </x:c>
      <x:c r="I19" s="14" t="str">
        <x:v>Kiểm tra điều kiện áp dụng theo loại dự án và địa phương</x:v>
      </x:c>
    </x:row>
    <x:row r="20">
      <x:c r="A20" s="14" t="str">
        <x:v>DA03</x:v>
      </x:c>
      <x:c r="B20" s="14" t="str">
        <x:v>PL01</x:v>
      </x:c>
      <x:c r="C20" s="14" t="str">
        <x:v>Chấp thuận/chủ trương đầu tư</x:v>
      </x:c>
      <x:c r="D20" s="14" t="str">
        <x:v>Đầu tư</x:v>
      </x:c>
      <x:c r="E20" s="14" t="str">
        <x:v>Hoàn thành</x:v>
      </x:c>
      <x:c r="F20" s="14" t="str">
        <x:v>Rất cao</x:v>
      </x:c>
      <x:c r="G20" s="14" t="str">
        <x:v>Pháp chế/Phát triển dự án</x:v>
      </x:c>
      <x:c r="H20" s="14" t="str">
        <x:v>Theo hồ sơ dự án</x:v>
      </x:c>
      <x:c r="I20" s="14" t="str">
        <x:v>Kiểm tra điều kiện áp dụng theo loại dự án và địa phương</x:v>
      </x:c>
    </x:row>
    <x:row r="21">
      <x:c r="A21" s="14" t="str">
        <x:v>DA03</x:v>
      </x:c>
      <x:c r="B21" s="14" t="str">
        <x:v>PL02</x:v>
      </x:c>
      <x:c r="C21" s="14" t="str">
        <x:v>Quy hoạch chi tiết 1/500</x:v>
      </x:c>
      <x:c r="D21" s="14" t="str">
        <x:v>Quy hoạch</x:v>
      </x:c>
      <x:c r="E21" s="14" t="str">
        <x:v>Hoàn thành</x:v>
      </x:c>
      <x:c r="F21" s="14" t="str">
        <x:v>Rất cao</x:v>
      </x:c>
      <x:c r="G21" s="14" t="str">
        <x:v>Pháp chế/Phát triển dự án</x:v>
      </x:c>
      <x:c r="H21" s="14" t="str">
        <x:v>Theo hồ sơ dự án</x:v>
      </x:c>
      <x:c r="I21" s="14" t="str">
        <x:v>Kiểm tra điều kiện áp dụng theo loại dự án và địa phương</x:v>
      </x:c>
    </x:row>
    <x:row r="22">
      <x:c r="A22" s="14" t="str">
        <x:v>DA03</x:v>
      </x:c>
      <x:c r="B22" s="14" t="str">
        <x:v>PL03</x:v>
      </x:c>
      <x:c r="C22" s="14" t="str">
        <x:v>Đất đai/GPMB/quyền sử dụng đất</x:v>
      </x:c>
      <x:c r="D22" s="14" t="str">
        <x:v>Đất đai</x:v>
      </x:c>
      <x:c r="E22" s="14" t="str">
        <x:v>Hoàn thành</x:v>
      </x:c>
      <x:c r="F22" s="14" t="str">
        <x:v>Rất cao</x:v>
      </x:c>
      <x:c r="G22" s="14" t="str">
        <x:v>Pháp chế/Phát triển dự án</x:v>
      </x:c>
      <x:c r="H22" s="14" t="str">
        <x:v>Theo hồ sơ dự án</x:v>
      </x:c>
      <x:c r="I22" s="14" t="str">
        <x:v>Kiểm tra điều kiện áp dụng theo loại dự án và địa phương</x:v>
      </x:c>
    </x:row>
    <x:row r="23">
      <x:c r="A23" s="14" t="str">
        <x:v>DA03</x:v>
      </x:c>
      <x:c r="B23" s="14" t="str">
        <x:v>PL04</x:v>
      </x:c>
      <x:c r="C23" s="14" t="str">
        <x:v>Nghĩa vụ tài chính về đất</x:v>
      </x:c>
      <x:c r="D23" s="14" t="str">
        <x:v>Đất đai</x:v>
      </x:c>
      <x:c r="E23" s="14" t="str">
        <x:v>Hoàn thành</x:v>
      </x:c>
      <x:c r="F23" s="14" t="str">
        <x:v>Rất cao</x:v>
      </x:c>
      <x:c r="G23" s="14" t="str">
        <x:v>Pháp chế/Phát triển dự án</x:v>
      </x:c>
      <x:c r="H23" s="14" t="str">
        <x:v>Theo hồ sơ dự án</x:v>
      </x:c>
      <x:c r="I23" s="14" t="str">
        <x:v>Kiểm tra điều kiện áp dụng theo loại dự án và địa phương</x:v>
      </x:c>
    </x:row>
    <x:row r="24">
      <x:c r="A24" s="14" t="str">
        <x:v>DA03</x:v>
      </x:c>
      <x:c r="B24" s="14" t="str">
        <x:v>PL05</x:v>
      </x:c>
      <x:c r="C24" s="14" t="str">
        <x:v>Thiết kế/PCCC/môi trường áp dụng</x:v>
      </x:c>
      <x:c r="D24" s="14" t="str">
        <x:v>Xây dựng</x:v>
      </x:c>
      <x:c r="E24" s="14" t="str">
        <x:v>Hoàn thành</x:v>
      </x:c>
      <x:c r="F24" s="14" t="str">
        <x:v>Cao</x:v>
      </x:c>
      <x:c r="G24" s="14" t="str">
        <x:v>Pháp chế/Phát triển dự án</x:v>
      </x:c>
      <x:c r="H24" s="14" t="str">
        <x:v>Theo hồ sơ dự án</x:v>
      </x:c>
      <x:c r="I24" s="14" t="str">
        <x:v>Kiểm tra điều kiện áp dụng theo loại dự án và địa phương</x:v>
      </x:c>
    </x:row>
    <x:row r="25">
      <x:c r="A25" s="14" t="str">
        <x:v>DA03</x:v>
      </x:c>
      <x:c r="B25" s="14" t="str">
        <x:v>PL06</x:v>
      </x:c>
      <x:c r="C25" s="14" t="str">
        <x:v>Giấy phép xây dựng/điều kiện khởi công</x:v>
      </x:c>
      <x:c r="D25" s="14" t="str">
        <x:v>Xây dựng</x:v>
      </x:c>
      <x:c r="E25" s="14" t="str">
        <x:v>Chưa bắt đầu</x:v>
      </x:c>
      <x:c r="F25" s="14" t="str">
        <x:v>Rất cao</x:v>
      </x:c>
      <x:c r="G25" s="14" t="str">
        <x:v>Pháp chế/Phát triển dự án</x:v>
      </x:c>
      <x:c r="H25" s="14" t="str">
        <x:v>Theo hồ sơ dự án</x:v>
      </x:c>
      <x:c r="I25" s="14" t="str">
        <x:v>Kiểm tra điều kiện áp dụng theo loại dự án và địa phương</x:v>
      </x:c>
    </x:row>
    <x:row r="26">
      <x:c r="A26" s="14" t="str">
        <x:v>DA03</x:v>
      </x:c>
      <x:c r="B26" s="14" t="str">
        <x:v>PL07</x:v>
      </x:c>
      <x:c r="C26" s="14" t="str">
        <x:v>Điều kiện kinh doanh/mở bán</x:v>
      </x:c>
      <x:c r="D26" s="14" t="str">
        <x:v>Kinh doanh BĐS</x:v>
      </x:c>
      <x:c r="E26" s="14" t="str">
        <x:v>Hoàn thành</x:v>
      </x:c>
      <x:c r="F26" s="14" t="str">
        <x:v>Rất cao</x:v>
      </x:c>
      <x:c r="G26" s="14" t="str">
        <x:v>Pháp chế/Phát triển dự án</x:v>
      </x:c>
      <x:c r="H26" s="14" t="str">
        <x:v>Theo hồ sơ dự án</x:v>
      </x:c>
      <x:c r="I26" s="14" t="str">
        <x:v>Kiểm tra điều kiện áp dụng theo loại dự án và địa phương</x:v>
      </x:c>
    </x:row>
    <x:row r="27">
      <x:c r="A27" s="14" t="str">
        <x:v>DA03</x:v>
      </x:c>
      <x:c r="B27" s="14" t="str">
        <x:v>PL08</x:v>
      </x:c>
      <x:c r="C27" s="14" t="str">
        <x:v>Nghiệm thu/bàn giao/GCN</x:v>
      </x:c>
      <x:c r="D27" s="14" t="str">
        <x:v>Bàn giao</x:v>
      </x:c>
      <x:c r="E27" s="14" t="str">
        <x:v>Chưa bắt đầu</x:v>
      </x:c>
      <x:c r="F27" s="14" t="str">
        <x:v>Cao</x:v>
      </x:c>
      <x:c r="G27" s="14" t="str">
        <x:v>Pháp chế/Phát triển dự án</x:v>
      </x:c>
      <x:c r="H27" s="14" t="str">
        <x:v>Theo hồ sơ dự án</x:v>
      </x:c>
      <x:c r="I27" s="14" t="str">
        <x:v>Kiểm tra điều kiện áp dụng theo loại dự án và địa phương</x:v>
      </x:c>
    </x:row>
    <x:row r="28">
      <x:c r="A28" s="14" t="str">
        <x:v>DA04</x:v>
      </x:c>
      <x:c r="B28" s="14" t="str">
        <x:v>PL01</x:v>
      </x:c>
      <x:c r="C28" s="14" t="str">
        <x:v>Chấp thuận/chủ trương đầu tư</x:v>
      </x:c>
      <x:c r="D28" s="14" t="str">
        <x:v>Đầu tư</x:v>
      </x:c>
      <x:c r="E28" s="14" t="str">
        <x:v>Hoàn thành</x:v>
      </x:c>
      <x:c r="F28" s="14" t="str">
        <x:v>Rất cao</x:v>
      </x:c>
      <x:c r="G28" s="14" t="str">
        <x:v>Pháp chế/Phát triển dự án</x:v>
      </x:c>
      <x:c r="H28" s="14" t="str">
        <x:v>Theo hồ sơ dự án</x:v>
      </x:c>
      <x:c r="I28" s="14" t="str">
        <x:v>Kiểm tra điều kiện áp dụng theo loại dự án và địa phương</x:v>
      </x:c>
    </x:row>
    <x:row r="29">
      <x:c r="A29" s="14" t="str">
        <x:v>DA04</x:v>
      </x:c>
      <x:c r="B29" s="14" t="str">
        <x:v>PL02</x:v>
      </x:c>
      <x:c r="C29" s="14" t="str">
        <x:v>Quy hoạch chi tiết 1/500</x:v>
      </x:c>
      <x:c r="D29" s="14" t="str">
        <x:v>Quy hoạch</x:v>
      </x:c>
      <x:c r="E29" s="14" t="str">
        <x:v>Hoàn thành</x:v>
      </x:c>
      <x:c r="F29" s="14" t="str">
        <x:v>Rất cao</x:v>
      </x:c>
      <x:c r="G29" s="14" t="str">
        <x:v>Pháp chế/Phát triển dự án</x:v>
      </x:c>
      <x:c r="H29" s="14" t="str">
        <x:v>Theo hồ sơ dự án</x:v>
      </x:c>
      <x:c r="I29" s="14" t="str">
        <x:v>Kiểm tra điều kiện áp dụng theo loại dự án và địa phương</x:v>
      </x:c>
    </x:row>
    <x:row r="30">
      <x:c r="A30" s="14" t="str">
        <x:v>DA04</x:v>
      </x:c>
      <x:c r="B30" s="14" t="str">
        <x:v>PL03</x:v>
      </x:c>
      <x:c r="C30" s="14" t="str">
        <x:v>Đất đai/GPMB/quyền sử dụng đất</x:v>
      </x:c>
      <x:c r="D30" s="14" t="str">
        <x:v>Đất đai</x:v>
      </x:c>
      <x:c r="E30" s="14" t="str">
        <x:v>Hoàn thành</x:v>
      </x:c>
      <x:c r="F30" s="14" t="str">
        <x:v>Rất cao</x:v>
      </x:c>
      <x:c r="G30" s="14" t="str">
        <x:v>Pháp chế/Phát triển dự án</x:v>
      </x:c>
      <x:c r="H30" s="14" t="str">
        <x:v>Theo hồ sơ dự án</x:v>
      </x:c>
      <x:c r="I30" s="14" t="str">
        <x:v>Kiểm tra điều kiện áp dụng theo loại dự án và địa phương</x:v>
      </x:c>
    </x:row>
    <x:row r="31">
      <x:c r="A31" s="14" t="str">
        <x:v>DA04</x:v>
      </x:c>
      <x:c r="B31" s="14" t="str">
        <x:v>PL04</x:v>
      </x:c>
      <x:c r="C31" s="14" t="str">
        <x:v>Nghĩa vụ tài chính về đất</x:v>
      </x:c>
      <x:c r="D31" s="14" t="str">
        <x:v>Đất đai</x:v>
      </x:c>
      <x:c r="E31" s="14" t="str">
        <x:v>Hoàn thành</x:v>
      </x:c>
      <x:c r="F31" s="14" t="str">
        <x:v>Rất cao</x:v>
      </x:c>
      <x:c r="G31" s="14" t="str">
        <x:v>Pháp chế/Phát triển dự án</x:v>
      </x:c>
      <x:c r="H31" s="14" t="str">
        <x:v>Theo hồ sơ dự án</x:v>
      </x:c>
      <x:c r="I31" s="14" t="str">
        <x:v>Kiểm tra điều kiện áp dụng theo loại dự án và địa phương</x:v>
      </x:c>
    </x:row>
    <x:row r="32">
      <x:c r="A32" s="14" t="str">
        <x:v>DA04</x:v>
      </x:c>
      <x:c r="B32" s="14" t="str">
        <x:v>PL05</x:v>
      </x:c>
      <x:c r="C32" s="14" t="str">
        <x:v>Thiết kế/PCCC/môi trường áp dụng</x:v>
      </x:c>
      <x:c r="D32" s="14" t="str">
        <x:v>Xây dựng</x:v>
      </x:c>
      <x:c r="E32" s="14" t="str">
        <x:v>Hoàn thành</x:v>
      </x:c>
      <x:c r="F32" s="14" t="str">
        <x:v>Cao</x:v>
      </x:c>
      <x:c r="G32" s="14" t="str">
        <x:v>Pháp chế/Phát triển dự án</x:v>
      </x:c>
      <x:c r="H32" s="14" t="str">
        <x:v>Theo hồ sơ dự án</x:v>
      </x:c>
      <x:c r="I32" s="14" t="str">
        <x:v>Kiểm tra điều kiện áp dụng theo loại dự án và địa phương</x:v>
      </x:c>
    </x:row>
    <x:row r="33">
      <x:c r="A33" s="14" t="str">
        <x:v>DA04</x:v>
      </x:c>
      <x:c r="B33" s="14" t="str">
        <x:v>PL06</x:v>
      </x:c>
      <x:c r="C33" s="14" t="str">
        <x:v>Giấy phép xây dựng/điều kiện khởi công</x:v>
      </x:c>
      <x:c r="D33" s="14" t="str">
        <x:v>Xây dựng</x:v>
      </x:c>
      <x:c r="E33" s="14" t="str">
        <x:v>Hoàn thành</x:v>
      </x:c>
      <x:c r="F33" s="14" t="str">
        <x:v>Rất cao</x:v>
      </x:c>
      <x:c r="G33" s="14" t="str">
        <x:v>Pháp chế/Phát triển dự án</x:v>
      </x:c>
      <x:c r="H33" s="14" t="str">
        <x:v>Theo hồ sơ dự án</x:v>
      </x:c>
      <x:c r="I33" s="14" t="str">
        <x:v>Kiểm tra điều kiện áp dụng theo loại dự án và địa phương</x:v>
      </x:c>
    </x:row>
    <x:row r="34">
      <x:c r="A34" s="14" t="str">
        <x:v>DA04</x:v>
      </x:c>
      <x:c r="B34" s="14" t="str">
        <x:v>PL07</x:v>
      </x:c>
      <x:c r="C34" s="14" t="str">
        <x:v>Điều kiện kinh doanh/mở bán</x:v>
      </x:c>
      <x:c r="D34" s="14" t="str">
        <x:v>Kinh doanh BĐS</x:v>
      </x:c>
      <x:c r="E34" s="14" t="str">
        <x:v>Hoàn thành</x:v>
      </x:c>
      <x:c r="F34" s="14" t="str">
        <x:v>Rất cao</x:v>
      </x:c>
      <x:c r="G34" s="14" t="str">
        <x:v>Pháp chế/Phát triển dự án</x:v>
      </x:c>
      <x:c r="H34" s="14" t="str">
        <x:v>Theo hồ sơ dự án</x:v>
      </x:c>
      <x:c r="I34" s="14" t="str">
        <x:v>Kiểm tra điều kiện áp dụng theo loại dự án và địa phương</x:v>
      </x:c>
    </x:row>
    <x:row r="35">
      <x:c r="A35" s="14" t="str">
        <x:v>DA04</x:v>
      </x:c>
      <x:c r="B35" s="14" t="str">
        <x:v>PL08</x:v>
      </x:c>
      <x:c r="C35" s="14" t="str">
        <x:v>Nghiệm thu/bàn giao/GCN</x:v>
      </x:c>
      <x:c r="D35" s="14" t="str">
        <x:v>Bàn giao</x:v>
      </x:c>
      <x:c r="E35" s="14" t="str">
        <x:v>Chưa bắt đầu</x:v>
      </x:c>
      <x:c r="F35" s="14" t="str">
        <x:v>Cao</x:v>
      </x:c>
      <x:c r="G35" s="14" t="str">
        <x:v>Pháp chế/Phát triển dự án</x:v>
      </x:c>
      <x:c r="H35" s="14" t="str">
        <x:v>Theo hồ sơ dự án</x:v>
      </x:c>
      <x:c r="I35" s="14" t="str">
        <x:v>Kiểm tra điều kiện áp dụng theo loại dự án và địa phương</x:v>
      </x:c>
    </x:row>
    <x:row r="36">
      <x:c r="A36" s="14" t="str">
        <x:v>DA05</x:v>
      </x:c>
      <x:c r="B36" s="14" t="str">
        <x:v>PL01</x:v>
      </x:c>
      <x:c r="C36" s="14" t="str">
        <x:v>Chấp thuận/chủ trương đầu tư</x:v>
      </x:c>
      <x:c r="D36" s="14" t="str">
        <x:v>Đầu tư</x:v>
      </x:c>
      <x:c r="E36" s="14" t="str">
        <x:v>Hoàn thành</x:v>
      </x:c>
      <x:c r="F36" s="14" t="str">
        <x:v>Rất cao</x:v>
      </x:c>
      <x:c r="G36" s="14" t="str">
        <x:v>Pháp chế/Phát triển dự án</x:v>
      </x:c>
      <x:c r="H36" s="14" t="str">
        <x:v>Theo hồ sơ dự án</x:v>
      </x:c>
      <x:c r="I36" s="14" t="str">
        <x:v>Kiểm tra điều kiện áp dụng theo loại dự án và địa phương</x:v>
      </x:c>
    </x:row>
    <x:row r="37">
      <x:c r="A37" s="14" t="str">
        <x:v>DA05</x:v>
      </x:c>
      <x:c r="B37" s="14" t="str">
        <x:v>PL02</x:v>
      </x:c>
      <x:c r="C37" s="14" t="str">
        <x:v>Quy hoạch chi tiết 1/500</x:v>
      </x:c>
      <x:c r="D37" s="14" t="str">
        <x:v>Quy hoạch</x:v>
      </x:c>
      <x:c r="E37" s="14" t="str">
        <x:v>Hoàn thành</x:v>
      </x:c>
      <x:c r="F37" s="14" t="str">
        <x:v>Rất cao</x:v>
      </x:c>
      <x:c r="G37" s="14" t="str">
        <x:v>Pháp chế/Phát triển dự án</x:v>
      </x:c>
      <x:c r="H37" s="14" t="str">
        <x:v>Theo hồ sơ dự án</x:v>
      </x:c>
      <x:c r="I37" s="14" t="str">
        <x:v>Kiểm tra điều kiện áp dụng theo loại dự án và địa phương</x:v>
      </x:c>
    </x:row>
    <x:row r="38">
      <x:c r="A38" s="14" t="str">
        <x:v>DA05</x:v>
      </x:c>
      <x:c r="B38" s="14" t="str">
        <x:v>PL03</x:v>
      </x:c>
      <x:c r="C38" s="14" t="str">
        <x:v>Đất đai/GPMB/quyền sử dụng đất</x:v>
      </x:c>
      <x:c r="D38" s="14" t="str">
        <x:v>Đất đai</x:v>
      </x:c>
      <x:c r="E38" s="14" t="str">
        <x:v>Hoàn thành</x:v>
      </x:c>
      <x:c r="F38" s="14" t="str">
        <x:v>Rất cao</x:v>
      </x:c>
      <x:c r="G38" s="14" t="str">
        <x:v>Pháp chế/Phát triển dự án</x:v>
      </x:c>
      <x:c r="H38" s="14" t="str">
        <x:v>Theo hồ sơ dự án</x:v>
      </x:c>
      <x:c r="I38" s="14" t="str">
        <x:v>Kiểm tra điều kiện áp dụng theo loại dự án và địa phương</x:v>
      </x:c>
    </x:row>
    <x:row r="39">
      <x:c r="A39" s="14" t="str">
        <x:v>DA05</x:v>
      </x:c>
      <x:c r="B39" s="14" t="str">
        <x:v>PL04</x:v>
      </x:c>
      <x:c r="C39" s="14" t="str">
        <x:v>Nghĩa vụ tài chính về đất</x:v>
      </x:c>
      <x:c r="D39" s="14" t="str">
        <x:v>Đất đai</x:v>
      </x:c>
      <x:c r="E39" s="14" t="str">
        <x:v>Hoàn thành</x:v>
      </x:c>
      <x:c r="F39" s="14" t="str">
        <x:v>Rất cao</x:v>
      </x:c>
      <x:c r="G39" s="14" t="str">
        <x:v>Pháp chế/Phát triển dự án</x:v>
      </x:c>
      <x:c r="H39" s="14" t="str">
        <x:v>Theo hồ sơ dự án</x:v>
      </x:c>
      <x:c r="I39" s="14" t="str">
        <x:v>Kiểm tra điều kiện áp dụng theo loại dự án và địa phương</x:v>
      </x:c>
    </x:row>
    <x:row r="40">
      <x:c r="A40" s="14" t="str">
        <x:v>DA05</x:v>
      </x:c>
      <x:c r="B40" s="14" t="str">
        <x:v>PL05</x:v>
      </x:c>
      <x:c r="C40" s="14" t="str">
        <x:v>Thiết kế/PCCC/môi trường áp dụng</x:v>
      </x:c>
      <x:c r="D40" s="14" t="str">
        <x:v>Xây dựng</x:v>
      </x:c>
      <x:c r="E40" s="14" t="str">
        <x:v>Hoàn thành</x:v>
      </x:c>
      <x:c r="F40" s="14" t="str">
        <x:v>Cao</x:v>
      </x:c>
      <x:c r="G40" s="14" t="str">
        <x:v>Pháp chế/Phát triển dự án</x:v>
      </x:c>
      <x:c r="H40" s="14" t="str">
        <x:v>Theo hồ sơ dự án</x:v>
      </x:c>
      <x:c r="I40" s="14" t="str">
        <x:v>Kiểm tra điều kiện áp dụng theo loại dự án và địa phương</x:v>
      </x:c>
    </x:row>
    <x:row r="41">
      <x:c r="A41" s="14" t="str">
        <x:v>DA05</x:v>
      </x:c>
      <x:c r="B41" s="14" t="str">
        <x:v>PL06</x:v>
      </x:c>
      <x:c r="C41" s="14" t="str">
        <x:v>Giấy phép xây dựng/điều kiện khởi công</x:v>
      </x:c>
      <x:c r="D41" s="14" t="str">
        <x:v>Xây dựng</x:v>
      </x:c>
      <x:c r="E41" s="14" t="str">
        <x:v>Hoàn thành</x:v>
      </x:c>
      <x:c r="F41" s="14" t="str">
        <x:v>Rất cao</x:v>
      </x:c>
      <x:c r="G41" s="14" t="str">
        <x:v>Pháp chế/Phát triển dự án</x:v>
      </x:c>
      <x:c r="H41" s="14" t="str">
        <x:v>Theo hồ sơ dự án</x:v>
      </x:c>
      <x:c r="I41" s="14" t="str">
        <x:v>Kiểm tra điều kiện áp dụng theo loại dự án và địa phương</x:v>
      </x:c>
    </x:row>
    <x:row r="42">
      <x:c r="A42" s="14" t="str">
        <x:v>DA05</x:v>
      </x:c>
      <x:c r="B42" s="14" t="str">
        <x:v>PL07</x:v>
      </x:c>
      <x:c r="C42" s="14" t="str">
        <x:v>Điều kiện kinh doanh/mở bán</x:v>
      </x:c>
      <x:c r="D42" s="14" t="str">
        <x:v>Kinh doanh BĐS</x:v>
      </x:c>
      <x:c r="E42" s="14" t="str">
        <x:v>Hoàn thành</x:v>
      </x:c>
      <x:c r="F42" s="14" t="str">
        <x:v>Rất cao</x:v>
      </x:c>
      <x:c r="G42" s="14" t="str">
        <x:v>Pháp chế/Phát triển dự án</x:v>
      </x:c>
      <x:c r="H42" s="14" t="str">
        <x:v>Theo hồ sơ dự án</x:v>
      </x:c>
      <x:c r="I42" s="14" t="str">
        <x:v>Kiểm tra điều kiện áp dụng theo loại dự án và địa phương</x:v>
      </x:c>
    </x:row>
    <x:row r="43">
      <x:c r="A43" s="14" t="str">
        <x:v>DA05</x:v>
      </x:c>
      <x:c r="B43" s="14" t="str">
        <x:v>PL08</x:v>
      </x:c>
      <x:c r="C43" s="14" t="str">
        <x:v>Nghiệm thu/bàn giao/GCN</x:v>
      </x:c>
      <x:c r="D43" s="14" t="str">
        <x:v>Bàn giao</x:v>
      </x:c>
      <x:c r="E43" s="14" t="str">
        <x:v>Hoàn thành</x:v>
      </x:c>
      <x:c r="F43" s="14" t="str">
        <x:v>Cao</x:v>
      </x:c>
      <x:c r="G43" s="14" t="str">
        <x:v>Pháp chế/Phát triển dự án</x:v>
      </x:c>
      <x:c r="H43" s="14" t="str">
        <x:v>Theo hồ sơ dự án</x:v>
      </x:c>
      <x:c r="I43" s="14" t="str">
        <x:v>Kiểm tra điều kiện áp dụng theo loại dự án và địa phương</x:v>
      </x:c>
    </x:row>
    <x:row r="44">
      <x:c r="A44" s="14" t="str">
        <x:v>DA06</x:v>
      </x:c>
      <x:c r="B44" s="14" t="str">
        <x:v>PL01</x:v>
      </x:c>
      <x:c r="C44" s="14" t="str">
        <x:v>Chấp thuận/chủ trương đầu tư</x:v>
      </x:c>
      <x:c r="D44" s="14" t="str">
        <x:v>Đầu tư</x:v>
      </x:c>
      <x:c r="E44" s="14" t="str">
        <x:v>Đang thực hiện</x:v>
      </x:c>
      <x:c r="F44" s="14" t="str">
        <x:v>Rất cao</x:v>
      </x:c>
      <x:c r="G44" s="14" t="str">
        <x:v>Pháp chế/Phát triển dự án</x:v>
      </x:c>
      <x:c r="H44" s="14" t="str">
        <x:v>Theo hồ sơ dự án</x:v>
      </x:c>
      <x:c r="I44" s="14" t="str">
        <x:v>Kiểm tra điều kiện áp dụng theo loại dự án và địa phương</x:v>
      </x:c>
    </x:row>
    <x:row r="45">
      <x:c r="A45" s="14" t="str">
        <x:v>DA06</x:v>
      </x:c>
      <x:c r="B45" s="14" t="str">
        <x:v>PL02</x:v>
      </x:c>
      <x:c r="C45" s="14" t="str">
        <x:v>Quy hoạch chi tiết 1/500</x:v>
      </x:c>
      <x:c r="D45" s="14" t="str">
        <x:v>Quy hoạch</x:v>
      </x:c>
      <x:c r="E45" s="14" t="str">
        <x:v>Đang thực hiện</x:v>
      </x:c>
      <x:c r="F45" s="14" t="str">
        <x:v>Rất cao</x:v>
      </x:c>
      <x:c r="G45" s="14" t="str">
        <x:v>Pháp chế/Phát triển dự án</x:v>
      </x:c>
      <x:c r="H45" s="14" t="str">
        <x:v>Theo hồ sơ dự án</x:v>
      </x:c>
      <x:c r="I45" s="14" t="str">
        <x:v>Kiểm tra điều kiện áp dụng theo loại dự án và địa phương</x:v>
      </x:c>
    </x:row>
    <x:row r="46">
      <x:c r="A46" s="14" t="str">
        <x:v>DA06</x:v>
      </x:c>
      <x:c r="B46" s="14" t="str">
        <x:v>PL03</x:v>
      </x:c>
      <x:c r="C46" s="14" t="str">
        <x:v>Đất đai/GPMB/quyền sử dụng đất</x:v>
      </x:c>
      <x:c r="D46" s="14" t="str">
        <x:v>Đất đai</x:v>
      </x:c>
      <x:c r="E46" s="14" t="str">
        <x:v>Đang thực hiện</x:v>
      </x:c>
      <x:c r="F46" s="14" t="str">
        <x:v>Rất cao</x:v>
      </x:c>
      <x:c r="G46" s="14" t="str">
        <x:v>Pháp chế/Phát triển dự án</x:v>
      </x:c>
      <x:c r="H46" s="14" t="str">
        <x:v>Theo hồ sơ dự án</x:v>
      </x:c>
      <x:c r="I46" s="14" t="str">
        <x:v>Kiểm tra điều kiện áp dụng theo loại dự án và địa phương</x:v>
      </x:c>
    </x:row>
    <x:row r="47">
      <x:c r="A47" s="14" t="str">
        <x:v>DA06</x:v>
      </x:c>
      <x:c r="B47" s="14" t="str">
        <x:v>PL04</x:v>
      </x:c>
      <x:c r="C47" s="14" t="str">
        <x:v>Nghĩa vụ tài chính về đất</x:v>
      </x:c>
      <x:c r="D47" s="14" t="str">
        <x:v>Đất đai</x:v>
      </x:c>
      <x:c r="E47" s="14" t="str">
        <x:v>Chờ cơ quan NN</x:v>
      </x:c>
      <x:c r="F47" s="14" t="str">
        <x:v>Rất cao</x:v>
      </x:c>
      <x:c r="G47" s="14" t="str">
        <x:v>Pháp chế/Phát triển dự án</x:v>
      </x:c>
      <x:c r="H47" s="14" t="str">
        <x:v>Theo hồ sơ dự án</x:v>
      </x:c>
      <x:c r="I47" s="14" t="str">
        <x:v>Kiểm tra điều kiện áp dụng theo loại dự án và địa phương</x:v>
      </x:c>
    </x:row>
    <x:row r="48">
      <x:c r="A48" s="14" t="str">
        <x:v>DA06</x:v>
      </x:c>
      <x:c r="B48" s="14" t="str">
        <x:v>PL05</x:v>
      </x:c>
      <x:c r="C48" s="14" t="str">
        <x:v>Thiết kế/PCCC/môi trường áp dụng</x:v>
      </x:c>
      <x:c r="D48" s="14" t="str">
        <x:v>Xây dựng</x:v>
      </x:c>
      <x:c r="E48" s="14" t="str">
        <x:v>Chưa bắt đầu</x:v>
      </x:c>
      <x:c r="F48" s="14" t="str">
        <x:v>Cao</x:v>
      </x:c>
      <x:c r="G48" s="14" t="str">
        <x:v>Pháp chế/Phát triển dự án</x:v>
      </x:c>
      <x:c r="H48" s="14" t="str">
        <x:v>Theo hồ sơ dự án</x:v>
      </x:c>
      <x:c r="I48" s="14" t="str">
        <x:v>Kiểm tra điều kiện áp dụng theo loại dự án và địa phương</x:v>
      </x:c>
    </x:row>
    <x:row r="49">
      <x:c r="A49" s="14" t="str">
        <x:v>DA06</x:v>
      </x:c>
      <x:c r="B49" s="14" t="str">
        <x:v>PL06</x:v>
      </x:c>
      <x:c r="C49" s="14" t="str">
        <x:v>Giấy phép xây dựng/điều kiện khởi công</x:v>
      </x:c>
      <x:c r="D49" s="14" t="str">
        <x:v>Xây dựng</x:v>
      </x:c>
      <x:c r="E49" s="14" t="str">
        <x:v>Chưa bắt đầu</x:v>
      </x:c>
      <x:c r="F49" s="14" t="str">
        <x:v>Rất cao</x:v>
      </x:c>
      <x:c r="G49" s="14" t="str">
        <x:v>Pháp chế/Phát triển dự án</x:v>
      </x:c>
      <x:c r="H49" s="14" t="str">
        <x:v>Theo hồ sơ dự án</x:v>
      </x:c>
      <x:c r="I49" s="14" t="str">
        <x:v>Kiểm tra điều kiện áp dụng theo loại dự án và địa phương</x:v>
      </x:c>
    </x:row>
    <x:row r="50">
      <x:c r="A50" s="14" t="str">
        <x:v>DA06</x:v>
      </x:c>
      <x:c r="B50" s="14" t="str">
        <x:v>PL07</x:v>
      </x:c>
      <x:c r="C50" s="14" t="str">
        <x:v>Điều kiện kinh doanh/mở bán</x:v>
      </x:c>
      <x:c r="D50" s="14" t="str">
        <x:v>Kinh doanh BĐS</x:v>
      </x:c>
      <x:c r="E50" s="14" t="str">
        <x:v>Chưa bắt đầu</x:v>
      </x:c>
      <x:c r="F50" s="14" t="str">
        <x:v>Rất cao</x:v>
      </x:c>
      <x:c r="G50" s="14" t="str">
        <x:v>Pháp chế/Phát triển dự án</x:v>
      </x:c>
      <x:c r="H50" s="14" t="str">
        <x:v>Theo hồ sơ dự án</x:v>
      </x:c>
      <x:c r="I50" s="14" t="str">
        <x:v>Kiểm tra điều kiện áp dụng theo loại dự án và địa phương</x:v>
      </x:c>
    </x:row>
    <x:row r="51">
      <x:c r="A51" s="14" t="str">
        <x:v>DA06</x:v>
      </x:c>
      <x:c r="B51" s="14" t="str">
        <x:v>PL08</x:v>
      </x:c>
      <x:c r="C51" s="14" t="str">
        <x:v>Nghiệm thu/bàn giao/GCN</x:v>
      </x:c>
      <x:c r="D51" s="14" t="str">
        <x:v>Bàn giao</x:v>
      </x:c>
      <x:c r="E51" s="14" t="str">
        <x:v>Chưa bắt đầu</x:v>
      </x:c>
      <x:c r="F51" s="14" t="str">
        <x:v>Cao</x:v>
      </x:c>
      <x:c r="G51" s="14" t="str">
        <x:v>Pháp chế/Phát triển dự án</x:v>
      </x:c>
      <x:c r="H51" s="14" t="str">
        <x:v>Theo hồ sơ dự án</x:v>
      </x:c>
      <x:c r="I51" s="14" t="str">
        <x:v>Kiểm tra điều kiện áp dụng theo loại dự án và địa phương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8" hidden="0" customWidth="1"/>
    <x:col min="4" max="4" width="16" hidden="0" customWidth="1"/>
    <x:col min="5" max="5" width="18" hidden="0" customWidth="1"/>
    <x:col min="6" max="6" width="22" hidden="0" customWidth="1"/>
    <x:col min="7" max="7" width="20" hidden="0" customWidth="1"/>
  </x:cols>
  <x:sheetData>
    <x:row r="1" ht="26" customHeight="1">
      <x:c r="A1" s="32" t="str">
        <x:v>03_CAPEX</x:v>
      </x:c>
      <x:c r="B1" s="32"/>
      <x:c r="C1" s="32"/>
      <x:c r="D1" s="32"/>
      <x:c r="E1" s="32"/>
      <x:c r="F1" s="32"/>
      <x:c r="G1" s="32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4" t="str">
        <x:v>Mã dự án</x:v>
      </x:c>
      <x:c r="B3" s="34" t="str">
        <x:v>Hạng mục</x:v>
      </x:c>
      <x:c r="C3" s="34" t="str">
        <x:v>Ngân sách (tỷ)</x:v>
      </x:c>
      <x:c r="D3" s="34" t="str">
        <x:v>Đã cam kết</x:v>
      </x:c>
      <x:c r="E3" s="34" t="str">
        <x:v>Đã thanh toán</x:v>
      </x:c>
      <x:c r="F3" s="34" t="str">
        <x:v>Dự báo hoàn thành</x:v>
      </x:c>
      <x:c r="G3" s="34" t="str">
        <x:v>Chênh lệch vs NS</x:v>
      </x:c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5" t="str">
        <x:v>DA01</x:v>
      </x:c>
      <x:c r="B4" s="35" t="str">
        <x:v>Đất/GPMB</x:v>
      </x:c>
      <x:c r="C4" s="35" t="n">
        <x:v>1625</x:v>
      </x:c>
      <x:c r="D4" s="35" t="n">
        <x:v>243.75</x:v>
      </x:c>
      <x:c r="E4" s="35" t="n">
        <x:v>0</x:v>
      </x:c>
      <x:c r="F4" s="35" t="n">
        <x:v>1625</x:v>
      </x:c>
      <x:c r="G4" s="35" t="n">
        <x:v>0</x:v>
      </x:c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5" t="str">
        <x:v>DA01</x:v>
      </x:c>
      <x:c r="B5" s="35" t="str">
        <x:v>Xây dựng &amp; hạ tầng</x:v>
      </x:c>
      <x:c r="C5" s="35" t="n">
        <x:v>3120</x:v>
      </x:c>
      <x:c r="D5" s="35" t="n">
        <x:v>468</x:v>
      </x:c>
      <x:c r="E5" s="35" t="n">
        <x:v>0</x:v>
      </x:c>
      <x:c r="F5" s="35" t="n">
        <x:v>3120</x:v>
      </x:c>
      <x:c r="G5" s="35" t="n">
        <x:v>0</x:v>
      </x:c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5" t="str">
        <x:v>DA01</x:v>
      </x:c>
      <x:c r="B6" s="35" t="str">
        <x:v>Thiết kế/TVQLDA</x:v>
      </x:c>
      <x:c r="C6" s="35" t="n">
        <x:v>390</x:v>
      </x:c>
      <x:c r="D6" s="35" t="n">
        <x:v>58.5</x:v>
      </x:c>
      <x:c r="E6" s="35" t="n">
        <x:v>0</x:v>
      </x:c>
      <x:c r="F6" s="35" t="n">
        <x:v>390</x:v>
      </x:c>
      <x:c r="G6" s="35" t="n">
        <x:v>0</x:v>
      </x:c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5" t="str">
        <x:v>DA01</x:v>
      </x:c>
      <x:c r="B7" s="35" t="str">
        <x:v>Lãi vay vốn hóa</x:v>
      </x:c>
      <x:c r="C7" s="35" t="n">
        <x:v>520</x:v>
      </x:c>
      <x:c r="D7" s="35" t="n">
        <x:v>78</x:v>
      </x:c>
      <x:c r="E7" s="35" t="n">
        <x:v>0</x:v>
      </x:c>
      <x:c r="F7" s="35" t="n">
        <x:v>520</x:v>
      </x:c>
      <x:c r="G7" s="35" t="n">
        <x:v>0</x:v>
      </x:c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5" t="str">
        <x:v>DA01</x:v>
      </x:c>
      <x:c r="B8" s="35" t="str">
        <x:v>Marketing &amp; bán hàng</x:v>
      </x:c>
      <x:c r="C8" s="35" t="n">
        <x:v>325</x:v>
      </x:c>
      <x:c r="D8" s="35" t="n">
        <x:v>48.75</x:v>
      </x:c>
      <x:c r="E8" s="35" t="n">
        <x:v>0</x:v>
      </x:c>
      <x:c r="F8" s="35" t="n">
        <x:v>325</x:v>
      </x:c>
      <x:c r="G8" s="35" t="n">
        <x:v>0</x:v>
      </x:c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5" t="str">
        <x:v>DA01</x:v>
      </x:c>
      <x:c r="B9" s="35" t="str">
        <x:v>Khác &amp; dự phòng</x:v>
      </x:c>
      <x:c r="C9" s="35" t="n">
        <x:v>520</x:v>
      </x:c>
      <x:c r="D9" s="35" t="n">
        <x:v>78</x:v>
      </x:c>
      <x:c r="E9" s="35" t="n">
        <x:v>0</x:v>
      </x:c>
      <x:c r="F9" s="35" t="n">
        <x:v>520</x:v>
      </x:c>
      <x:c r="G9" s="35" t="n">
        <x:v>0</x:v>
      </x:c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5" t="str">
        <x:v>DA02</x:v>
      </x:c>
      <x:c r="B10" s="35" t="str">
        <x:v>Đất/GPMB</x:v>
      </x:c>
      <x:c r="C10" s="35" t="n">
        <x:v>1800</x:v>
      </x:c>
      <x:c r="D10" s="35" t="n">
        <x:v>486.00000000000006</x:v>
      </x:c>
      <x:c r="E10" s="35" t="n">
        <x:v>216</x:v>
      </x:c>
      <x:c r="F10" s="35" t="n">
        <x:v>1800</x:v>
      </x:c>
      <x:c r="G10" s="35" t="n">
        <x:v>0</x:v>
      </x:c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5" t="str">
        <x:v>DA02</x:v>
      </x:c>
      <x:c r="B11" s="35" t="str">
        <x:v>Xây dựng &amp; hạ tầng</x:v>
      </x:c>
      <x:c r="C11" s="35" t="n">
        <x:v>3456</x:v>
      </x:c>
      <x:c r="D11" s="35" t="n">
        <x:v>518.4</x:v>
      </x:c>
      <x:c r="E11" s="35" t="n">
        <x:v>0</x:v>
      </x:c>
      <x:c r="F11" s="35" t="n">
        <x:v>3456</x:v>
      </x:c>
      <x:c r="G11" s="35" t="n">
        <x:v>0</x:v>
      </x:c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5" t="str">
        <x:v>DA02</x:v>
      </x:c>
      <x:c r="B12" s="35" t="str">
        <x:v>Thiết kế/TVQLDA</x:v>
      </x:c>
      <x:c r="C12" s="35" t="n">
        <x:v>432</x:v>
      </x:c>
      <x:c r="D12" s="35" t="n">
        <x:v>64.8</x:v>
      </x:c>
      <x:c r="E12" s="35" t="n">
        <x:v>0</x:v>
      </x:c>
      <x:c r="F12" s="35" t="n">
        <x:v>432</x:v>
      </x:c>
      <x:c r="G12" s="35" t="n">
        <x:v>0</x:v>
      </x:c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5" t="str">
        <x:v>DA02</x:v>
      </x:c>
      <x:c r="B13" s="35" t="str">
        <x:v>Lãi vay vốn hóa</x:v>
      </x:c>
      <x:c r="C13" s="35" t="n">
        <x:v>576</x:v>
      </x:c>
      <x:c r="D13" s="35" t="n">
        <x:v>86.39999999999999</x:v>
      </x:c>
      <x:c r="E13" s="35" t="n">
        <x:v>0</x:v>
      </x:c>
      <x:c r="F13" s="35" t="n">
        <x:v>576</x:v>
      </x:c>
      <x:c r="G13" s="35" t="n">
        <x:v>0</x:v>
      </x:c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5" t="str">
        <x:v>DA02</x:v>
      </x:c>
      <x:c r="B14" s="35" t="str">
        <x:v>Marketing &amp; bán hàng</x:v>
      </x:c>
      <x:c r="C14" s="35" t="n">
        <x:v>360</x:v>
      </x:c>
      <x:c r="D14" s="35" t="n">
        <x:v>54</x:v>
      </x:c>
      <x:c r="E14" s="35" t="n">
        <x:v>0</x:v>
      </x:c>
      <x:c r="F14" s="35" t="n">
        <x:v>360</x:v>
      </x:c>
      <x:c r="G14" s="35" t="n">
        <x:v>0</x:v>
      </x:c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5" t="str">
        <x:v>DA02</x:v>
      </x:c>
      <x:c r="B15" s="35" t="str">
        <x:v>Khác &amp; dự phòng</x:v>
      </x:c>
      <x:c r="C15" s="35" t="n">
        <x:v>576</x:v>
      </x:c>
      <x:c r="D15" s="35" t="n">
        <x:v>86.39999999999999</x:v>
      </x:c>
      <x:c r="E15" s="35" t="n">
        <x:v>0</x:v>
      </x:c>
      <x:c r="F15" s="35" t="n">
        <x:v>576</x:v>
      </x:c>
      <x:c r="G15" s="35" t="n">
        <x:v>0</x:v>
      </x:c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5" t="str">
        <x:v>DA03</x:v>
      </x:c>
      <x:c r="B16" s="35" t="str">
        <x:v>Đất/GPMB</x:v>
      </x:c>
      <x:c r="C16" s="35" t="n">
        <x:v>2450</x:v>
      </x:c>
      <x:c r="D16" s="35" t="n">
        <x:v>1396.4999999999998</x:v>
      </x:c>
      <x:c r="E16" s="35" t="n">
        <x:v>1029</x:v>
      </x:c>
      <x:c r="F16" s="35" t="n">
        <x:v>2450</x:v>
      </x:c>
      <x:c r="G16" s="35" t="n">
        <x:v>0</x:v>
      </x:c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5" t="str">
        <x:v>DA03</x:v>
      </x:c>
      <x:c r="B17" s="35" t="str">
        <x:v>Xây dựng &amp; hạ tầng</x:v>
      </x:c>
      <x:c r="C17" s="35" t="n">
        <x:v>4704</x:v>
      </x:c>
      <x:c r="D17" s="35" t="n">
        <x:v>2681.2799999999997</x:v>
      </x:c>
      <x:c r="E17" s="35" t="n">
        <x:v>1975.6799999999998</x:v>
      </x:c>
      <x:c r="F17" s="35" t="n">
        <x:v>4939.2</x:v>
      </x:c>
      <x:c r="G17" s="35" t="n">
        <x:v>235.19999999999982</x:v>
      </x:c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5" t="str">
        <x:v>DA03</x:v>
      </x:c>
      <x:c r="B18" s="35" t="str">
        <x:v>Thiết kế/TVQLDA</x:v>
      </x:c>
      <x:c r="C18" s="35" t="n">
        <x:v>588</x:v>
      </x:c>
      <x:c r="D18" s="35" t="n">
        <x:v>335.15999999999997</x:v>
      </x:c>
      <x:c r="E18" s="35" t="n">
        <x:v>246.95999999999998</x:v>
      </x:c>
      <x:c r="F18" s="35" t="n">
        <x:v>588</x:v>
      </x:c>
      <x:c r="G18" s="35" t="n">
        <x:v>0</x:v>
      </x:c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5" t="str">
        <x:v>DA03</x:v>
      </x:c>
      <x:c r="B19" s="35" t="str">
        <x:v>Lãi vay vốn hóa</x:v>
      </x:c>
      <x:c r="C19" s="35" t="n">
        <x:v>784</x:v>
      </x:c>
      <x:c r="D19" s="35" t="n">
        <x:v>446.87999999999994</x:v>
      </x:c>
      <x:c r="E19" s="35" t="n">
        <x:v>329.28</x:v>
      </x:c>
      <x:c r="F19" s="35" t="n">
        <x:v>784</x:v>
      </x:c>
      <x:c r="G19" s="35" t="n">
        <x:v>0</x:v>
      </x:c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5" t="str">
        <x:v>DA03</x:v>
      </x:c>
      <x:c r="B20" s="35" t="str">
        <x:v>Marketing &amp; bán hàng</x:v>
      </x:c>
      <x:c r="C20" s="35" t="n">
        <x:v>490</x:v>
      </x:c>
      <x:c r="D20" s="35" t="n">
        <x:v>279.29999999999995</x:v>
      </x:c>
      <x:c r="E20" s="35" t="n">
        <x:v>205.79999999999998</x:v>
      </x:c>
      <x:c r="F20" s="35" t="n">
        <x:v>490</x:v>
      </x:c>
      <x:c r="G20" s="35" t="n">
        <x:v>0</x:v>
      </x:c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5" t="str">
        <x:v>DA03</x:v>
      </x:c>
      <x:c r="B21" s="35" t="str">
        <x:v>Khác &amp; dự phòng</x:v>
      </x:c>
      <x:c r="C21" s="35" t="n">
        <x:v>784</x:v>
      </x:c>
      <x:c r="D21" s="35" t="n">
        <x:v>446.87999999999994</x:v>
      </x:c>
      <x:c r="E21" s="35" t="n">
        <x:v>329.28</x:v>
      </x:c>
      <x:c r="F21" s="35" t="n">
        <x:v>784</x:v>
      </x:c>
      <x:c r="G21" s="35" t="n">
        <x:v>0</x:v>
      </x:c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5" t="str">
        <x:v>DA04</x:v>
      </x:c>
      <x:c r="B22" s="35" t="str">
        <x:v>Đất/GPMB</x:v>
      </x:c>
      <x:c r="C22" s="35" t="n">
        <x:v>2100</x:v>
      </x:c>
      <x:c r="D22" s="35" t="n">
        <x:v>1722.0000000000002</x:v>
      </x:c>
      <x:c r="E22" s="35" t="n">
        <x:v>1407</x:v>
      </x:c>
      <x:c r="F22" s="35" t="n">
        <x:v>2100</x:v>
      </x:c>
      <x:c r="G22" s="35" t="n">
        <x:v>0</x:v>
      </x:c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5" t="str">
        <x:v>DA04</x:v>
      </x:c>
      <x:c r="B23" s="35" t="str">
        <x:v>Xây dựng &amp; hạ tầng</x:v>
      </x:c>
      <x:c r="C23" s="35" t="n">
        <x:v>4032</x:v>
      </x:c>
      <x:c r="D23" s="35" t="n">
        <x:v>3306.2400000000002</x:v>
      </x:c>
      <x:c r="E23" s="35" t="n">
        <x:v>2701.44</x:v>
      </x:c>
      <x:c r="F23" s="35" t="n">
        <x:v>4032</x:v>
      </x:c>
      <x:c r="G23" s="35" t="n">
        <x:v>0</x:v>
      </x:c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5" t="str">
        <x:v>DA04</x:v>
      </x:c>
      <x:c r="B24" s="35" t="str">
        <x:v>Thiết kế/TVQLDA</x:v>
      </x:c>
      <x:c r="C24" s="35" t="n">
        <x:v>504</x:v>
      </x:c>
      <x:c r="D24" s="35" t="n">
        <x:v>413.28000000000003</x:v>
      </x:c>
      <x:c r="E24" s="35" t="n">
        <x:v>337.68</x:v>
      </x:c>
      <x:c r="F24" s="35" t="n">
        <x:v>504</x:v>
      </x:c>
      <x:c r="G24" s="35" t="n">
        <x:v>0</x:v>
      </x:c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5" t="str">
        <x:v>DA04</x:v>
      </x:c>
      <x:c r="B25" s="35" t="str">
        <x:v>Lãi vay vốn hóa</x:v>
      </x:c>
      <x:c r="C25" s="35" t="n">
        <x:v>672</x:v>
      </x:c>
      <x:c r="D25" s="35" t="n">
        <x:v>551.0400000000001</x:v>
      </x:c>
      <x:c r="E25" s="35" t="n">
        <x:v>450.24</x:v>
      </x:c>
      <x:c r="F25" s="35" t="n">
        <x:v>672</x:v>
      </x:c>
      <x:c r="G25" s="35" t="n">
        <x:v>0</x:v>
      </x:c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5" t="str">
        <x:v>DA04</x:v>
      </x:c>
      <x:c r="B26" s="35" t="str">
        <x:v>Marketing &amp; bán hàng</x:v>
      </x:c>
      <x:c r="C26" s="35" t="n">
        <x:v>420</x:v>
      </x:c>
      <x:c r="D26" s="35" t="n">
        <x:v>344.40000000000003</x:v>
      </x:c>
      <x:c r="E26" s="35" t="n">
        <x:v>281.40000000000003</x:v>
      </x:c>
      <x:c r="F26" s="35" t="n">
        <x:v>420</x:v>
      </x:c>
      <x:c r="G26" s="35" t="n">
        <x:v>0</x:v>
      </x:c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5" t="str">
        <x:v>DA04</x:v>
      </x:c>
      <x:c r="B27" s="35" t="str">
        <x:v>Khác &amp; dự phòng</x:v>
      </x:c>
      <x:c r="C27" s="35" t="n">
        <x:v>672</x:v>
      </x:c>
      <x:c r="D27" s="35" t="n">
        <x:v>551.0400000000001</x:v>
      </x:c>
      <x:c r="E27" s="35" t="n">
        <x:v>450.24</x:v>
      </x:c>
      <x:c r="F27" s="35" t="n">
        <x:v>672</x:v>
      </x:c>
      <x:c r="G27" s="35" t="n">
        <x:v>0</x:v>
      </x:c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5" t="str">
        <x:v>DA05</x:v>
      </x:c>
      <x:c r="B28" s="35" t="str">
        <x:v>Đất/GPMB</x:v>
      </x:c>
      <x:c r="C28" s="35" t="n">
        <x:v>1550</x:v>
      </x:c>
      <x:c r="D28" s="35" t="n">
        <x:v>1550</x:v>
      </x:c>
      <x:c r="E28" s="35" t="n">
        <x:v>1488</x:v>
      </x:c>
      <x:c r="F28" s="35" t="n">
        <x:v>1550</x:v>
      </x:c>
      <x:c r="G28" s="35" t="n">
        <x:v>0</x:v>
      </x:c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5" t="str">
        <x:v>DA05</x:v>
      </x:c>
      <x:c r="B29" s="35" t="str">
        <x:v>Xây dựng &amp; hạ tầng</x:v>
      </x:c>
      <x:c r="C29" s="35" t="n">
        <x:v>2976</x:v>
      </x:c>
      <x:c r="D29" s="35" t="n">
        <x:v>2976</x:v>
      </x:c>
      <x:c r="E29" s="35" t="n">
        <x:v>2856.96</x:v>
      </x:c>
      <x:c r="F29" s="35" t="n">
        <x:v>2976</x:v>
      </x:c>
      <x:c r="G29" s="35" t="n">
        <x:v>0</x:v>
      </x:c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5" t="str">
        <x:v>DA05</x:v>
      </x:c>
      <x:c r="B30" s="35" t="str">
        <x:v>Thiết kế/TVQLDA</x:v>
      </x:c>
      <x:c r="C30" s="35" t="n">
        <x:v>372</x:v>
      </x:c>
      <x:c r="D30" s="35" t="n">
        <x:v>372</x:v>
      </x:c>
      <x:c r="E30" s="35" t="n">
        <x:v>357.12</x:v>
      </x:c>
      <x:c r="F30" s="35" t="n">
        <x:v>372</x:v>
      </x:c>
      <x:c r="G30" s="35" t="n">
        <x:v>0</x:v>
      </x:c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5" t="str">
        <x:v>DA05</x:v>
      </x:c>
      <x:c r="B31" s="35" t="str">
        <x:v>Lãi vay vốn hóa</x:v>
      </x:c>
      <x:c r="C31" s="35" t="n">
        <x:v>496</x:v>
      </x:c>
      <x:c r="D31" s="35" t="n">
        <x:v>496</x:v>
      </x:c>
      <x:c r="E31" s="35" t="n">
        <x:v>476.15999999999997</x:v>
      </x:c>
      <x:c r="F31" s="35" t="n">
        <x:v>496</x:v>
      </x:c>
      <x:c r="G31" s="35" t="n">
        <x:v>0</x:v>
      </x:c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5" t="str">
        <x:v>DA05</x:v>
      </x:c>
      <x:c r="B32" s="35" t="str">
        <x:v>Marketing &amp; bán hàng</x:v>
      </x:c>
      <x:c r="C32" s="35" t="n">
        <x:v>310</x:v>
      </x:c>
      <x:c r="D32" s="35" t="n">
        <x:v>310</x:v>
      </x:c>
      <x:c r="E32" s="35" t="n">
        <x:v>297.59999999999997</x:v>
      </x:c>
      <x:c r="F32" s="35" t="n">
        <x:v>310</x:v>
      </x:c>
      <x:c r="G32" s="35" t="n">
        <x:v>0</x:v>
      </x:c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5" t="str">
        <x:v>DA05</x:v>
      </x:c>
      <x:c r="B33" s="35" t="str">
        <x:v>Khác &amp; dự phòng</x:v>
      </x:c>
      <x:c r="C33" s="35" t="n">
        <x:v>496</x:v>
      </x:c>
      <x:c r="D33" s="35" t="n">
        <x:v>496</x:v>
      </x:c>
      <x:c r="E33" s="35" t="n">
        <x:v>476.15999999999997</x:v>
      </x:c>
      <x:c r="F33" s="35" t="n">
        <x:v>496</x:v>
      </x:c>
      <x:c r="G33" s="35" t="n">
        <x:v>0</x:v>
      </x:c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5" t="str">
        <x:v>DA06</x:v>
      </x:c>
      <x:c r="B34" s="35" t="str">
        <x:v>Đất/GPMB</x:v>
      </x:c>
      <x:c r="C34" s="35" t="n">
        <x:v>1125</x:v>
      </x:c>
      <x:c r="D34" s="35" t="n">
        <x:v>168.75</x:v>
      </x:c>
      <x:c r="E34" s="35" t="n">
        <x:v>0</x:v>
      </x:c>
      <x:c r="F34" s="35" t="n">
        <x:v>1125</x:v>
      </x:c>
      <x:c r="G34" s="35" t="n">
        <x:v>0</x:v>
      </x:c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5" t="str">
        <x:v>DA06</x:v>
      </x:c>
      <x:c r="B35" s="35" t="str">
        <x:v>Xây dựng &amp; hạ tầng</x:v>
      </x:c>
      <x:c r="C35" s="35" t="n">
        <x:v>2160</x:v>
      </x:c>
      <x:c r="D35" s="35" t="n">
        <x:v>324</x:v>
      </x:c>
      <x:c r="E35" s="35" t="n">
        <x:v>0</x:v>
      </x:c>
      <x:c r="F35" s="35" t="n">
        <x:v>2160</x:v>
      </x:c>
      <x:c r="G35" s="35" t="n">
        <x:v>0</x:v>
      </x:c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5" t="str">
        <x:v>DA06</x:v>
      </x:c>
      <x:c r="B36" s="35" t="str">
        <x:v>Thiết kế/TVQLDA</x:v>
      </x:c>
      <x:c r="C36" s="35" t="n">
        <x:v>270</x:v>
      </x:c>
      <x:c r="D36" s="35" t="n">
        <x:v>40.5</x:v>
      </x:c>
      <x:c r="E36" s="35" t="n">
        <x:v>0</x:v>
      </x:c>
      <x:c r="F36" s="35" t="n">
        <x:v>270</x:v>
      </x:c>
      <x:c r="G36" s="35" t="n">
        <x:v>0</x:v>
      </x:c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5" t="str">
        <x:v>DA06</x:v>
      </x:c>
      <x:c r="B37" s="35" t="str">
        <x:v>Lãi vay vốn hóa</x:v>
      </x:c>
      <x:c r="C37" s="35" t="n">
        <x:v>360</x:v>
      </x:c>
      <x:c r="D37" s="35" t="n">
        <x:v>54</x:v>
      </x:c>
      <x:c r="E37" s="35" t="n">
        <x:v>0</x:v>
      </x:c>
      <x:c r="F37" s="35" t="n">
        <x:v>360</x:v>
      </x:c>
      <x:c r="G37" s="35" t="n">
        <x:v>0</x:v>
      </x:c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5" t="str">
        <x:v>DA06</x:v>
      </x:c>
      <x:c r="B38" s="35" t="str">
        <x:v>Marketing &amp; bán hàng</x:v>
      </x:c>
      <x:c r="C38" s="35" t="n">
        <x:v>225</x:v>
      </x:c>
      <x:c r="D38" s="35" t="n">
        <x:v>33.75</x:v>
      </x:c>
      <x:c r="E38" s="35" t="n">
        <x:v>0</x:v>
      </x:c>
      <x:c r="F38" s="35" t="n">
        <x:v>225</x:v>
      </x:c>
      <x:c r="G38" s="35" t="n">
        <x:v>0</x:v>
      </x:c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5" t="str">
        <x:v>DA06</x:v>
      </x:c>
      <x:c r="B39" s="35" t="str">
        <x:v>Khác &amp; dự phòng</x:v>
      </x:c>
      <x:c r="C39" s="35" t="n">
        <x:v>360</x:v>
      </x:c>
      <x:c r="D39" s="35" t="n">
        <x:v>54</x:v>
      </x:c>
      <x:c r="E39" s="35" t="n">
        <x:v>0</x:v>
      </x:c>
      <x:c r="F39" s="35" t="n">
        <x:v>360</x:v>
      </x:c>
      <x:c r="G39" s="35" t="n">
        <x:v>0</x:v>
      </x:c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3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  <x:c r="M207" s="3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  <x:c r="M209" s="3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  <x:c r="M210" s="3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  <x:c r="M211" s="3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  <x:c r="M212" s="3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  <x:c r="M213" s="3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  <x:c r="M214" s="3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  <x:c r="M216" s="3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  <x:c r="M217" s="3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  <x:c r="M218" s="3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  <x:c r="M219" s="3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  <x:c r="M220" s="3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  <x:c r="M221" s="3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  <x:c r="M222" s="3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  <x:c r="M223" s="3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  <x:c r="M224" s="3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3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3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3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3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3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3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3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3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3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3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3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3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3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3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3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3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3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3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3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3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3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3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3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3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  <x:c r="L251" s="33"/>
      <x:c r="M251" s="3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33"/>
      <x:c r="K252" s="33"/>
      <x:c r="L252" s="33"/>
      <x:c r="M252" s="3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33"/>
      <x:c r="K253" s="33"/>
      <x:c r="L253" s="33"/>
      <x:c r="M253" s="3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33"/>
      <x:c r="K254" s="33"/>
      <x:c r="L254" s="33"/>
      <x:c r="M254" s="3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33"/>
      <x:c r="K255" s="33"/>
      <x:c r="L255" s="33"/>
      <x:c r="M255" s="3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33"/>
      <x:c r="K256" s="33"/>
      <x:c r="L256" s="33"/>
      <x:c r="M256" s="3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33"/>
      <x:c r="K257" s="33"/>
      <x:c r="L257" s="33"/>
      <x:c r="M257" s="3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33"/>
      <x:c r="K258" s="33"/>
      <x:c r="L258" s="33"/>
      <x:c r="M258" s="3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33"/>
      <x:c r="K259" s="33"/>
      <x:c r="L259" s="33"/>
      <x:c r="M259" s="3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33"/>
      <x:c r="K260" s="33"/>
      <x:c r="L260" s="33"/>
      <x:c r="M260" s="3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33"/>
      <x:c r="K261" s="33"/>
      <x:c r="L261" s="33"/>
      <x:c r="M261" s="3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33"/>
      <x:c r="K262" s="33"/>
      <x:c r="L262" s="33"/>
      <x:c r="M262" s="3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  <x:c r="L263" s="33"/>
      <x:c r="M263" s="3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33"/>
      <x:c r="K264" s="33"/>
      <x:c r="L264" s="33"/>
      <x:c r="M264" s="3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33"/>
      <x:c r="K265" s="33"/>
      <x:c r="L265" s="33"/>
      <x:c r="M265" s="3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33"/>
      <x:c r="K266" s="33"/>
      <x:c r="L266" s="33"/>
      <x:c r="M266" s="3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33"/>
      <x:c r="K267" s="33"/>
      <x:c r="L267" s="33"/>
      <x:c r="M267" s="3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33"/>
      <x:c r="K268" s="33"/>
      <x:c r="L268" s="33"/>
      <x:c r="M268" s="3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33"/>
      <x:c r="K269" s="33"/>
      <x:c r="L269" s="33"/>
      <x:c r="M269" s="3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33"/>
      <x:c r="K270" s="33"/>
      <x:c r="L270" s="33"/>
      <x:c r="M270" s="3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33"/>
      <x:c r="K271" s="33"/>
      <x:c r="L271" s="33"/>
      <x:c r="M271" s="3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33"/>
      <x:c r="K272" s="33"/>
      <x:c r="L272" s="33"/>
      <x:c r="M272" s="3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33"/>
      <x:c r="K273" s="33"/>
      <x:c r="L273" s="33"/>
      <x:c r="M273" s="3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33"/>
      <x:c r="K274" s="33"/>
      <x:c r="L274" s="33"/>
      <x:c r="M274" s="3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  <x:c r="L275" s="33"/>
      <x:c r="M275" s="3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33"/>
      <x:c r="K276" s="33"/>
      <x:c r="L276" s="33"/>
      <x:c r="M276" s="3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33"/>
      <x:c r="K277" s="33"/>
      <x:c r="L277" s="33"/>
      <x:c r="M277" s="3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33"/>
      <x:c r="K278" s="33"/>
      <x:c r="L278" s="33"/>
      <x:c r="M278" s="3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33"/>
      <x:c r="K279" s="33"/>
      <x:c r="L279" s="33"/>
      <x:c r="M279" s="3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33"/>
      <x:c r="K280" s="33"/>
      <x:c r="L280" s="33"/>
      <x:c r="M280" s="3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33"/>
      <x:c r="K281" s="33"/>
      <x:c r="L281" s="33"/>
      <x:c r="M281" s="3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33"/>
      <x:c r="K282" s="33"/>
      <x:c r="L282" s="33"/>
      <x:c r="M282" s="3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33"/>
      <x:c r="K283" s="33"/>
      <x:c r="L283" s="33"/>
      <x:c r="M283" s="3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33"/>
      <x:c r="K284" s="33"/>
      <x:c r="L284" s="33"/>
      <x:c r="M284" s="3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33"/>
      <x:c r="K285" s="33"/>
      <x:c r="L285" s="33"/>
      <x:c r="M285" s="3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33"/>
      <x:c r="K286" s="33"/>
      <x:c r="L286" s="33"/>
      <x:c r="M286" s="3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  <x:c r="M287" s="3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33"/>
      <x:c r="K288" s="33"/>
      <x:c r="L288" s="33"/>
      <x:c r="M288" s="3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33"/>
      <x:c r="K289" s="33"/>
      <x:c r="L289" s="33"/>
      <x:c r="M289" s="3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33"/>
      <x:c r="K290" s="33"/>
      <x:c r="L290" s="33"/>
      <x:c r="M290" s="3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33"/>
      <x:c r="K291" s="33"/>
      <x:c r="L291" s="33"/>
      <x:c r="M291" s="3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33"/>
      <x:c r="K292" s="33"/>
      <x:c r="L292" s="33"/>
      <x:c r="M292" s="3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33"/>
      <x:c r="K293" s="33"/>
      <x:c r="L293" s="33"/>
      <x:c r="M293" s="3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33"/>
      <x:c r="K294" s="33"/>
      <x:c r="L294" s="33"/>
      <x:c r="M294" s="3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33"/>
      <x:c r="K295" s="33"/>
      <x:c r="L295" s="33"/>
      <x:c r="M295" s="3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33"/>
      <x:c r="K296" s="33"/>
      <x:c r="L296" s="33"/>
      <x:c r="M296" s="3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33"/>
      <x:c r="K297" s="33"/>
      <x:c r="L297" s="33"/>
      <x:c r="M297" s="3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33"/>
      <x:c r="K298" s="33"/>
      <x:c r="L298" s="33"/>
      <x:c r="M298" s="3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  <x:c r="M299" s="3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33"/>
      <x:c r="K300" s="33"/>
      <x:c r="L300" s="33"/>
      <x:c r="M300" s="3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>
      <x:c r="A301" s="33"/>
      <x:c r="B301" s="33"/>
      <x:c r="C301" s="33"/>
      <x:c r="D301" s="33"/>
      <x:c r="E301" s="33"/>
      <x:c r="F301" s="33"/>
      <x:c r="G301" s="33"/>
      <x:c r="H301" s="33"/>
      <x:c r="I301" s="33"/>
      <x:c r="J301" s="33"/>
      <x:c r="K301" s="33"/>
      <x:c r="L301" s="33"/>
      <x:c r="M301" s="3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>
      <x:c r="A302" s="33"/>
      <x:c r="B302" s="33"/>
      <x:c r="C302" s="33"/>
      <x:c r="D302" s="33"/>
      <x:c r="E302" s="33"/>
      <x:c r="F302" s="33"/>
      <x:c r="G302" s="33"/>
      <x:c r="H302" s="33"/>
      <x:c r="I302" s="33"/>
      <x:c r="J302" s="33"/>
      <x:c r="K302" s="33"/>
      <x:c r="L302" s="33"/>
      <x:c r="M302" s="3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>
      <x:c r="A303" s="33"/>
      <x:c r="B303" s="33"/>
      <x:c r="C303" s="33"/>
      <x:c r="D303" s="33"/>
      <x:c r="E303" s="33"/>
      <x:c r="F303" s="33"/>
      <x:c r="G303" s="33"/>
      <x:c r="H303" s="33"/>
      <x:c r="I303" s="33"/>
      <x:c r="J303" s="33"/>
      <x:c r="K303" s="33"/>
      <x:c r="L303" s="33"/>
      <x:c r="M303" s="3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>
      <x:c r="A304" s="33"/>
      <x:c r="B304" s="33"/>
      <x:c r="C304" s="33"/>
      <x:c r="D304" s="33"/>
      <x:c r="E304" s="33"/>
      <x:c r="F304" s="33"/>
      <x:c r="G304" s="33"/>
      <x:c r="H304" s="33"/>
      <x:c r="I304" s="33"/>
      <x:c r="J304" s="33"/>
      <x:c r="K304" s="33"/>
      <x:c r="L304" s="33"/>
      <x:c r="M304" s="3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>
      <x:c r="A305" s="33"/>
      <x:c r="B305" s="33"/>
      <x:c r="C305" s="33"/>
      <x:c r="D305" s="33"/>
      <x:c r="E305" s="33"/>
      <x:c r="F305" s="33"/>
      <x:c r="G305" s="33"/>
      <x:c r="H305" s="33"/>
      <x:c r="I305" s="33"/>
      <x:c r="J305" s="33"/>
      <x:c r="K305" s="33"/>
      <x:c r="L305" s="33"/>
      <x:c r="M305" s="3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>
      <x:c r="A306" s="33"/>
      <x:c r="B306" s="33"/>
      <x:c r="C306" s="33"/>
      <x:c r="D306" s="33"/>
      <x:c r="E306" s="33"/>
      <x:c r="F306" s="33"/>
      <x:c r="G306" s="33"/>
      <x:c r="H306" s="33"/>
      <x:c r="I306" s="33"/>
      <x:c r="J306" s="33"/>
      <x:c r="K306" s="33"/>
      <x:c r="L306" s="33"/>
      <x:c r="M306" s="3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>
      <x:c r="A307" s="33"/>
      <x:c r="B307" s="33"/>
      <x:c r="C307" s="33"/>
      <x:c r="D307" s="33"/>
      <x:c r="E307" s="33"/>
      <x:c r="F307" s="33"/>
      <x:c r="G307" s="33"/>
      <x:c r="H307" s="33"/>
      <x:c r="I307" s="33"/>
      <x:c r="J307" s="33"/>
      <x:c r="K307" s="33"/>
      <x:c r="L307" s="33"/>
      <x:c r="M307" s="3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>
      <x:c r="A308" s="33"/>
      <x:c r="B308" s="33"/>
      <x:c r="C308" s="33"/>
      <x:c r="D308" s="33"/>
      <x:c r="E308" s="33"/>
      <x:c r="F308" s="33"/>
      <x:c r="G308" s="33"/>
      <x:c r="H308" s="33"/>
      <x:c r="I308" s="33"/>
      <x:c r="J308" s="33"/>
      <x:c r="K308" s="33"/>
      <x:c r="L308" s="33"/>
      <x:c r="M308" s="3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>
      <x:c r="A309" s="33"/>
      <x:c r="B309" s="33"/>
      <x:c r="C309" s="33"/>
      <x:c r="D309" s="33"/>
      <x:c r="E309" s="33"/>
      <x:c r="F309" s="33"/>
      <x:c r="G309" s="33"/>
      <x:c r="H309" s="33"/>
      <x:c r="I309" s="33"/>
      <x:c r="J309" s="33"/>
      <x:c r="K309" s="33"/>
      <x:c r="L309" s="33"/>
      <x:c r="M309" s="3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>
      <x:c r="A310" s="33"/>
      <x:c r="B310" s="33"/>
      <x:c r="C310" s="33"/>
      <x:c r="D310" s="33"/>
      <x:c r="E310" s="33"/>
      <x:c r="F310" s="33"/>
      <x:c r="G310" s="33"/>
      <x:c r="H310" s="33"/>
      <x:c r="I310" s="33"/>
      <x:c r="J310" s="33"/>
      <x:c r="K310" s="33"/>
      <x:c r="L310" s="33"/>
      <x:c r="M310" s="3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33"/>
      <x:c r="K311" s="33"/>
      <x:c r="L311" s="33"/>
      <x:c r="M311" s="3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>
      <x:c r="A312" s="33"/>
      <x:c r="B312" s="33"/>
      <x:c r="C312" s="33"/>
      <x:c r="D312" s="33"/>
      <x:c r="E312" s="33"/>
      <x:c r="F312" s="33"/>
      <x:c r="G312" s="33"/>
      <x:c r="H312" s="33"/>
      <x:c r="I312" s="33"/>
      <x:c r="J312" s="33"/>
      <x:c r="K312" s="33"/>
      <x:c r="L312" s="33"/>
      <x:c r="M312" s="3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>
      <x:c r="A313" s="33"/>
      <x:c r="B313" s="33"/>
      <x:c r="C313" s="33"/>
      <x:c r="D313" s="33"/>
      <x:c r="E313" s="33"/>
      <x:c r="F313" s="33"/>
      <x:c r="G313" s="33"/>
      <x:c r="H313" s="33"/>
      <x:c r="I313" s="33"/>
      <x:c r="J313" s="33"/>
      <x:c r="K313" s="33"/>
      <x:c r="L313" s="33"/>
      <x:c r="M313" s="3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>
      <x:c r="A314" s="33"/>
      <x:c r="B314" s="33"/>
      <x:c r="C314" s="33"/>
      <x:c r="D314" s="33"/>
      <x:c r="E314" s="33"/>
      <x:c r="F314" s="33"/>
      <x:c r="G314" s="33"/>
      <x:c r="H314" s="33"/>
      <x:c r="I314" s="33"/>
      <x:c r="J314" s="33"/>
      <x:c r="K314" s="33"/>
      <x:c r="L314" s="33"/>
      <x:c r="M314" s="3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>
      <x:c r="A315" s="33"/>
      <x:c r="B315" s="33"/>
      <x:c r="C315" s="33"/>
      <x:c r="D315" s="33"/>
      <x:c r="E315" s="33"/>
      <x:c r="F315" s="33"/>
      <x:c r="G315" s="33"/>
      <x:c r="H315" s="33"/>
      <x:c r="I315" s="33"/>
      <x:c r="J315" s="33"/>
      <x:c r="K315" s="33"/>
      <x:c r="L315" s="33"/>
      <x:c r="M315" s="3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>
      <x:c r="A316" s="33"/>
      <x:c r="B316" s="33"/>
      <x:c r="C316" s="33"/>
      <x:c r="D316" s="33"/>
      <x:c r="E316" s="33"/>
      <x:c r="F316" s="33"/>
      <x:c r="G316" s="33"/>
      <x:c r="H316" s="33"/>
      <x:c r="I316" s="33"/>
      <x:c r="J316" s="33"/>
      <x:c r="K316" s="33"/>
      <x:c r="L316" s="33"/>
      <x:c r="M316" s="3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>
      <x:c r="A317" s="33"/>
      <x:c r="B317" s="33"/>
      <x:c r="C317" s="33"/>
      <x:c r="D317" s="33"/>
      <x:c r="E317" s="33"/>
      <x:c r="F317" s="33"/>
      <x:c r="G317" s="33"/>
      <x:c r="H317" s="33"/>
      <x:c r="I317" s="33"/>
      <x:c r="J317" s="33"/>
      <x:c r="K317" s="33"/>
      <x:c r="L317" s="33"/>
      <x:c r="M317" s="3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>
      <x:c r="A318" s="33"/>
      <x:c r="B318" s="33"/>
      <x:c r="C318" s="33"/>
      <x:c r="D318" s="33"/>
      <x:c r="E318" s="33"/>
      <x:c r="F318" s="33"/>
      <x:c r="G318" s="33"/>
      <x:c r="H318" s="33"/>
      <x:c r="I318" s="33"/>
      <x:c r="J318" s="33"/>
      <x:c r="K318" s="33"/>
      <x:c r="L318" s="33"/>
      <x:c r="M318" s="3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>
      <x:c r="A319" s="33"/>
      <x:c r="B319" s="33"/>
      <x:c r="C319" s="33"/>
      <x:c r="D319" s="33"/>
      <x:c r="E319" s="33"/>
      <x:c r="F319" s="33"/>
      <x:c r="G319" s="33"/>
      <x:c r="H319" s="33"/>
      <x:c r="I319" s="33"/>
      <x:c r="J319" s="33"/>
      <x:c r="K319" s="33"/>
      <x:c r="L319" s="33"/>
      <x:c r="M319" s="3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>
      <x:c r="A320" s="33"/>
      <x:c r="B320" s="33"/>
      <x:c r="C320" s="33"/>
      <x:c r="D320" s="33"/>
      <x:c r="E320" s="33"/>
      <x:c r="F320" s="33"/>
      <x:c r="G320" s="33"/>
      <x:c r="H320" s="33"/>
      <x:c r="I320" s="33"/>
      <x:c r="J320" s="33"/>
      <x:c r="K320" s="33"/>
      <x:c r="L320" s="33"/>
      <x:c r="M320" s="3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>
      <x:c r="A321" s="33"/>
      <x:c r="B321" s="33"/>
      <x:c r="C321" s="33"/>
      <x:c r="D321" s="33"/>
      <x:c r="E321" s="33"/>
      <x:c r="F321" s="33"/>
      <x:c r="G321" s="33"/>
      <x:c r="H321" s="33"/>
      <x:c r="I321" s="33"/>
      <x:c r="J321" s="33"/>
      <x:c r="K321" s="33"/>
      <x:c r="L321" s="33"/>
      <x:c r="M321" s="3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>
      <x:c r="A322" s="33"/>
      <x:c r="B322" s="33"/>
      <x:c r="C322" s="33"/>
      <x:c r="D322" s="33"/>
      <x:c r="E322" s="33"/>
      <x:c r="F322" s="33"/>
      <x:c r="G322" s="33"/>
      <x:c r="H322" s="33"/>
      <x:c r="I322" s="33"/>
      <x:c r="J322" s="33"/>
      <x:c r="K322" s="33"/>
      <x:c r="L322" s="33"/>
      <x:c r="M322" s="3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33"/>
      <x:c r="K323" s="33"/>
      <x:c r="L323" s="33"/>
      <x:c r="M323" s="3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>
      <x:c r="A324" s="33"/>
      <x:c r="B324" s="33"/>
      <x:c r="C324" s="33"/>
      <x:c r="D324" s="33"/>
      <x:c r="E324" s="33"/>
      <x:c r="F324" s="33"/>
      <x:c r="G324" s="33"/>
      <x:c r="H324" s="33"/>
      <x:c r="I324" s="33"/>
      <x:c r="J324" s="33"/>
      <x:c r="K324" s="33"/>
      <x:c r="L324" s="33"/>
      <x:c r="M324" s="3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>
      <x:c r="A325" s="33"/>
      <x:c r="B325" s="33"/>
      <x:c r="C325" s="33"/>
      <x:c r="D325" s="33"/>
      <x:c r="E325" s="33"/>
      <x:c r="F325" s="33"/>
      <x:c r="G325" s="33"/>
      <x:c r="H325" s="33"/>
      <x:c r="I325" s="33"/>
      <x:c r="J325" s="33"/>
      <x:c r="K325" s="33"/>
      <x:c r="L325" s="33"/>
      <x:c r="M325" s="3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>
      <x:c r="A326" s="33"/>
      <x:c r="B326" s="33"/>
      <x:c r="C326" s="33"/>
      <x:c r="D326" s="33"/>
      <x:c r="E326" s="33"/>
      <x:c r="F326" s="33"/>
      <x:c r="G326" s="33"/>
      <x:c r="H326" s="33"/>
      <x:c r="I326" s="33"/>
      <x:c r="J326" s="33"/>
      <x:c r="K326" s="33"/>
      <x:c r="L326" s="33"/>
      <x:c r="M326" s="3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>
      <x:c r="A327" s="33"/>
      <x:c r="B327" s="33"/>
      <x:c r="C327" s="33"/>
      <x:c r="D327" s="33"/>
      <x:c r="E327" s="33"/>
      <x:c r="F327" s="33"/>
      <x:c r="G327" s="33"/>
      <x:c r="H327" s="33"/>
      <x:c r="I327" s="33"/>
      <x:c r="J327" s="33"/>
      <x:c r="K327" s="33"/>
      <x:c r="L327" s="33"/>
      <x:c r="M327" s="3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>
      <x:c r="A328" s="33"/>
      <x:c r="B328" s="33"/>
      <x:c r="C328" s="33"/>
      <x:c r="D328" s="33"/>
      <x:c r="E328" s="33"/>
      <x:c r="F328" s="33"/>
      <x:c r="G328" s="33"/>
      <x:c r="H328" s="33"/>
      <x:c r="I328" s="33"/>
      <x:c r="J328" s="33"/>
      <x:c r="K328" s="33"/>
      <x:c r="L328" s="33"/>
      <x:c r="M328" s="3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>
      <x:c r="A329" s="33"/>
      <x:c r="B329" s="33"/>
      <x:c r="C329" s="33"/>
      <x:c r="D329" s="33"/>
      <x:c r="E329" s="33"/>
      <x:c r="F329" s="33"/>
      <x:c r="G329" s="33"/>
      <x:c r="H329" s="33"/>
      <x:c r="I329" s="33"/>
      <x:c r="J329" s="33"/>
      <x:c r="K329" s="33"/>
      <x:c r="L329" s="33"/>
      <x:c r="M329" s="3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>
      <x:c r="A330" s="33"/>
      <x:c r="B330" s="33"/>
      <x:c r="C330" s="33"/>
      <x:c r="D330" s="33"/>
      <x:c r="E330" s="33"/>
      <x:c r="F330" s="33"/>
      <x:c r="G330" s="33"/>
      <x:c r="H330" s="33"/>
      <x:c r="I330" s="33"/>
      <x:c r="J330" s="33"/>
      <x:c r="K330" s="33"/>
      <x:c r="L330" s="33"/>
      <x:c r="M330" s="3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>
      <x:c r="A331" s="33"/>
      <x:c r="B331" s="33"/>
      <x:c r="C331" s="33"/>
      <x:c r="D331" s="33"/>
      <x:c r="E331" s="33"/>
      <x:c r="F331" s="33"/>
      <x:c r="G331" s="33"/>
      <x:c r="H331" s="33"/>
      <x:c r="I331" s="33"/>
      <x:c r="J331" s="33"/>
      <x:c r="K331" s="33"/>
      <x:c r="L331" s="33"/>
      <x:c r="M331" s="3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>
      <x:c r="A332" s="33"/>
      <x:c r="B332" s="33"/>
      <x:c r="C332" s="33"/>
      <x:c r="D332" s="33"/>
      <x:c r="E332" s="33"/>
      <x:c r="F332" s="33"/>
      <x:c r="G332" s="33"/>
      <x:c r="H332" s="33"/>
      <x:c r="I332" s="33"/>
      <x:c r="J332" s="33"/>
      <x:c r="K332" s="33"/>
      <x:c r="L332" s="33"/>
      <x:c r="M332" s="3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>
      <x:c r="A333" s="33"/>
      <x:c r="B333" s="33"/>
      <x:c r="C333" s="33"/>
      <x:c r="D333" s="33"/>
      <x:c r="E333" s="33"/>
      <x:c r="F333" s="33"/>
      <x:c r="G333" s="33"/>
      <x:c r="H333" s="33"/>
      <x:c r="I333" s="33"/>
      <x:c r="J333" s="33"/>
      <x:c r="K333" s="33"/>
      <x:c r="L333" s="33"/>
      <x:c r="M333" s="3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>
      <x:c r="A334" s="33"/>
      <x:c r="B334" s="33"/>
      <x:c r="C334" s="33"/>
      <x:c r="D334" s="33"/>
      <x:c r="E334" s="33"/>
      <x:c r="F334" s="33"/>
      <x:c r="G334" s="33"/>
      <x:c r="H334" s="33"/>
      <x:c r="I334" s="33"/>
      <x:c r="J334" s="33"/>
      <x:c r="K334" s="33"/>
      <x:c r="L334" s="33"/>
      <x:c r="M334" s="3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33"/>
      <x:c r="K335" s="33"/>
      <x:c r="L335" s="33"/>
      <x:c r="M335" s="3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>
      <x:c r="A336" s="33"/>
      <x:c r="B336" s="33"/>
      <x:c r="C336" s="33"/>
      <x:c r="D336" s="33"/>
      <x:c r="E336" s="33"/>
      <x:c r="F336" s="33"/>
      <x:c r="G336" s="33"/>
      <x:c r="H336" s="33"/>
      <x:c r="I336" s="33"/>
      <x:c r="J336" s="33"/>
      <x:c r="K336" s="33"/>
      <x:c r="L336" s="33"/>
      <x:c r="M336" s="3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>
      <x:c r="A337" s="33"/>
      <x:c r="B337" s="33"/>
      <x:c r="C337" s="33"/>
      <x:c r="D337" s="33"/>
      <x:c r="E337" s="33"/>
      <x:c r="F337" s="33"/>
      <x:c r="G337" s="33"/>
      <x:c r="H337" s="33"/>
      <x:c r="I337" s="33"/>
      <x:c r="J337" s="33"/>
      <x:c r="K337" s="33"/>
      <x:c r="L337" s="33"/>
      <x:c r="M337" s="3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>
      <x:c r="A338" s="33"/>
      <x:c r="B338" s="33"/>
      <x:c r="C338" s="33"/>
      <x:c r="D338" s="33"/>
      <x:c r="E338" s="33"/>
      <x:c r="F338" s="33"/>
      <x:c r="G338" s="33"/>
      <x:c r="H338" s="33"/>
      <x:c r="I338" s="33"/>
      <x:c r="J338" s="33"/>
      <x:c r="K338" s="33"/>
      <x:c r="L338" s="33"/>
      <x:c r="M338" s="3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>
      <x:c r="A339" s="33"/>
      <x:c r="B339" s="33"/>
      <x:c r="C339" s="33"/>
      <x:c r="D339" s="33"/>
      <x:c r="E339" s="33"/>
      <x:c r="F339" s="33"/>
      <x:c r="G339" s="33"/>
      <x:c r="H339" s="33"/>
      <x:c r="I339" s="33"/>
      <x:c r="J339" s="33"/>
      <x:c r="K339" s="33"/>
      <x:c r="L339" s="33"/>
      <x:c r="M339" s="3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>
      <x:c r="A340" s="33"/>
      <x:c r="B340" s="33"/>
      <x:c r="C340" s="33"/>
      <x:c r="D340" s="33"/>
      <x:c r="E340" s="33"/>
      <x:c r="F340" s="33"/>
      <x:c r="G340" s="33"/>
      <x:c r="H340" s="33"/>
      <x:c r="I340" s="33"/>
      <x:c r="J340" s="33"/>
      <x:c r="K340" s="33"/>
      <x:c r="L340" s="33"/>
      <x:c r="M340" s="3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>
      <x:c r="A341" s="33"/>
      <x:c r="B341" s="33"/>
      <x:c r="C341" s="33"/>
      <x:c r="D341" s="33"/>
      <x:c r="E341" s="33"/>
      <x:c r="F341" s="33"/>
      <x:c r="G341" s="33"/>
      <x:c r="H341" s="33"/>
      <x:c r="I341" s="33"/>
      <x:c r="J341" s="33"/>
      <x:c r="K341" s="33"/>
      <x:c r="L341" s="33"/>
      <x:c r="M341" s="3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>
      <x:c r="A342" s="33"/>
      <x:c r="B342" s="33"/>
      <x:c r="C342" s="33"/>
      <x:c r="D342" s="33"/>
      <x:c r="E342" s="33"/>
      <x:c r="F342" s="33"/>
      <x:c r="G342" s="33"/>
      <x:c r="H342" s="33"/>
      <x:c r="I342" s="33"/>
      <x:c r="J342" s="33"/>
      <x:c r="K342" s="33"/>
      <x:c r="L342" s="33"/>
      <x:c r="M342" s="3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>
      <x:c r="A343" s="33"/>
      <x:c r="B343" s="33"/>
      <x:c r="C343" s="33"/>
      <x:c r="D343" s="33"/>
      <x:c r="E343" s="33"/>
      <x:c r="F343" s="33"/>
      <x:c r="G343" s="33"/>
      <x:c r="H343" s="33"/>
      <x:c r="I343" s="33"/>
      <x:c r="J343" s="33"/>
      <x:c r="K343" s="33"/>
      <x:c r="L343" s="33"/>
      <x:c r="M343" s="3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>
      <x:c r="A344" s="33"/>
      <x:c r="B344" s="33"/>
      <x:c r="C344" s="33"/>
      <x:c r="D344" s="33"/>
      <x:c r="E344" s="33"/>
      <x:c r="F344" s="33"/>
      <x:c r="G344" s="33"/>
      <x:c r="H344" s="33"/>
      <x:c r="I344" s="33"/>
      <x:c r="J344" s="33"/>
      <x:c r="K344" s="33"/>
      <x:c r="L344" s="33"/>
      <x:c r="M344" s="3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>
      <x:c r="A345" s="33"/>
      <x:c r="B345" s="33"/>
      <x:c r="C345" s="33"/>
      <x:c r="D345" s="33"/>
      <x:c r="E345" s="33"/>
      <x:c r="F345" s="33"/>
      <x:c r="G345" s="33"/>
      <x:c r="H345" s="33"/>
      <x:c r="I345" s="33"/>
      <x:c r="J345" s="33"/>
      <x:c r="K345" s="33"/>
      <x:c r="L345" s="33"/>
      <x:c r="M345" s="3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>
      <x:c r="A346" s="33"/>
      <x:c r="B346" s="33"/>
      <x:c r="C346" s="33"/>
      <x:c r="D346" s="33"/>
      <x:c r="E346" s="33"/>
      <x:c r="F346" s="33"/>
      <x:c r="G346" s="33"/>
      <x:c r="H346" s="33"/>
      <x:c r="I346" s="33"/>
      <x:c r="J346" s="33"/>
      <x:c r="K346" s="33"/>
      <x:c r="L346" s="33"/>
      <x:c r="M346" s="3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33"/>
      <x:c r="K347" s="33"/>
      <x:c r="L347" s="33"/>
      <x:c r="M347" s="3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>
      <x:c r="A348" s="33"/>
      <x:c r="B348" s="33"/>
      <x:c r="C348" s="33"/>
      <x:c r="D348" s="33"/>
      <x:c r="E348" s="33"/>
      <x:c r="F348" s="33"/>
      <x:c r="G348" s="33"/>
      <x:c r="H348" s="33"/>
      <x:c r="I348" s="33"/>
      <x:c r="J348" s="33"/>
      <x:c r="K348" s="33"/>
      <x:c r="L348" s="33"/>
      <x:c r="M348" s="3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>
      <x:c r="A349" s="33"/>
      <x:c r="B349" s="33"/>
      <x:c r="C349" s="33"/>
      <x:c r="D349" s="33"/>
      <x:c r="E349" s="33"/>
      <x:c r="F349" s="33"/>
      <x:c r="G349" s="33"/>
      <x:c r="H349" s="33"/>
      <x:c r="I349" s="33"/>
      <x:c r="J349" s="33"/>
      <x:c r="K349" s="33"/>
      <x:c r="L349" s="33"/>
      <x:c r="M349" s="3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>
      <x:c r="A350" s="33"/>
      <x:c r="B350" s="33"/>
      <x:c r="C350" s="33"/>
      <x:c r="D350" s="33"/>
      <x:c r="E350" s="33"/>
      <x:c r="F350" s="33"/>
      <x:c r="G350" s="33"/>
      <x:c r="H350" s="33"/>
      <x:c r="I350" s="33"/>
      <x:c r="J350" s="33"/>
      <x:c r="K350" s="33"/>
      <x:c r="L350" s="33"/>
      <x:c r="M350" s="3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>
      <x:c r="A351" s="33"/>
      <x:c r="B351" s="33"/>
      <x:c r="C351" s="33"/>
      <x:c r="D351" s="33"/>
      <x:c r="E351" s="33"/>
      <x:c r="F351" s="33"/>
      <x:c r="G351" s="33"/>
      <x:c r="H351" s="33"/>
      <x:c r="I351" s="33"/>
      <x:c r="J351" s="33"/>
      <x:c r="K351" s="33"/>
      <x:c r="L351" s="33"/>
      <x:c r="M351" s="3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>
      <x:c r="A352" s="33"/>
      <x:c r="B352" s="33"/>
      <x:c r="C352" s="33"/>
      <x:c r="D352" s="33"/>
      <x:c r="E352" s="33"/>
      <x:c r="F352" s="33"/>
      <x:c r="G352" s="33"/>
      <x:c r="H352" s="33"/>
      <x:c r="I352" s="33"/>
      <x:c r="J352" s="33"/>
      <x:c r="K352" s="33"/>
      <x:c r="L352" s="33"/>
      <x:c r="M352" s="3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>
      <x:c r="A353" s="33"/>
      <x:c r="B353" s="33"/>
      <x:c r="C353" s="33"/>
      <x:c r="D353" s="33"/>
      <x:c r="E353" s="33"/>
      <x:c r="F353" s="33"/>
      <x:c r="G353" s="33"/>
      <x:c r="H353" s="33"/>
      <x:c r="I353" s="33"/>
      <x:c r="J353" s="33"/>
      <x:c r="K353" s="33"/>
      <x:c r="L353" s="33"/>
      <x:c r="M353" s="3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>
      <x:c r="A354" s="33"/>
      <x:c r="B354" s="33"/>
      <x:c r="C354" s="33"/>
      <x:c r="D354" s="33"/>
      <x:c r="E354" s="33"/>
      <x:c r="F354" s="33"/>
      <x:c r="G354" s="33"/>
      <x:c r="H354" s="33"/>
      <x:c r="I354" s="33"/>
      <x:c r="J354" s="33"/>
      <x:c r="K354" s="33"/>
      <x:c r="L354" s="33"/>
      <x:c r="M354" s="3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>
      <x:c r="A355" s="33"/>
      <x:c r="B355" s="33"/>
      <x:c r="C355" s="33"/>
      <x:c r="D355" s="33"/>
      <x:c r="E355" s="33"/>
      <x:c r="F355" s="33"/>
      <x:c r="G355" s="33"/>
      <x:c r="H355" s="33"/>
      <x:c r="I355" s="33"/>
      <x:c r="J355" s="33"/>
      <x:c r="K355" s="33"/>
      <x:c r="L355" s="33"/>
      <x:c r="M355" s="3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>
      <x:c r="A356" s="33"/>
      <x:c r="B356" s="33"/>
      <x:c r="C356" s="33"/>
      <x:c r="D356" s="33"/>
      <x:c r="E356" s="33"/>
      <x:c r="F356" s="33"/>
      <x:c r="G356" s="33"/>
      <x:c r="H356" s="33"/>
      <x:c r="I356" s="33"/>
      <x:c r="J356" s="33"/>
      <x:c r="K356" s="33"/>
      <x:c r="L356" s="33"/>
      <x:c r="M356" s="3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>
      <x:c r="A357" s="33"/>
      <x:c r="B357" s="33"/>
      <x:c r="C357" s="33"/>
      <x:c r="D357" s="33"/>
      <x:c r="E357" s="33"/>
      <x:c r="F357" s="33"/>
      <x:c r="G357" s="33"/>
      <x:c r="H357" s="33"/>
      <x:c r="I357" s="33"/>
      <x:c r="J357" s="33"/>
      <x:c r="K357" s="33"/>
      <x:c r="L357" s="33"/>
      <x:c r="M357" s="3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>
      <x:c r="A358" s="33"/>
      <x:c r="B358" s="33"/>
      <x:c r="C358" s="33"/>
      <x:c r="D358" s="33"/>
      <x:c r="E358" s="33"/>
      <x:c r="F358" s="33"/>
      <x:c r="G358" s="33"/>
      <x:c r="H358" s="33"/>
      <x:c r="I358" s="33"/>
      <x:c r="J358" s="33"/>
      <x:c r="K358" s="33"/>
      <x:c r="L358" s="33"/>
      <x:c r="M358" s="3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>
      <x:c r="A359" s="33"/>
      <x:c r="B359" s="33"/>
      <x:c r="C359" s="33"/>
      <x:c r="D359" s="33"/>
      <x:c r="E359" s="33"/>
      <x:c r="F359" s="33"/>
      <x:c r="G359" s="33"/>
      <x:c r="H359" s="33"/>
      <x:c r="I359" s="33"/>
      <x:c r="J359" s="33"/>
      <x:c r="K359" s="33"/>
      <x:c r="L359" s="33"/>
      <x:c r="M359" s="3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33"/>
      <x:c r="K360" s="33"/>
      <x:c r="L360" s="33"/>
      <x:c r="M360" s="3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>
      <x:c r="A361" s="33"/>
      <x:c r="B361" s="33"/>
      <x:c r="C361" s="33"/>
      <x:c r="D361" s="33"/>
      <x:c r="E361" s="33"/>
      <x:c r="F361" s="33"/>
      <x:c r="G361" s="33"/>
      <x:c r="H361" s="33"/>
      <x:c r="I361" s="33"/>
      <x:c r="J361" s="33"/>
      <x:c r="K361" s="33"/>
      <x:c r="L361" s="33"/>
      <x:c r="M361" s="3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>
      <x:c r="A362" s="33"/>
      <x:c r="B362" s="33"/>
      <x:c r="C362" s="33"/>
      <x:c r="D362" s="33"/>
      <x:c r="E362" s="33"/>
      <x:c r="F362" s="33"/>
      <x:c r="G362" s="33"/>
      <x:c r="H362" s="33"/>
      <x:c r="I362" s="33"/>
      <x:c r="J362" s="33"/>
      <x:c r="K362" s="33"/>
      <x:c r="L362" s="33"/>
      <x:c r="M362" s="3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>
      <x:c r="A363" s="33"/>
      <x:c r="B363" s="33"/>
      <x:c r="C363" s="33"/>
      <x:c r="D363" s="33"/>
      <x:c r="E363" s="33"/>
      <x:c r="F363" s="33"/>
      <x:c r="G363" s="33"/>
      <x:c r="H363" s="33"/>
      <x:c r="I363" s="33"/>
      <x:c r="J363" s="33"/>
      <x:c r="K363" s="33"/>
      <x:c r="L363" s="33"/>
      <x:c r="M363" s="3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>
      <x:c r="A364" s="33"/>
      <x:c r="B364" s="33"/>
      <x:c r="C364" s="33"/>
      <x:c r="D364" s="33"/>
      <x:c r="E364" s="33"/>
      <x:c r="F364" s="33"/>
      <x:c r="G364" s="33"/>
      <x:c r="H364" s="33"/>
      <x:c r="I364" s="33"/>
      <x:c r="J364" s="33"/>
      <x:c r="K364" s="33"/>
      <x:c r="L364" s="33"/>
      <x:c r="M364" s="3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>
      <x:c r="A365" s="33"/>
      <x:c r="B365" s="33"/>
      <x:c r="C365" s="33"/>
      <x:c r="D365" s="33"/>
      <x:c r="E365" s="33"/>
      <x:c r="F365" s="33"/>
      <x:c r="G365" s="33"/>
      <x:c r="H365" s="33"/>
      <x:c r="I365" s="33"/>
      <x:c r="J365" s="33"/>
      <x:c r="K365" s="33"/>
      <x:c r="L365" s="33"/>
      <x:c r="M365" s="3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>
      <x:c r="A366" s="33"/>
      <x:c r="B366" s="33"/>
      <x:c r="C366" s="33"/>
      <x:c r="D366" s="33"/>
      <x:c r="E366" s="33"/>
      <x:c r="F366" s="33"/>
      <x:c r="G366" s="33"/>
      <x:c r="H366" s="33"/>
      <x:c r="I366" s="33"/>
      <x:c r="J366" s="33"/>
      <x:c r="K366" s="33"/>
      <x:c r="L366" s="33"/>
      <x:c r="M366" s="3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>
      <x:c r="A367" s="33"/>
      <x:c r="B367" s="33"/>
      <x:c r="C367" s="33"/>
      <x:c r="D367" s="33"/>
      <x:c r="E367" s="33"/>
      <x:c r="F367" s="33"/>
      <x:c r="G367" s="33"/>
      <x:c r="H367" s="33"/>
      <x:c r="I367" s="33"/>
      <x:c r="J367" s="33"/>
      <x:c r="K367" s="33"/>
      <x:c r="L367" s="33"/>
      <x:c r="M367" s="3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>
      <x:c r="A368" s="33"/>
      <x:c r="B368" s="33"/>
      <x:c r="C368" s="33"/>
      <x:c r="D368" s="33"/>
      <x:c r="E368" s="33"/>
      <x:c r="F368" s="33"/>
      <x:c r="G368" s="33"/>
      <x:c r="H368" s="33"/>
      <x:c r="I368" s="33"/>
      <x:c r="J368" s="33"/>
      <x:c r="K368" s="33"/>
      <x:c r="L368" s="33"/>
      <x:c r="M368" s="3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>
      <x:c r="A369" s="33"/>
      <x:c r="B369" s="33"/>
      <x:c r="C369" s="33"/>
      <x:c r="D369" s="33"/>
      <x:c r="E369" s="33"/>
      <x:c r="F369" s="33"/>
      <x:c r="G369" s="33"/>
      <x:c r="H369" s="33"/>
      <x:c r="I369" s="33"/>
      <x:c r="J369" s="33"/>
      <x:c r="K369" s="33"/>
      <x:c r="L369" s="33"/>
      <x:c r="M369" s="3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>
      <x:c r="A370" s="33"/>
      <x:c r="B370" s="33"/>
      <x:c r="C370" s="33"/>
      <x:c r="D370" s="33"/>
      <x:c r="E370" s="33"/>
      <x:c r="F370" s="33"/>
      <x:c r="G370" s="33"/>
      <x:c r="H370" s="33"/>
      <x:c r="I370" s="33"/>
      <x:c r="J370" s="33"/>
      <x:c r="K370" s="33"/>
      <x:c r="L370" s="33"/>
      <x:c r="M370" s="3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>
      <x:c r="A371" s="33"/>
      <x:c r="B371" s="33"/>
      <x:c r="C371" s="33"/>
      <x:c r="D371" s="33"/>
      <x:c r="E371" s="33"/>
      <x:c r="F371" s="33"/>
      <x:c r="G371" s="33"/>
      <x:c r="H371" s="33"/>
      <x:c r="I371" s="33"/>
      <x:c r="J371" s="33"/>
      <x:c r="K371" s="33"/>
      <x:c r="L371" s="33"/>
      <x:c r="M371" s="3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>
      <x:c r="A372" s="33"/>
      <x:c r="B372" s="33"/>
      <x:c r="C372" s="33"/>
      <x:c r="D372" s="33"/>
      <x:c r="E372" s="33"/>
      <x:c r="F372" s="33"/>
      <x:c r="G372" s="33"/>
      <x:c r="H372" s="33"/>
      <x:c r="I372" s="33"/>
      <x:c r="J372" s="33"/>
      <x:c r="K372" s="33"/>
      <x:c r="L372" s="33"/>
      <x:c r="M372" s="3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33"/>
      <x:c r="K373" s="33"/>
      <x:c r="L373" s="33"/>
      <x:c r="M373" s="3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>
      <x:c r="A374" s="33"/>
      <x:c r="B374" s="33"/>
      <x:c r="C374" s="33"/>
      <x:c r="D374" s="33"/>
      <x:c r="E374" s="33"/>
      <x:c r="F374" s="33"/>
      <x:c r="G374" s="33"/>
      <x:c r="H374" s="33"/>
      <x:c r="I374" s="33"/>
      <x:c r="J374" s="33"/>
      <x:c r="K374" s="33"/>
      <x:c r="L374" s="33"/>
      <x:c r="M374" s="3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>
      <x:c r="A375" s="33"/>
      <x:c r="B375" s="33"/>
      <x:c r="C375" s="33"/>
      <x:c r="D375" s="33"/>
      <x:c r="E375" s="33"/>
      <x:c r="F375" s="33"/>
      <x:c r="G375" s="33"/>
      <x:c r="H375" s="33"/>
      <x:c r="I375" s="33"/>
      <x:c r="J375" s="33"/>
      <x:c r="K375" s="33"/>
      <x:c r="L375" s="33"/>
      <x:c r="M375" s="3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>
      <x:c r="A376" s="33"/>
      <x:c r="B376" s="33"/>
      <x:c r="C376" s="33"/>
      <x:c r="D376" s="33"/>
      <x:c r="E376" s="33"/>
      <x:c r="F376" s="33"/>
      <x:c r="G376" s="33"/>
      <x:c r="H376" s="33"/>
      <x:c r="I376" s="33"/>
      <x:c r="J376" s="33"/>
      <x:c r="K376" s="33"/>
      <x:c r="L376" s="33"/>
      <x:c r="M376" s="3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>
      <x:c r="A377" s="33"/>
      <x:c r="B377" s="33"/>
      <x:c r="C377" s="33"/>
      <x:c r="D377" s="33"/>
      <x:c r="E377" s="33"/>
      <x:c r="F377" s="33"/>
      <x:c r="G377" s="33"/>
      <x:c r="H377" s="33"/>
      <x:c r="I377" s="33"/>
      <x:c r="J377" s="33"/>
      <x:c r="K377" s="33"/>
      <x:c r="L377" s="33"/>
      <x:c r="M377" s="3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>
      <x:c r="A378" s="33"/>
      <x:c r="B378" s="33"/>
      <x:c r="C378" s="33"/>
      <x:c r="D378" s="33"/>
      <x:c r="E378" s="33"/>
      <x:c r="F378" s="33"/>
      <x:c r="G378" s="33"/>
      <x:c r="H378" s="33"/>
      <x:c r="I378" s="33"/>
      <x:c r="J378" s="33"/>
      <x:c r="K378" s="33"/>
      <x:c r="L378" s="33"/>
      <x:c r="M378" s="3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>
      <x:c r="A379" s="33"/>
      <x:c r="B379" s="33"/>
      <x:c r="C379" s="33"/>
      <x:c r="D379" s="33"/>
      <x:c r="E379" s="33"/>
      <x:c r="F379" s="33"/>
      <x:c r="G379" s="33"/>
      <x:c r="H379" s="33"/>
      <x:c r="I379" s="33"/>
      <x:c r="J379" s="33"/>
      <x:c r="K379" s="33"/>
      <x:c r="L379" s="33"/>
      <x:c r="M379" s="3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>
      <x:c r="A380" s="33"/>
      <x:c r="B380" s="33"/>
      <x:c r="C380" s="33"/>
      <x:c r="D380" s="33"/>
      <x:c r="E380" s="33"/>
      <x:c r="F380" s="33"/>
      <x:c r="G380" s="33"/>
      <x:c r="H380" s="33"/>
      <x:c r="I380" s="33"/>
      <x:c r="J380" s="33"/>
      <x:c r="K380" s="33"/>
      <x:c r="L380" s="33"/>
      <x:c r="M380" s="3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>
      <x:c r="A381" s="33"/>
      <x:c r="B381" s="33"/>
      <x:c r="C381" s="33"/>
      <x:c r="D381" s="33"/>
      <x:c r="E381" s="33"/>
      <x:c r="F381" s="33"/>
      <x:c r="G381" s="33"/>
      <x:c r="H381" s="33"/>
      <x:c r="I381" s="33"/>
      <x:c r="J381" s="33"/>
      <x:c r="K381" s="33"/>
      <x:c r="L381" s="33"/>
      <x:c r="M381" s="3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>
      <x:c r="A382" s="33"/>
      <x:c r="B382" s="33"/>
      <x:c r="C382" s="33"/>
      <x:c r="D382" s="33"/>
      <x:c r="E382" s="33"/>
      <x:c r="F382" s="33"/>
      <x:c r="G382" s="33"/>
      <x:c r="H382" s="33"/>
      <x:c r="I382" s="33"/>
      <x:c r="J382" s="33"/>
      <x:c r="K382" s="33"/>
      <x:c r="L382" s="33"/>
      <x:c r="M382" s="3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>
      <x:c r="A383" s="33"/>
      <x:c r="B383" s="33"/>
      <x:c r="C383" s="33"/>
      <x:c r="D383" s="33"/>
      <x:c r="E383" s="33"/>
      <x:c r="F383" s="33"/>
      <x:c r="G383" s="33"/>
      <x:c r="H383" s="33"/>
      <x:c r="I383" s="33"/>
      <x:c r="J383" s="33"/>
      <x:c r="K383" s="33"/>
      <x:c r="L383" s="33"/>
      <x:c r="M383" s="3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>
      <x:c r="A384" s="33"/>
      <x:c r="B384" s="33"/>
      <x:c r="C384" s="33"/>
      <x:c r="D384" s="33"/>
      <x:c r="E384" s="33"/>
      <x:c r="F384" s="33"/>
      <x:c r="G384" s="33"/>
      <x:c r="H384" s="33"/>
      <x:c r="I384" s="33"/>
      <x:c r="J384" s="33"/>
      <x:c r="K384" s="33"/>
      <x:c r="L384" s="33"/>
      <x:c r="M384" s="3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33"/>
      <x:c r="K385" s="33"/>
      <x:c r="L385" s="33"/>
      <x:c r="M385" s="3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>
      <x:c r="A386" s="33"/>
      <x:c r="B386" s="33"/>
      <x:c r="C386" s="33"/>
      <x:c r="D386" s="33"/>
      <x:c r="E386" s="33"/>
      <x:c r="F386" s="33"/>
      <x:c r="G386" s="33"/>
      <x:c r="H386" s="33"/>
      <x:c r="I386" s="33"/>
      <x:c r="J386" s="33"/>
      <x:c r="K386" s="33"/>
      <x:c r="L386" s="33"/>
      <x:c r="M386" s="3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>
      <x:c r="A387" s="33"/>
      <x:c r="B387" s="33"/>
      <x:c r="C387" s="33"/>
      <x:c r="D387" s="33"/>
      <x:c r="E387" s="33"/>
      <x:c r="F387" s="33"/>
      <x:c r="G387" s="33"/>
      <x:c r="H387" s="33"/>
      <x:c r="I387" s="33"/>
      <x:c r="J387" s="33"/>
      <x:c r="K387" s="33"/>
      <x:c r="L387" s="33"/>
      <x:c r="M387" s="3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>
      <x:c r="A388" s="33"/>
      <x:c r="B388" s="33"/>
      <x:c r="C388" s="33"/>
      <x:c r="D388" s="33"/>
      <x:c r="E388" s="33"/>
      <x:c r="F388" s="33"/>
      <x:c r="G388" s="33"/>
      <x:c r="H388" s="33"/>
      <x:c r="I388" s="33"/>
      <x:c r="J388" s="33"/>
      <x:c r="K388" s="33"/>
      <x:c r="L388" s="33"/>
      <x:c r="M388" s="3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>
      <x:c r="A389" s="33"/>
      <x:c r="B389" s="33"/>
      <x:c r="C389" s="33"/>
      <x:c r="D389" s="33"/>
      <x:c r="E389" s="33"/>
      <x:c r="F389" s="33"/>
      <x:c r="G389" s="33"/>
      <x:c r="H389" s="33"/>
      <x:c r="I389" s="33"/>
      <x:c r="J389" s="33"/>
      <x:c r="K389" s="33"/>
      <x:c r="L389" s="33"/>
      <x:c r="M389" s="3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>
      <x:c r="A390" s="33"/>
      <x:c r="B390" s="33"/>
      <x:c r="C390" s="33"/>
      <x:c r="D390" s="33"/>
      <x:c r="E390" s="33"/>
      <x:c r="F390" s="33"/>
      <x:c r="G390" s="33"/>
      <x:c r="H390" s="33"/>
      <x:c r="I390" s="33"/>
      <x:c r="J390" s="33"/>
      <x:c r="K390" s="33"/>
      <x:c r="L390" s="33"/>
      <x:c r="M390" s="3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>
      <x:c r="A391" s="33"/>
      <x:c r="B391" s="33"/>
      <x:c r="C391" s="33"/>
      <x:c r="D391" s="33"/>
      <x:c r="E391" s="33"/>
      <x:c r="F391" s="33"/>
      <x:c r="G391" s="33"/>
      <x:c r="H391" s="33"/>
      <x:c r="I391" s="33"/>
      <x:c r="J391" s="33"/>
      <x:c r="K391" s="33"/>
      <x:c r="L391" s="33"/>
      <x:c r="M391" s="3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>
      <x:c r="A392" s="33"/>
      <x:c r="B392" s="33"/>
      <x:c r="C392" s="33"/>
      <x:c r="D392" s="33"/>
      <x:c r="E392" s="33"/>
      <x:c r="F392" s="33"/>
      <x:c r="G392" s="33"/>
      <x:c r="H392" s="33"/>
      <x:c r="I392" s="33"/>
      <x:c r="J392" s="33"/>
      <x:c r="K392" s="33"/>
      <x:c r="L392" s="33"/>
      <x:c r="M392" s="3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>
      <x:c r="A393" s="33"/>
      <x:c r="B393" s="33"/>
      <x:c r="C393" s="33"/>
      <x:c r="D393" s="33"/>
      <x:c r="E393" s="33"/>
      <x:c r="F393" s="33"/>
      <x:c r="G393" s="33"/>
      <x:c r="H393" s="33"/>
      <x:c r="I393" s="33"/>
      <x:c r="J393" s="33"/>
      <x:c r="K393" s="33"/>
      <x:c r="L393" s="33"/>
      <x:c r="M393" s="3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>
      <x:c r="A394" s="33"/>
      <x:c r="B394" s="33"/>
      <x:c r="C394" s="33"/>
      <x:c r="D394" s="33"/>
      <x:c r="E394" s="33"/>
      <x:c r="F394" s="33"/>
      <x:c r="G394" s="33"/>
      <x:c r="H394" s="33"/>
      <x:c r="I394" s="33"/>
      <x:c r="J394" s="33"/>
      <x:c r="K394" s="33"/>
      <x:c r="L394" s="33"/>
      <x:c r="M394" s="3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>
      <x:c r="A395" s="33"/>
      <x:c r="B395" s="33"/>
      <x:c r="C395" s="33"/>
      <x:c r="D395" s="33"/>
      <x:c r="E395" s="33"/>
      <x:c r="F395" s="33"/>
      <x:c r="G395" s="33"/>
      <x:c r="H395" s="33"/>
      <x:c r="I395" s="33"/>
      <x:c r="J395" s="33"/>
      <x:c r="K395" s="33"/>
      <x:c r="L395" s="33"/>
      <x:c r="M395" s="3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>
      <x:c r="A396" s="33"/>
      <x:c r="B396" s="33"/>
      <x:c r="C396" s="33"/>
      <x:c r="D396" s="33"/>
      <x:c r="E396" s="33"/>
      <x:c r="F396" s="33"/>
      <x:c r="G396" s="33"/>
      <x:c r="H396" s="33"/>
      <x:c r="I396" s="33"/>
      <x:c r="J396" s="33"/>
      <x:c r="K396" s="33"/>
      <x:c r="L396" s="33"/>
      <x:c r="M396" s="3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>
      <x:c r="A397" s="33"/>
      <x:c r="B397" s="33"/>
      <x:c r="C397" s="33"/>
      <x:c r="D397" s="33"/>
      <x:c r="E397" s="33"/>
      <x:c r="F397" s="33"/>
      <x:c r="G397" s="33"/>
      <x:c r="H397" s="33"/>
      <x:c r="I397" s="33"/>
      <x:c r="J397" s="33"/>
      <x:c r="K397" s="33"/>
      <x:c r="L397" s="33"/>
      <x:c r="M397" s="3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>
      <x:c r="A398" s="33"/>
      <x:c r="B398" s="33"/>
      <x:c r="C398" s="33"/>
      <x:c r="D398" s="33"/>
      <x:c r="E398" s="33"/>
      <x:c r="F398" s="33"/>
      <x:c r="G398" s="33"/>
      <x:c r="H398" s="33"/>
      <x:c r="I398" s="33"/>
      <x:c r="J398" s="33"/>
      <x:c r="K398" s="33"/>
      <x:c r="L398" s="33"/>
      <x:c r="M398" s="3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>
      <x:c r="A399" s="33"/>
      <x:c r="B399" s="33"/>
      <x:c r="C399" s="33"/>
      <x:c r="D399" s="33"/>
      <x:c r="E399" s="33"/>
      <x:c r="F399" s="33"/>
      <x:c r="G399" s="33"/>
      <x:c r="H399" s="33"/>
      <x:c r="I399" s="33"/>
      <x:c r="J399" s="33"/>
      <x:c r="K399" s="33"/>
      <x:c r="L399" s="33"/>
      <x:c r="M399" s="3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>
      <x:c r="A400" s="33"/>
      <x:c r="B400" s="33"/>
      <x:c r="C400" s="33"/>
      <x:c r="D400" s="33"/>
      <x:c r="E400" s="33"/>
      <x:c r="F400" s="33"/>
      <x:c r="G400" s="33"/>
      <x:c r="H400" s="33"/>
      <x:c r="I400" s="33"/>
      <x:c r="J400" s="33"/>
      <x:c r="K400" s="33"/>
      <x:c r="L400" s="33"/>
      <x:c r="M400" s="3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>
      <x:c r="A401" s="33"/>
      <x:c r="B401" s="33"/>
      <x:c r="C401" s="33"/>
      <x:c r="D401" s="33"/>
      <x:c r="E401" s="33"/>
      <x:c r="F401" s="33"/>
      <x:c r="G401" s="33"/>
      <x:c r="H401" s="33"/>
      <x:c r="I401" s="33"/>
      <x:c r="J401" s="33"/>
      <x:c r="K401" s="33"/>
      <x:c r="L401" s="33"/>
      <x:c r="M401" s="3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>
      <x:c r="A402" s="33"/>
      <x:c r="B402" s="33"/>
      <x:c r="C402" s="33"/>
      <x:c r="D402" s="33"/>
      <x:c r="E402" s="33"/>
      <x:c r="F402" s="33"/>
      <x:c r="G402" s="33"/>
      <x:c r="H402" s="33"/>
      <x:c r="I402" s="33"/>
      <x:c r="J402" s="33"/>
      <x:c r="K402" s="33"/>
      <x:c r="L402" s="33"/>
      <x:c r="M402" s="3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>
      <x:c r="A403" s="33"/>
      <x:c r="B403" s="33"/>
      <x:c r="C403" s="33"/>
      <x:c r="D403" s="33"/>
      <x:c r="E403" s="33"/>
      <x:c r="F403" s="33"/>
      <x:c r="G403" s="33"/>
      <x:c r="H403" s="33"/>
      <x:c r="I403" s="33"/>
      <x:c r="J403" s="33"/>
      <x:c r="K403" s="33"/>
      <x:c r="L403" s="33"/>
      <x:c r="M403" s="3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>
      <x:c r="A404" s="33"/>
      <x:c r="B404" s="33"/>
      <x:c r="C404" s="33"/>
      <x:c r="D404" s="33"/>
      <x:c r="E404" s="33"/>
      <x:c r="F404" s="33"/>
      <x:c r="G404" s="33"/>
      <x:c r="H404" s="33"/>
      <x:c r="I404" s="33"/>
      <x:c r="J404" s="33"/>
      <x:c r="K404" s="33"/>
      <x:c r="L404" s="33"/>
      <x:c r="M404" s="3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>
      <x:c r="A405" s="33"/>
      <x:c r="B405" s="33"/>
      <x:c r="C405" s="33"/>
      <x:c r="D405" s="33"/>
      <x:c r="E405" s="33"/>
      <x:c r="F405" s="33"/>
      <x:c r="G405" s="33"/>
      <x:c r="H405" s="33"/>
      <x:c r="I405" s="33"/>
      <x:c r="J405" s="33"/>
      <x:c r="K405" s="33"/>
      <x:c r="L405" s="33"/>
      <x:c r="M405" s="3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>
      <x:c r="A406" s="33"/>
      <x:c r="B406" s="33"/>
      <x:c r="C406" s="33"/>
      <x:c r="D406" s="33"/>
      <x:c r="E406" s="33"/>
      <x:c r="F406" s="33"/>
      <x:c r="G406" s="33"/>
      <x:c r="H406" s="33"/>
      <x:c r="I406" s="33"/>
      <x:c r="J406" s="33"/>
      <x:c r="K406" s="33"/>
      <x:c r="L406" s="33"/>
      <x:c r="M406" s="3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>
      <x:c r="A407" s="33"/>
      <x:c r="B407" s="33"/>
      <x:c r="C407" s="33"/>
      <x:c r="D407" s="33"/>
      <x:c r="E407" s="33"/>
      <x:c r="F407" s="33"/>
      <x:c r="G407" s="33"/>
      <x:c r="H407" s="33"/>
      <x:c r="I407" s="33"/>
      <x:c r="J407" s="33"/>
      <x:c r="K407" s="33"/>
      <x:c r="L407" s="33"/>
      <x:c r="M407" s="3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>
      <x:c r="A408" s="33"/>
      <x:c r="B408" s="33"/>
      <x:c r="C408" s="33"/>
      <x:c r="D408" s="33"/>
      <x:c r="E408" s="33"/>
      <x:c r="F408" s="33"/>
      <x:c r="G408" s="33"/>
      <x:c r="H408" s="33"/>
      <x:c r="I408" s="33"/>
      <x:c r="J408" s="33"/>
      <x:c r="K408" s="33"/>
      <x:c r="L408" s="33"/>
      <x:c r="M408" s="3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>
      <x:c r="A409" s="33"/>
      <x:c r="B409" s="33"/>
      <x:c r="C409" s="33"/>
      <x:c r="D409" s="33"/>
      <x:c r="E409" s="33"/>
      <x:c r="F409" s="33"/>
      <x:c r="G409" s="33"/>
      <x:c r="H409" s="33"/>
      <x:c r="I409" s="33"/>
      <x:c r="J409" s="33"/>
      <x:c r="K409" s="33"/>
      <x:c r="L409" s="33"/>
      <x:c r="M409" s="3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>
      <x:c r="A410" s="33"/>
      <x:c r="B410" s="33"/>
      <x:c r="C410" s="33"/>
      <x:c r="D410" s="33"/>
      <x:c r="E410" s="33"/>
      <x:c r="F410" s="33"/>
      <x:c r="G410" s="33"/>
      <x:c r="H410" s="33"/>
      <x:c r="I410" s="33"/>
      <x:c r="J410" s="33"/>
      <x:c r="K410" s="33"/>
      <x:c r="L410" s="33"/>
      <x:c r="M410" s="3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>
      <x:c r="A411" s="33"/>
      <x:c r="B411" s="33"/>
      <x:c r="C411" s="33"/>
      <x:c r="D411" s="33"/>
      <x:c r="E411" s="33"/>
      <x:c r="F411" s="33"/>
      <x:c r="G411" s="33"/>
      <x:c r="H411" s="33"/>
      <x:c r="I411" s="33"/>
      <x:c r="J411" s="33"/>
      <x:c r="K411" s="33"/>
      <x:c r="L411" s="33"/>
      <x:c r="M411" s="3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>
      <x:c r="A412" s="33"/>
      <x:c r="B412" s="33"/>
      <x:c r="C412" s="33"/>
      <x:c r="D412" s="33"/>
      <x:c r="E412" s="33"/>
      <x:c r="F412" s="33"/>
      <x:c r="G412" s="33"/>
      <x:c r="H412" s="33"/>
      <x:c r="I412" s="33"/>
      <x:c r="J412" s="33"/>
      <x:c r="K412" s="33"/>
      <x:c r="L412" s="33"/>
      <x:c r="M412" s="3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>
      <x:c r="A413" s="33"/>
      <x:c r="B413" s="33"/>
      <x:c r="C413" s="33"/>
      <x:c r="D413" s="33"/>
      <x:c r="E413" s="33"/>
      <x:c r="F413" s="33"/>
      <x:c r="G413" s="33"/>
      <x:c r="H413" s="33"/>
      <x:c r="I413" s="33"/>
      <x:c r="J413" s="33"/>
      <x:c r="K413" s="33"/>
      <x:c r="L413" s="33"/>
      <x:c r="M413" s="3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>
      <x:c r="A414" s="33"/>
      <x:c r="B414" s="33"/>
      <x:c r="C414" s="33"/>
      <x:c r="D414" s="33"/>
      <x:c r="E414" s="33"/>
      <x:c r="F414" s="33"/>
      <x:c r="G414" s="33"/>
      <x:c r="H414" s="33"/>
      <x:c r="I414" s="33"/>
      <x:c r="J414" s="33"/>
      <x:c r="K414" s="33"/>
      <x:c r="L414" s="33"/>
      <x:c r="M414" s="3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>
      <x:c r="A415" s="33"/>
      <x:c r="B415" s="33"/>
      <x:c r="C415" s="33"/>
      <x:c r="D415" s="33"/>
      <x:c r="E415" s="33"/>
      <x:c r="F415" s="33"/>
      <x:c r="G415" s="33"/>
      <x:c r="H415" s="33"/>
      <x:c r="I415" s="33"/>
      <x:c r="J415" s="33"/>
      <x:c r="K415" s="33"/>
      <x:c r="L415" s="33"/>
      <x:c r="M415" s="3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>
      <x:c r="A416" s="33"/>
      <x:c r="B416" s="33"/>
      <x:c r="C416" s="33"/>
      <x:c r="D416" s="33"/>
      <x:c r="E416" s="33"/>
      <x:c r="F416" s="33"/>
      <x:c r="G416" s="33"/>
      <x:c r="H416" s="33"/>
      <x:c r="I416" s="33"/>
      <x:c r="J416" s="33"/>
      <x:c r="K416" s="33"/>
      <x:c r="L416" s="33"/>
      <x:c r="M416" s="3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>
      <x:c r="A417" s="33"/>
      <x:c r="B417" s="33"/>
      <x:c r="C417" s="33"/>
      <x:c r="D417" s="33"/>
      <x:c r="E417" s="33"/>
      <x:c r="F417" s="33"/>
      <x:c r="G417" s="33"/>
      <x:c r="H417" s="33"/>
      <x:c r="I417" s="33"/>
      <x:c r="J417" s="33"/>
      <x:c r="K417" s="33"/>
      <x:c r="L417" s="33"/>
      <x:c r="M417" s="3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>
      <x:c r="A418" s="33"/>
      <x:c r="B418" s="33"/>
      <x:c r="C418" s="33"/>
      <x:c r="D418" s="33"/>
      <x:c r="E418" s="33"/>
      <x:c r="F418" s="33"/>
      <x:c r="G418" s="33"/>
      <x:c r="H418" s="33"/>
      <x:c r="I418" s="33"/>
      <x:c r="J418" s="33"/>
      <x:c r="K418" s="33"/>
      <x:c r="L418" s="33"/>
      <x:c r="M418" s="3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>
      <x:c r="A419" s="33"/>
      <x:c r="B419" s="33"/>
      <x:c r="C419" s="33"/>
      <x:c r="D419" s="33"/>
      <x:c r="E419" s="33"/>
      <x:c r="F419" s="33"/>
      <x:c r="G419" s="33"/>
      <x:c r="H419" s="33"/>
      <x:c r="I419" s="33"/>
      <x:c r="J419" s="33"/>
      <x:c r="K419" s="33"/>
      <x:c r="L419" s="33"/>
      <x:c r="M419" s="3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>
      <x:c r="A420" s="33"/>
      <x:c r="B420" s="33"/>
      <x:c r="C420" s="33"/>
      <x:c r="D420" s="33"/>
      <x:c r="E420" s="33"/>
      <x:c r="F420" s="33"/>
      <x:c r="G420" s="33"/>
      <x:c r="H420" s="33"/>
      <x:c r="I420" s="33"/>
      <x:c r="J420" s="33"/>
      <x:c r="K420" s="33"/>
      <x:c r="L420" s="33"/>
      <x:c r="M420" s="3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>
      <x:c r="A421" s="33"/>
      <x:c r="B421" s="33"/>
      <x:c r="C421" s="33"/>
      <x:c r="D421" s="33"/>
      <x:c r="E421" s="33"/>
      <x:c r="F421" s="33"/>
      <x:c r="G421" s="33"/>
      <x:c r="H421" s="33"/>
      <x:c r="I421" s="33"/>
      <x:c r="J421" s="33"/>
      <x:c r="K421" s="33"/>
      <x:c r="L421" s="33"/>
      <x:c r="M421" s="3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>
      <x:c r="A422" s="33"/>
      <x:c r="B422" s="33"/>
      <x:c r="C422" s="33"/>
      <x:c r="D422" s="33"/>
      <x:c r="E422" s="33"/>
      <x:c r="F422" s="33"/>
      <x:c r="G422" s="33"/>
      <x:c r="H422" s="33"/>
      <x:c r="I422" s="33"/>
      <x:c r="J422" s="33"/>
      <x:c r="K422" s="33"/>
      <x:c r="L422" s="33"/>
      <x:c r="M422" s="3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>
      <x:c r="A423" s="33"/>
      <x:c r="B423" s="33"/>
      <x:c r="C423" s="33"/>
      <x:c r="D423" s="33"/>
      <x:c r="E423" s="33"/>
      <x:c r="F423" s="33"/>
      <x:c r="G423" s="33"/>
      <x:c r="H423" s="33"/>
      <x:c r="I423" s="33"/>
      <x:c r="J423" s="33"/>
      <x:c r="K423" s="33"/>
      <x:c r="L423" s="33"/>
      <x:c r="M423" s="3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>
      <x:c r="A424" s="33"/>
      <x:c r="B424" s="33"/>
      <x:c r="C424" s="33"/>
      <x:c r="D424" s="33"/>
      <x:c r="E424" s="33"/>
      <x:c r="F424" s="33"/>
      <x:c r="G424" s="33"/>
      <x:c r="H424" s="33"/>
      <x:c r="I424" s="33"/>
      <x:c r="J424" s="33"/>
      <x:c r="K424" s="33"/>
      <x:c r="L424" s="33"/>
      <x:c r="M424" s="3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>
      <x:c r="A425" s="33"/>
      <x:c r="B425" s="33"/>
      <x:c r="C425" s="33"/>
      <x:c r="D425" s="33"/>
      <x:c r="E425" s="33"/>
      <x:c r="F425" s="33"/>
      <x:c r="G425" s="33"/>
      <x:c r="H425" s="33"/>
      <x:c r="I425" s="33"/>
      <x:c r="J425" s="33"/>
      <x:c r="K425" s="33"/>
      <x:c r="L425" s="33"/>
      <x:c r="M425" s="3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>
      <x:c r="A426" s="33"/>
      <x:c r="B426" s="33"/>
      <x:c r="C426" s="33"/>
      <x:c r="D426" s="33"/>
      <x:c r="E426" s="33"/>
      <x:c r="F426" s="33"/>
      <x:c r="G426" s="33"/>
      <x:c r="H426" s="33"/>
      <x:c r="I426" s="33"/>
      <x:c r="J426" s="33"/>
      <x:c r="K426" s="33"/>
      <x:c r="L426" s="33"/>
      <x:c r="M426" s="3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>
      <x:c r="A427" s="33"/>
      <x:c r="B427" s="33"/>
      <x:c r="C427" s="33"/>
      <x:c r="D427" s="33"/>
      <x:c r="E427" s="33"/>
      <x:c r="F427" s="33"/>
      <x:c r="G427" s="33"/>
      <x:c r="H427" s="33"/>
      <x:c r="I427" s="33"/>
      <x:c r="J427" s="33"/>
      <x:c r="K427" s="33"/>
      <x:c r="L427" s="33"/>
      <x:c r="M427" s="3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>
      <x:c r="A428" s="33"/>
      <x:c r="B428" s="33"/>
      <x:c r="C428" s="33"/>
      <x:c r="D428" s="33"/>
      <x:c r="E428" s="33"/>
      <x:c r="F428" s="33"/>
      <x:c r="G428" s="33"/>
      <x:c r="H428" s="33"/>
      <x:c r="I428" s="33"/>
      <x:c r="J428" s="33"/>
      <x:c r="K428" s="33"/>
      <x:c r="L428" s="33"/>
      <x:c r="M428" s="3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>
      <x:c r="A429" s="33"/>
      <x:c r="B429" s="33"/>
      <x:c r="C429" s="33"/>
      <x:c r="D429" s="33"/>
      <x:c r="E429" s="33"/>
      <x:c r="F429" s="33"/>
      <x:c r="G429" s="33"/>
      <x:c r="H429" s="33"/>
      <x:c r="I429" s="33"/>
      <x:c r="J429" s="33"/>
      <x:c r="K429" s="33"/>
      <x:c r="L429" s="33"/>
      <x:c r="M429" s="3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>
      <x:c r="A430" s="33"/>
      <x:c r="B430" s="33"/>
      <x:c r="C430" s="33"/>
      <x:c r="D430" s="33"/>
      <x:c r="E430" s="33"/>
      <x:c r="F430" s="33"/>
      <x:c r="G430" s="33"/>
      <x:c r="H430" s="33"/>
      <x:c r="I430" s="33"/>
      <x:c r="J430" s="33"/>
      <x:c r="K430" s="33"/>
      <x:c r="L430" s="33"/>
      <x:c r="M430" s="3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>
      <x:c r="A431" s="33"/>
      <x:c r="B431" s="33"/>
      <x:c r="C431" s="33"/>
      <x:c r="D431" s="33"/>
      <x:c r="E431" s="33"/>
      <x:c r="F431" s="33"/>
      <x:c r="G431" s="33"/>
      <x:c r="H431" s="33"/>
      <x:c r="I431" s="33"/>
      <x:c r="J431" s="33"/>
      <x:c r="K431" s="33"/>
      <x:c r="L431" s="33"/>
      <x:c r="M431" s="3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>
      <x:c r="A432" s="33"/>
      <x:c r="B432" s="33"/>
      <x:c r="C432" s="33"/>
      <x:c r="D432" s="33"/>
      <x:c r="E432" s="33"/>
      <x:c r="F432" s="33"/>
      <x:c r="G432" s="33"/>
      <x:c r="H432" s="33"/>
      <x:c r="I432" s="33"/>
      <x:c r="J432" s="33"/>
      <x:c r="K432" s="33"/>
      <x:c r="L432" s="33"/>
      <x:c r="M432" s="3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>
      <x:c r="A433" s="33"/>
      <x:c r="B433" s="33"/>
      <x:c r="C433" s="33"/>
      <x:c r="D433" s="33"/>
      <x:c r="E433" s="33"/>
      <x:c r="F433" s="33"/>
      <x:c r="G433" s="33"/>
      <x:c r="H433" s="33"/>
      <x:c r="I433" s="33"/>
      <x:c r="J433" s="33"/>
      <x:c r="K433" s="33"/>
      <x:c r="L433" s="33"/>
      <x:c r="M433" s="3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>
      <x:c r="A434" s="33"/>
      <x:c r="B434" s="33"/>
      <x:c r="C434" s="33"/>
      <x:c r="D434" s="33"/>
      <x:c r="E434" s="33"/>
      <x:c r="F434" s="33"/>
      <x:c r="G434" s="33"/>
      <x:c r="H434" s="33"/>
      <x:c r="I434" s="33"/>
      <x:c r="J434" s="33"/>
      <x:c r="K434" s="33"/>
      <x:c r="L434" s="33"/>
      <x:c r="M434" s="3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>
      <x:c r="A435" s="33"/>
      <x:c r="B435" s="33"/>
      <x:c r="C435" s="33"/>
      <x:c r="D435" s="33"/>
      <x:c r="E435" s="33"/>
      <x:c r="F435" s="33"/>
      <x:c r="G435" s="33"/>
      <x:c r="H435" s="33"/>
      <x:c r="I435" s="33"/>
      <x:c r="J435" s="33"/>
      <x:c r="K435" s="33"/>
      <x:c r="L435" s="33"/>
      <x:c r="M435" s="3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>
      <x:c r="A436" s="33"/>
      <x:c r="B436" s="33"/>
      <x:c r="C436" s="33"/>
      <x:c r="D436" s="33"/>
      <x:c r="E436" s="33"/>
      <x:c r="F436" s="33"/>
      <x:c r="G436" s="33"/>
      <x:c r="H436" s="33"/>
      <x:c r="I436" s="33"/>
      <x:c r="J436" s="33"/>
      <x:c r="K436" s="33"/>
      <x:c r="L436" s="33"/>
      <x:c r="M436" s="3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>
      <x:c r="A437" s="33"/>
      <x:c r="B437" s="33"/>
      <x:c r="C437" s="33"/>
      <x:c r="D437" s="33"/>
      <x:c r="E437" s="33"/>
      <x:c r="F437" s="33"/>
      <x:c r="G437" s="33"/>
      <x:c r="H437" s="33"/>
      <x:c r="I437" s="33"/>
      <x:c r="J437" s="33"/>
      <x:c r="K437" s="33"/>
      <x:c r="L437" s="33"/>
      <x:c r="M437" s="3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>
      <x:c r="A438" s="33"/>
      <x:c r="B438" s="33"/>
      <x:c r="C438" s="33"/>
      <x:c r="D438" s="33"/>
      <x:c r="E438" s="33"/>
      <x:c r="F438" s="33"/>
      <x:c r="G438" s="33"/>
      <x:c r="H438" s="33"/>
      <x:c r="I438" s="33"/>
      <x:c r="J438" s="33"/>
      <x:c r="K438" s="33"/>
      <x:c r="L438" s="33"/>
      <x:c r="M438" s="3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>
      <x:c r="A439" s="33"/>
      <x:c r="B439" s="33"/>
      <x:c r="C439" s="33"/>
      <x:c r="D439" s="33"/>
      <x:c r="E439" s="33"/>
      <x:c r="F439" s="33"/>
      <x:c r="G439" s="33"/>
      <x:c r="H439" s="33"/>
      <x:c r="I439" s="33"/>
      <x:c r="J439" s="33"/>
      <x:c r="K439" s="33"/>
      <x:c r="L439" s="33"/>
      <x:c r="M439" s="3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>
      <x:c r="A440" s="33"/>
      <x:c r="B440" s="33"/>
      <x:c r="C440" s="33"/>
      <x:c r="D440" s="33"/>
      <x:c r="E440" s="33"/>
      <x:c r="F440" s="33"/>
      <x:c r="G440" s="33"/>
      <x:c r="H440" s="33"/>
      <x:c r="I440" s="33"/>
      <x:c r="J440" s="33"/>
      <x:c r="K440" s="33"/>
      <x:c r="L440" s="33"/>
      <x:c r="M440" s="3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>
      <x:c r="A441" s="33"/>
      <x:c r="B441" s="33"/>
      <x:c r="C441" s="33"/>
      <x:c r="D441" s="33"/>
      <x:c r="E441" s="33"/>
      <x:c r="F441" s="33"/>
      <x:c r="G441" s="33"/>
      <x:c r="H441" s="33"/>
      <x:c r="I441" s="33"/>
      <x:c r="J441" s="33"/>
      <x:c r="K441" s="33"/>
      <x:c r="L441" s="33"/>
      <x:c r="M441" s="3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>
      <x:c r="A442" s="33"/>
      <x:c r="B442" s="33"/>
      <x:c r="C442" s="33"/>
      <x:c r="D442" s="33"/>
      <x:c r="E442" s="33"/>
      <x:c r="F442" s="33"/>
      <x:c r="G442" s="33"/>
      <x:c r="H442" s="33"/>
      <x:c r="I442" s="33"/>
      <x:c r="J442" s="33"/>
      <x:c r="K442" s="33"/>
      <x:c r="L442" s="33"/>
      <x:c r="M442" s="3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>
      <x:c r="A443" s="33"/>
      <x:c r="B443" s="33"/>
      <x:c r="C443" s="33"/>
      <x:c r="D443" s="33"/>
      <x:c r="E443" s="33"/>
      <x:c r="F443" s="33"/>
      <x:c r="G443" s="33"/>
      <x:c r="H443" s="33"/>
      <x:c r="I443" s="33"/>
      <x:c r="J443" s="33"/>
      <x:c r="K443" s="33"/>
      <x:c r="L443" s="33"/>
      <x:c r="M443" s="3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>
      <x:c r="A444" s="33"/>
      <x:c r="B444" s="33"/>
      <x:c r="C444" s="33"/>
      <x:c r="D444" s="33"/>
      <x:c r="E444" s="33"/>
      <x:c r="F444" s="33"/>
      <x:c r="G444" s="33"/>
      <x:c r="H444" s="33"/>
      <x:c r="I444" s="33"/>
      <x:c r="J444" s="33"/>
      <x:c r="K444" s="33"/>
      <x:c r="L444" s="33"/>
      <x:c r="M444" s="3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>
      <x:c r="A445" s="33"/>
      <x:c r="B445" s="33"/>
      <x:c r="C445" s="33"/>
      <x:c r="D445" s="33"/>
      <x:c r="E445" s="33"/>
      <x:c r="F445" s="33"/>
      <x:c r="G445" s="33"/>
      <x:c r="H445" s="33"/>
      <x:c r="I445" s="33"/>
      <x:c r="J445" s="33"/>
      <x:c r="K445" s="33"/>
      <x:c r="L445" s="33"/>
      <x:c r="M445" s="3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>
      <x:c r="A446" s="33"/>
      <x:c r="B446" s="33"/>
      <x:c r="C446" s="33"/>
      <x:c r="D446" s="33"/>
      <x:c r="E446" s="33"/>
      <x:c r="F446" s="33"/>
      <x:c r="G446" s="33"/>
      <x:c r="H446" s="33"/>
      <x:c r="I446" s="33"/>
      <x:c r="J446" s="33"/>
      <x:c r="K446" s="33"/>
      <x:c r="L446" s="33"/>
      <x:c r="M446" s="3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>
      <x:c r="A447" s="33"/>
      <x:c r="B447" s="33"/>
      <x:c r="C447" s="33"/>
      <x:c r="D447" s="33"/>
      <x:c r="E447" s="33"/>
      <x:c r="F447" s="33"/>
      <x:c r="G447" s="33"/>
      <x:c r="H447" s="33"/>
      <x:c r="I447" s="33"/>
      <x:c r="J447" s="33"/>
      <x:c r="K447" s="33"/>
      <x:c r="L447" s="33"/>
      <x:c r="M447" s="3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>
      <x:c r="A448" s="33"/>
      <x:c r="B448" s="33"/>
      <x:c r="C448" s="33"/>
      <x:c r="D448" s="33"/>
      <x:c r="E448" s="33"/>
      <x:c r="F448" s="33"/>
      <x:c r="G448" s="33"/>
      <x:c r="H448" s="33"/>
      <x:c r="I448" s="33"/>
      <x:c r="J448" s="33"/>
      <x:c r="K448" s="33"/>
      <x:c r="L448" s="33"/>
      <x:c r="M448" s="3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>
      <x:c r="A449" s="33"/>
      <x:c r="B449" s="33"/>
      <x:c r="C449" s="33"/>
      <x:c r="D449" s="33"/>
      <x:c r="E449" s="33"/>
      <x:c r="F449" s="33"/>
      <x:c r="G449" s="33"/>
      <x:c r="H449" s="33"/>
      <x:c r="I449" s="33"/>
      <x:c r="J449" s="33"/>
      <x:c r="K449" s="33"/>
      <x:c r="L449" s="33"/>
      <x:c r="M449" s="3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>
      <x:c r="A450" s="33"/>
      <x:c r="B450" s="33"/>
      <x:c r="C450" s="33"/>
      <x:c r="D450" s="33"/>
      <x:c r="E450" s="33"/>
      <x:c r="F450" s="33"/>
      <x:c r="G450" s="33"/>
      <x:c r="H450" s="33"/>
      <x:c r="I450" s="33"/>
      <x:c r="J450" s="33"/>
      <x:c r="K450" s="33"/>
      <x:c r="L450" s="33"/>
      <x:c r="M450" s="3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>
      <x:c r="A451" s="33"/>
      <x:c r="B451" s="33"/>
      <x:c r="C451" s="33"/>
      <x:c r="D451" s="33"/>
      <x:c r="E451" s="33"/>
      <x:c r="F451" s="33"/>
      <x:c r="G451" s="33"/>
      <x:c r="H451" s="33"/>
      <x:c r="I451" s="33"/>
      <x:c r="J451" s="33"/>
      <x:c r="K451" s="33"/>
      <x:c r="L451" s="33"/>
      <x:c r="M451" s="3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>
      <x:c r="A452" s="33"/>
      <x:c r="B452" s="33"/>
      <x:c r="C452" s="33"/>
      <x:c r="D452" s="33"/>
      <x:c r="E452" s="33"/>
      <x:c r="F452" s="33"/>
      <x:c r="G452" s="33"/>
      <x:c r="H452" s="33"/>
      <x:c r="I452" s="33"/>
      <x:c r="J452" s="33"/>
      <x:c r="K452" s="33"/>
      <x:c r="L452" s="33"/>
      <x:c r="M452" s="3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>
      <x:c r="A453" s="33"/>
      <x:c r="B453" s="33"/>
      <x:c r="C453" s="33"/>
      <x:c r="D453" s="33"/>
      <x:c r="E453" s="33"/>
      <x:c r="F453" s="33"/>
      <x:c r="G453" s="33"/>
      <x:c r="H453" s="33"/>
      <x:c r="I453" s="33"/>
      <x:c r="J453" s="33"/>
      <x:c r="K453" s="33"/>
      <x:c r="L453" s="33"/>
      <x:c r="M453" s="3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>
      <x:c r="A454" s="33"/>
      <x:c r="B454" s="33"/>
      <x:c r="C454" s="33"/>
      <x:c r="D454" s="33"/>
      <x:c r="E454" s="33"/>
      <x:c r="F454" s="33"/>
      <x:c r="G454" s="33"/>
      <x:c r="H454" s="33"/>
      <x:c r="I454" s="33"/>
      <x:c r="J454" s="33"/>
      <x:c r="K454" s="33"/>
      <x:c r="L454" s="33"/>
      <x:c r="M454" s="3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>
      <x:c r="A455" s="33"/>
      <x:c r="B455" s="33"/>
      <x:c r="C455" s="33"/>
      <x:c r="D455" s="33"/>
      <x:c r="E455" s="33"/>
      <x:c r="F455" s="33"/>
      <x:c r="G455" s="33"/>
      <x:c r="H455" s="33"/>
      <x:c r="I455" s="33"/>
      <x:c r="J455" s="33"/>
      <x:c r="K455" s="33"/>
      <x:c r="L455" s="33"/>
      <x:c r="M455" s="3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>
      <x:c r="A456" s="33"/>
      <x:c r="B456" s="33"/>
      <x:c r="C456" s="33"/>
      <x:c r="D456" s="33"/>
      <x:c r="E456" s="33"/>
      <x:c r="F456" s="33"/>
      <x:c r="G456" s="33"/>
      <x:c r="H456" s="33"/>
      <x:c r="I456" s="33"/>
      <x:c r="J456" s="33"/>
      <x:c r="K456" s="33"/>
      <x:c r="L456" s="33"/>
      <x:c r="M456" s="3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>
      <x:c r="A457" s="33"/>
      <x:c r="B457" s="33"/>
      <x:c r="C457" s="33"/>
      <x:c r="D457" s="33"/>
      <x:c r="E457" s="33"/>
      <x:c r="F457" s="33"/>
      <x:c r="G457" s="33"/>
      <x:c r="H457" s="33"/>
      <x:c r="I457" s="33"/>
      <x:c r="J457" s="33"/>
      <x:c r="K457" s="33"/>
      <x:c r="L457" s="33"/>
      <x:c r="M457" s="3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>
      <x:c r="A458" s="33"/>
      <x:c r="B458" s="33"/>
      <x:c r="C458" s="33"/>
      <x:c r="D458" s="33"/>
      <x:c r="E458" s="33"/>
      <x:c r="F458" s="33"/>
      <x:c r="G458" s="33"/>
      <x:c r="H458" s="33"/>
      <x:c r="I458" s="33"/>
      <x:c r="J458" s="33"/>
      <x:c r="K458" s="33"/>
      <x:c r="L458" s="33"/>
      <x:c r="M458" s="3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>
      <x:c r="A459" s="33"/>
      <x:c r="B459" s="33"/>
      <x:c r="C459" s="33"/>
      <x:c r="D459" s="33"/>
      <x:c r="E459" s="33"/>
      <x:c r="F459" s="33"/>
      <x:c r="G459" s="33"/>
      <x:c r="H459" s="33"/>
      <x:c r="I459" s="33"/>
      <x:c r="J459" s="33"/>
      <x:c r="K459" s="33"/>
      <x:c r="L459" s="33"/>
      <x:c r="M459" s="3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>
      <x:c r="A460" s="33"/>
      <x:c r="B460" s="33"/>
      <x:c r="C460" s="33"/>
      <x:c r="D460" s="33"/>
      <x:c r="E460" s="33"/>
      <x:c r="F460" s="33"/>
      <x:c r="G460" s="33"/>
      <x:c r="H460" s="33"/>
      <x:c r="I460" s="33"/>
      <x:c r="J460" s="33"/>
      <x:c r="K460" s="33"/>
      <x:c r="L460" s="33"/>
      <x:c r="M460" s="3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>
      <x:c r="A461" s="33"/>
      <x:c r="B461" s="33"/>
      <x:c r="C461" s="33"/>
      <x:c r="D461" s="33"/>
      <x:c r="E461" s="33"/>
      <x:c r="F461" s="33"/>
      <x:c r="G461" s="33"/>
      <x:c r="H461" s="33"/>
      <x:c r="I461" s="33"/>
      <x:c r="J461" s="33"/>
      <x:c r="K461" s="33"/>
      <x:c r="L461" s="33"/>
      <x:c r="M461" s="3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>
      <x:c r="A462" s="33"/>
      <x:c r="B462" s="33"/>
      <x:c r="C462" s="33"/>
      <x:c r="D462" s="33"/>
      <x:c r="E462" s="33"/>
      <x:c r="F462" s="33"/>
      <x:c r="G462" s="33"/>
      <x:c r="H462" s="33"/>
      <x:c r="I462" s="33"/>
      <x:c r="J462" s="33"/>
      <x:c r="K462" s="33"/>
      <x:c r="L462" s="33"/>
      <x:c r="M462" s="3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>
      <x:c r="A463" s="33"/>
      <x:c r="B463" s="33"/>
      <x:c r="C463" s="33"/>
      <x:c r="D463" s="33"/>
      <x:c r="E463" s="33"/>
      <x:c r="F463" s="33"/>
      <x:c r="G463" s="33"/>
      <x:c r="H463" s="33"/>
      <x:c r="I463" s="33"/>
      <x:c r="J463" s="33"/>
      <x:c r="K463" s="33"/>
      <x:c r="L463" s="33"/>
      <x:c r="M463" s="3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>
      <x:c r="A464" s="33"/>
      <x:c r="B464" s="33"/>
      <x:c r="C464" s="33"/>
      <x:c r="D464" s="33"/>
      <x:c r="E464" s="33"/>
      <x:c r="F464" s="33"/>
      <x:c r="G464" s="33"/>
      <x:c r="H464" s="33"/>
      <x:c r="I464" s="33"/>
      <x:c r="J464" s="33"/>
      <x:c r="K464" s="33"/>
      <x:c r="L464" s="33"/>
      <x:c r="M464" s="3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>
      <x:c r="A465" s="33"/>
      <x:c r="B465" s="33"/>
      <x:c r="C465" s="33"/>
      <x:c r="D465" s="33"/>
      <x:c r="E465" s="33"/>
      <x:c r="F465" s="33"/>
      <x:c r="G465" s="33"/>
      <x:c r="H465" s="33"/>
      <x:c r="I465" s="33"/>
      <x:c r="J465" s="33"/>
      <x:c r="K465" s="33"/>
      <x:c r="L465" s="33"/>
      <x:c r="M465" s="3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>
      <x:c r="A466" s="33"/>
      <x:c r="B466" s="33"/>
      <x:c r="C466" s="33"/>
      <x:c r="D466" s="33"/>
      <x:c r="E466" s="33"/>
      <x:c r="F466" s="33"/>
      <x:c r="G466" s="33"/>
      <x:c r="H466" s="33"/>
      <x:c r="I466" s="33"/>
      <x:c r="J466" s="33"/>
      <x:c r="K466" s="33"/>
      <x:c r="L466" s="33"/>
      <x:c r="M466" s="3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>
      <x:c r="A467" s="33"/>
      <x:c r="B467" s="33"/>
      <x:c r="C467" s="33"/>
      <x:c r="D467" s="33"/>
      <x:c r="E467" s="33"/>
      <x:c r="F467" s="33"/>
      <x:c r="G467" s="33"/>
      <x:c r="H467" s="33"/>
      <x:c r="I467" s="33"/>
      <x:c r="J467" s="33"/>
      <x:c r="K467" s="33"/>
      <x:c r="L467" s="33"/>
      <x:c r="M467" s="3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>
      <x:c r="A468" s="33"/>
      <x:c r="B468" s="33"/>
      <x:c r="C468" s="33"/>
      <x:c r="D468" s="33"/>
      <x:c r="E468" s="33"/>
      <x:c r="F468" s="33"/>
      <x:c r="G468" s="33"/>
      <x:c r="H468" s="33"/>
      <x:c r="I468" s="33"/>
      <x:c r="J468" s="33"/>
      <x:c r="K468" s="33"/>
      <x:c r="L468" s="33"/>
      <x:c r="M468" s="3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>
      <x:c r="A469" s="33"/>
      <x:c r="B469" s="33"/>
      <x:c r="C469" s="33"/>
      <x:c r="D469" s="33"/>
      <x:c r="E469" s="33"/>
      <x:c r="F469" s="33"/>
      <x:c r="G469" s="33"/>
      <x:c r="H469" s="33"/>
      <x:c r="I469" s="33"/>
      <x:c r="J469" s="33"/>
      <x:c r="K469" s="33"/>
      <x:c r="L469" s="33"/>
      <x:c r="M469" s="3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>
      <x:c r="A470" s="33"/>
      <x:c r="B470" s="33"/>
      <x:c r="C470" s="33"/>
      <x:c r="D470" s="33"/>
      <x:c r="E470" s="33"/>
      <x:c r="F470" s="33"/>
      <x:c r="G470" s="33"/>
      <x:c r="H470" s="33"/>
      <x:c r="I470" s="33"/>
      <x:c r="J470" s="33"/>
      <x:c r="K470" s="33"/>
      <x:c r="L470" s="33"/>
      <x:c r="M470" s="3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>
      <x:c r="A471" s="33"/>
      <x:c r="B471" s="33"/>
      <x:c r="C471" s="33"/>
      <x:c r="D471" s="33"/>
      <x:c r="E471" s="33"/>
      <x:c r="F471" s="33"/>
      <x:c r="G471" s="33"/>
      <x:c r="H471" s="33"/>
      <x:c r="I471" s="33"/>
      <x:c r="J471" s="33"/>
      <x:c r="K471" s="33"/>
      <x:c r="L471" s="33"/>
      <x:c r="M471" s="3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>
      <x:c r="A472" s="33"/>
      <x:c r="B472" s="33"/>
      <x:c r="C472" s="33"/>
      <x:c r="D472" s="33"/>
      <x:c r="E472" s="33"/>
      <x:c r="F472" s="33"/>
      <x:c r="G472" s="33"/>
      <x:c r="H472" s="33"/>
      <x:c r="I472" s="33"/>
      <x:c r="J472" s="33"/>
      <x:c r="K472" s="33"/>
      <x:c r="L472" s="33"/>
      <x:c r="M472" s="3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>
      <x:c r="A473" s="33"/>
      <x:c r="B473" s="33"/>
      <x:c r="C473" s="33"/>
      <x:c r="D473" s="33"/>
      <x:c r="E473" s="33"/>
      <x:c r="F473" s="33"/>
      <x:c r="G473" s="33"/>
      <x:c r="H473" s="33"/>
      <x:c r="I473" s="33"/>
      <x:c r="J473" s="33"/>
      <x:c r="K473" s="33"/>
      <x:c r="L473" s="33"/>
      <x:c r="M473" s="3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>
      <x:c r="A474" s="33"/>
      <x:c r="B474" s="33"/>
      <x:c r="C474" s="33"/>
      <x:c r="D474" s="33"/>
      <x:c r="E474" s="33"/>
      <x:c r="F474" s="33"/>
      <x:c r="G474" s="33"/>
      <x:c r="H474" s="33"/>
      <x:c r="I474" s="33"/>
      <x:c r="J474" s="33"/>
      <x:c r="K474" s="33"/>
      <x:c r="L474" s="33"/>
      <x:c r="M474" s="3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>
      <x:c r="A475" s="33"/>
      <x:c r="B475" s="33"/>
      <x:c r="C475" s="33"/>
      <x:c r="D475" s="33"/>
      <x:c r="E475" s="33"/>
      <x:c r="F475" s="33"/>
      <x:c r="G475" s="33"/>
      <x:c r="H475" s="33"/>
      <x:c r="I475" s="33"/>
      <x:c r="J475" s="33"/>
      <x:c r="K475" s="33"/>
      <x:c r="L475" s="33"/>
      <x:c r="M475" s="3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>
      <x:c r="A476" s="33"/>
      <x:c r="B476" s="33"/>
      <x:c r="C476" s="33"/>
      <x:c r="D476" s="33"/>
      <x:c r="E476" s="33"/>
      <x:c r="F476" s="33"/>
      <x:c r="G476" s="33"/>
      <x:c r="H476" s="33"/>
      <x:c r="I476" s="33"/>
      <x:c r="J476" s="33"/>
      <x:c r="K476" s="33"/>
      <x:c r="L476" s="33"/>
      <x:c r="M476" s="3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>
      <x:c r="A477" s="33"/>
      <x:c r="B477" s="33"/>
      <x:c r="C477" s="33"/>
      <x:c r="D477" s="33"/>
      <x:c r="E477" s="33"/>
      <x:c r="F477" s="33"/>
      <x:c r="G477" s="33"/>
      <x:c r="H477" s="33"/>
      <x:c r="I477" s="33"/>
      <x:c r="J477" s="33"/>
      <x:c r="K477" s="33"/>
      <x:c r="L477" s="33"/>
      <x:c r="M477" s="3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>
      <x:c r="A478" s="33"/>
      <x:c r="B478" s="33"/>
      <x:c r="C478" s="33"/>
      <x:c r="D478" s="33"/>
      <x:c r="E478" s="33"/>
      <x:c r="F478" s="33"/>
      <x:c r="G478" s="33"/>
      <x:c r="H478" s="33"/>
      <x:c r="I478" s="33"/>
      <x:c r="J478" s="33"/>
      <x:c r="K478" s="33"/>
      <x:c r="L478" s="33"/>
      <x:c r="M478" s="3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>
      <x:c r="A479" s="33"/>
      <x:c r="B479" s="33"/>
      <x:c r="C479" s="33"/>
      <x:c r="D479" s="33"/>
      <x:c r="E479" s="33"/>
      <x:c r="F479" s="33"/>
      <x:c r="G479" s="33"/>
      <x:c r="H479" s="33"/>
      <x:c r="I479" s="33"/>
      <x:c r="J479" s="33"/>
      <x:c r="K479" s="33"/>
      <x:c r="L479" s="33"/>
      <x:c r="M479" s="3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>
      <x:c r="A480" s="33"/>
      <x:c r="B480" s="33"/>
      <x:c r="C480" s="33"/>
      <x:c r="D480" s="33"/>
      <x:c r="E480" s="33"/>
      <x:c r="F480" s="33"/>
      <x:c r="G480" s="33"/>
      <x:c r="H480" s="33"/>
      <x:c r="I480" s="33"/>
      <x:c r="J480" s="33"/>
      <x:c r="K480" s="33"/>
      <x:c r="L480" s="33"/>
      <x:c r="M480" s="3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>
      <x:c r="A481" s="33"/>
      <x:c r="B481" s="33"/>
      <x:c r="C481" s="33"/>
      <x:c r="D481" s="33"/>
      <x:c r="E481" s="33"/>
      <x:c r="F481" s="33"/>
      <x:c r="G481" s="33"/>
      <x:c r="H481" s="33"/>
      <x:c r="I481" s="33"/>
      <x:c r="J481" s="33"/>
      <x:c r="K481" s="33"/>
      <x:c r="L481" s="33"/>
      <x:c r="M481" s="3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>
      <x:c r="A482" s="33"/>
      <x:c r="B482" s="33"/>
      <x:c r="C482" s="33"/>
      <x:c r="D482" s="33"/>
      <x:c r="E482" s="33"/>
      <x:c r="F482" s="33"/>
      <x:c r="G482" s="33"/>
      <x:c r="H482" s="33"/>
      <x:c r="I482" s="33"/>
      <x:c r="J482" s="33"/>
      <x:c r="K482" s="33"/>
      <x:c r="L482" s="33"/>
      <x:c r="M482" s="3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>
      <x:c r="A483" s="33"/>
      <x:c r="B483" s="33"/>
      <x:c r="C483" s="33"/>
      <x:c r="D483" s="33"/>
      <x:c r="E483" s="33"/>
      <x:c r="F483" s="33"/>
      <x:c r="G483" s="33"/>
      <x:c r="H483" s="33"/>
      <x:c r="I483" s="33"/>
      <x:c r="J483" s="33"/>
      <x:c r="K483" s="33"/>
      <x:c r="L483" s="33"/>
      <x:c r="M483" s="3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>
      <x:c r="A484" s="33"/>
      <x:c r="B484" s="33"/>
      <x:c r="C484" s="33"/>
      <x:c r="D484" s="33"/>
      <x:c r="E484" s="33"/>
      <x:c r="F484" s="33"/>
      <x:c r="G484" s="33"/>
      <x:c r="H484" s="33"/>
      <x:c r="I484" s="33"/>
      <x:c r="J484" s="33"/>
      <x:c r="K484" s="33"/>
      <x:c r="L484" s="33"/>
      <x:c r="M484" s="3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>
      <x:c r="A485" s="33"/>
      <x:c r="B485" s="33"/>
      <x:c r="C485" s="33"/>
      <x:c r="D485" s="33"/>
      <x:c r="E485" s="33"/>
      <x:c r="F485" s="33"/>
      <x:c r="G485" s="33"/>
      <x:c r="H485" s="33"/>
      <x:c r="I485" s="33"/>
      <x:c r="J485" s="33"/>
      <x:c r="K485" s="33"/>
      <x:c r="L485" s="33"/>
      <x:c r="M485" s="3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>
      <x:c r="A486" s="33"/>
      <x:c r="B486" s="33"/>
      <x:c r="C486" s="33"/>
      <x:c r="D486" s="33"/>
      <x:c r="E486" s="33"/>
      <x:c r="F486" s="33"/>
      <x:c r="G486" s="33"/>
      <x:c r="H486" s="33"/>
      <x:c r="I486" s="33"/>
      <x:c r="J486" s="33"/>
      <x:c r="K486" s="33"/>
      <x:c r="L486" s="33"/>
      <x:c r="M486" s="3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>
      <x:c r="A487" s="33"/>
      <x:c r="B487" s="33"/>
      <x:c r="C487" s="33"/>
      <x:c r="D487" s="33"/>
      <x:c r="E487" s="33"/>
      <x:c r="F487" s="33"/>
      <x:c r="G487" s="33"/>
      <x:c r="H487" s="33"/>
      <x:c r="I487" s="33"/>
      <x:c r="J487" s="33"/>
      <x:c r="K487" s="33"/>
      <x:c r="L487" s="33"/>
      <x:c r="M487" s="3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>
      <x:c r="A488" s="33"/>
      <x:c r="B488" s="33"/>
      <x:c r="C488" s="33"/>
      <x:c r="D488" s="33"/>
      <x:c r="E488" s="33"/>
      <x:c r="F488" s="33"/>
      <x:c r="G488" s="33"/>
      <x:c r="H488" s="33"/>
      <x:c r="I488" s="33"/>
      <x:c r="J488" s="33"/>
      <x:c r="K488" s="33"/>
      <x:c r="L488" s="33"/>
      <x:c r="M488" s="3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>
      <x:c r="A489" s="33"/>
      <x:c r="B489" s="33"/>
      <x:c r="C489" s="33"/>
      <x:c r="D489" s="33"/>
      <x:c r="E489" s="33"/>
      <x:c r="F489" s="33"/>
      <x:c r="G489" s="33"/>
      <x:c r="H489" s="33"/>
      <x:c r="I489" s="33"/>
      <x:c r="J489" s="33"/>
      <x:c r="K489" s="33"/>
      <x:c r="L489" s="33"/>
      <x:c r="M489" s="3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>
      <x:c r="A490" s="33"/>
      <x:c r="B490" s="33"/>
      <x:c r="C490" s="33"/>
      <x:c r="D490" s="33"/>
      <x:c r="E490" s="33"/>
      <x:c r="F490" s="33"/>
      <x:c r="G490" s="33"/>
      <x:c r="H490" s="33"/>
      <x:c r="I490" s="33"/>
      <x:c r="J490" s="33"/>
      <x:c r="K490" s="33"/>
      <x:c r="L490" s="33"/>
      <x:c r="M490" s="3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>
      <x:c r="A491" s="33"/>
      <x:c r="B491" s="33"/>
      <x:c r="C491" s="33"/>
      <x:c r="D491" s="33"/>
      <x:c r="E491" s="33"/>
      <x:c r="F491" s="33"/>
      <x:c r="G491" s="33"/>
      <x:c r="H491" s="33"/>
      <x:c r="I491" s="33"/>
      <x:c r="J491" s="33"/>
      <x:c r="K491" s="33"/>
      <x:c r="L491" s="33"/>
      <x:c r="M491" s="3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>
      <x:c r="A492" s="33"/>
      <x:c r="B492" s="33"/>
      <x:c r="C492" s="33"/>
      <x:c r="D492" s="33"/>
      <x:c r="E492" s="33"/>
      <x:c r="F492" s="33"/>
      <x:c r="G492" s="33"/>
      <x:c r="H492" s="33"/>
      <x:c r="I492" s="33"/>
      <x:c r="J492" s="33"/>
      <x:c r="K492" s="33"/>
      <x:c r="L492" s="33"/>
      <x:c r="M492" s="3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>
      <x:c r="A493" s="33"/>
      <x:c r="B493" s="33"/>
      <x:c r="C493" s="33"/>
      <x:c r="D493" s="33"/>
      <x:c r="E493" s="33"/>
      <x:c r="F493" s="33"/>
      <x:c r="G493" s="33"/>
      <x:c r="H493" s="33"/>
      <x:c r="I493" s="33"/>
      <x:c r="J493" s="33"/>
      <x:c r="K493" s="33"/>
      <x:c r="L493" s="33"/>
      <x:c r="M493" s="3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>
      <x:c r="A494" s="33"/>
      <x:c r="B494" s="33"/>
      <x:c r="C494" s="33"/>
      <x:c r="D494" s="33"/>
      <x:c r="E494" s="33"/>
      <x:c r="F494" s="33"/>
      <x:c r="G494" s="33"/>
      <x:c r="H494" s="33"/>
      <x:c r="I494" s="33"/>
      <x:c r="J494" s="33"/>
      <x:c r="K494" s="33"/>
      <x:c r="L494" s="33"/>
      <x:c r="M494" s="3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>
      <x:c r="A495" s="33"/>
      <x:c r="B495" s="33"/>
      <x:c r="C495" s="33"/>
      <x:c r="D495" s="33"/>
      <x:c r="E495" s="33"/>
      <x:c r="F495" s="33"/>
      <x:c r="G495" s="33"/>
      <x:c r="H495" s="33"/>
      <x:c r="I495" s="33"/>
      <x:c r="J495" s="33"/>
      <x:c r="K495" s="33"/>
      <x:c r="L495" s="33"/>
      <x:c r="M495" s="3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>
      <x:c r="A496" s="33"/>
      <x:c r="B496" s="33"/>
      <x:c r="C496" s="33"/>
      <x:c r="D496" s="33"/>
      <x:c r="E496" s="33"/>
      <x:c r="F496" s="33"/>
      <x:c r="G496" s="33"/>
      <x:c r="H496" s="33"/>
      <x:c r="I496" s="33"/>
      <x:c r="J496" s="33"/>
      <x:c r="K496" s="33"/>
      <x:c r="L496" s="33"/>
      <x:c r="M496" s="3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>
      <x:c r="A497" s="33"/>
      <x:c r="B497" s="33"/>
      <x:c r="C497" s="33"/>
      <x:c r="D497" s="33"/>
      <x:c r="E497" s="33"/>
      <x:c r="F497" s="33"/>
      <x:c r="G497" s="33"/>
      <x:c r="H497" s="33"/>
      <x:c r="I497" s="33"/>
      <x:c r="J497" s="33"/>
      <x:c r="K497" s="33"/>
      <x:c r="L497" s="33"/>
      <x:c r="M497" s="3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>
      <x:c r="A498" s="33"/>
      <x:c r="B498" s="33"/>
      <x:c r="C498" s="33"/>
      <x:c r="D498" s="33"/>
      <x:c r="E498" s="33"/>
      <x:c r="F498" s="33"/>
      <x:c r="G498" s="33"/>
      <x:c r="H498" s="33"/>
      <x:c r="I498" s="33"/>
      <x:c r="J498" s="33"/>
      <x:c r="K498" s="33"/>
      <x:c r="L498" s="33"/>
      <x:c r="M498" s="3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>
      <x:c r="A499" s="33"/>
      <x:c r="B499" s="33"/>
      <x:c r="C499" s="33"/>
      <x:c r="D499" s="33"/>
      <x:c r="E499" s="33"/>
      <x:c r="F499" s="33"/>
      <x:c r="G499" s="33"/>
      <x:c r="H499" s="33"/>
      <x:c r="I499" s="33"/>
      <x:c r="J499" s="33"/>
      <x:c r="K499" s="33"/>
      <x:c r="L499" s="33"/>
      <x:c r="M499" s="3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>
      <x:c r="A500" s="33"/>
      <x:c r="B500" s="33"/>
      <x:c r="C500" s="33"/>
      <x:c r="D500" s="33"/>
      <x:c r="E500" s="33"/>
      <x:c r="F500" s="33"/>
      <x:c r="G500" s="33"/>
      <x:c r="H500" s="33"/>
      <x:c r="I500" s="33"/>
      <x:c r="J500" s="33"/>
      <x:c r="K500" s="33"/>
      <x:c r="L500" s="33"/>
      <x:c r="M500" s="3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22" hidden="0" customWidth="1"/>
    <x:col min="8" max="8" width="24" hidden="0" customWidth="1"/>
  </x:cols>
  <x:sheetData>
    <x:row r="1" ht="26" customHeight="1">
      <x:c r="A1" s="32" t="str">
        <x:v>04_Ban_hang</x:v>
      </x:c>
      <x:c r="B1" s="32"/>
      <x:c r="C1" s="32"/>
      <x:c r="D1" s="32"/>
      <x:c r="E1" s="32"/>
      <x:c r="F1" s="32"/>
      <x:c r="G1" s="32"/>
      <x:c r="H1" s="32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4" t="str">
        <x:v>Mã dự án</x:v>
      </x:c>
      <x:c r="B3" s="34" t="str">
        <x:v>Sản phẩm</x:v>
      </x:c>
      <x:c r="C3" s="34" t="str">
        <x:v>Doanh thu KH (tỷ)</x:v>
      </x:c>
      <x:c r="D3" s="34" t="str">
        <x:v>Tỷ lệ bán</x:v>
      </x:c>
      <x:c r="E3" s="34" t="str">
        <x:v>Doanh số đã bán</x:v>
      </x:c>
      <x:c r="F3" s="34" t="str">
        <x:v>Đã thu (tỷ)</x:v>
      </x:c>
      <x:c r="G3" s="34" t="str">
        <x:v>Doanh thu chưa bán</x:v>
      </x:c>
      <x:c r="H3" s="34" t="str">
        <x:v>Ghi chú</x:v>
      </x:c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5" t="str">
        <x:v>DA01</x:v>
      </x:c>
      <x:c r="B4" s="35" t="str">
        <x:v>Tổng dự án</x:v>
      </x:c>
      <x:c r="C4" s="35" t="n">
        <x:v>9800</x:v>
      </x:c>
      <x:c r="D4" s="35" t="n">
        <x:v>0</x:v>
      </x:c>
      <x:c r="E4" s="35" t="n">
        <x:v>0</x:v>
      </x:c>
      <x:c r="F4" s="35" t="n">
        <x:v>0</x:v>
      </x:c>
      <x:c r="G4" s="35" t="n">
        <x:v>9800</x:v>
      </x:c>
      <x:c r="H4" s="35" t="str">
        <x:v>Kế hoạch hiện tại</x:v>
      </x:c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5" t="str">
        <x:v>DA02</x:v>
      </x:c>
      <x:c r="B5" s="35" t="str">
        <x:v>Tổng dự án</x:v>
      </x:c>
      <x:c r="C5" s="35" t="n">
        <x:v>11200</x:v>
      </x:c>
      <x:c r="D5" s="35" t="n">
        <x:v>0</x:v>
      </x:c>
      <x:c r="E5" s="35" t="n">
        <x:v>0</x:v>
      </x:c>
      <x:c r="F5" s="35" t="n">
        <x:v>0</x:v>
      </x:c>
      <x:c r="G5" s="35" t="n">
        <x:v>11200</x:v>
      </x:c>
      <x:c r="H5" s="35" t="str">
        <x:v>Kế hoạch hiện tại</x:v>
      </x:c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5" t="str">
        <x:v>DA03</x:v>
      </x:c>
      <x:c r="B6" s="35" t="str">
        <x:v>Tổng dự án</x:v>
      </x:c>
      <x:c r="C6" s="35" t="n">
        <x:v>14800</x:v>
      </x:c>
      <x:c r="D6" s="35" t="n">
        <x:v>0.28</x:v>
      </x:c>
      <x:c r="E6" s="35" t="n">
        <x:v>4144</x:v>
      </x:c>
      <x:c r="F6" s="35" t="n">
        <x:v>2279.2000000000003</x:v>
      </x:c>
      <x:c r="G6" s="35" t="n">
        <x:v>10656</x:v>
      </x:c>
      <x:c r="H6" s="35" t="str">
        <x:v>Kế hoạch hiện tại</x:v>
      </x:c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5" t="str">
        <x:v>DA04</x:v>
      </x:c>
      <x:c r="B7" s="35" t="str">
        <x:v>Tổng dự án</x:v>
      </x:c>
      <x:c r="C7" s="35" t="n">
        <x:v>13200</x:v>
      </x:c>
      <x:c r="D7" s="35" t="n">
        <x:v>0.54</x:v>
      </x:c>
      <x:c r="E7" s="35" t="n">
        <x:v>7128.000000000001</x:v>
      </x:c>
      <x:c r="F7" s="35" t="n">
        <x:v>3920.400000000001</x:v>
      </x:c>
      <x:c r="G7" s="35" t="n">
        <x:v>6071.999999999999</x:v>
      </x:c>
      <x:c r="H7" s="35" t="str">
        <x:v>Kế hoạch hiện tại</x:v>
      </x:c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5" t="str">
        <x:v>DA05</x:v>
      </x:c>
      <x:c r="B8" s="35" t="str">
        <x:v>Tổng dự án</x:v>
      </x:c>
      <x:c r="C8" s="35" t="n">
        <x:v>9400</x:v>
      </x:c>
      <x:c r="D8" s="35" t="n">
        <x:v>0.91</x:v>
      </x:c>
      <x:c r="E8" s="35" t="n">
        <x:v>8554</x:v>
      </x:c>
      <x:c r="F8" s="35" t="n">
        <x:v>4704.700000000001</x:v>
      </x:c>
      <x:c r="G8" s="35" t="n">
        <x:v>845.9999999999997</x:v>
      </x:c>
      <x:c r="H8" s="35" t="str">
        <x:v>Kế hoạch hiện tại</x:v>
      </x:c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5" t="str">
        <x:v>DA06</x:v>
      </x:c>
      <x:c r="B9" s="35" t="str">
        <x:v>Tổng dự án</x:v>
      </x:c>
      <x:c r="C9" s="35" t="n">
        <x:v>7200</x:v>
      </x:c>
      <x:c r="D9" s="35" t="n">
        <x:v>0</x:v>
      </x:c>
      <x:c r="E9" s="35" t="n">
        <x:v>0</x:v>
      </x:c>
      <x:c r="F9" s="35" t="n">
        <x:v>0</x:v>
      </x:c>
      <x:c r="G9" s="35" t="n">
        <x:v>7200</x:v>
      </x:c>
      <x:c r="H9" s="35" t="str">
        <x:v>Kế hoạch hiện tại</x:v>
      </x:c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3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  <x:c r="M207" s="3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  <x:c r="M209" s="3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  <x:c r="M210" s="3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  <x:c r="M211" s="3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  <x:c r="M212" s="3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  <x:c r="M213" s="3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  <x:c r="M214" s="3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  <x:c r="M216" s="3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  <x:c r="M217" s="3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  <x:c r="M218" s="3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  <x:c r="M219" s="3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  <x:c r="M220" s="3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  <x:c r="M221" s="3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  <x:c r="M222" s="3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  <x:c r="M223" s="3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  <x:c r="M224" s="3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3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3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3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3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3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3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3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3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3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3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3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3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3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3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3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3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3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3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3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3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3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3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3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3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  <x:c r="L251" s="33"/>
      <x:c r="M251" s="3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33"/>
      <x:c r="K252" s="33"/>
      <x:c r="L252" s="33"/>
      <x:c r="M252" s="3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33"/>
      <x:c r="K253" s="33"/>
      <x:c r="L253" s="33"/>
      <x:c r="M253" s="3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33"/>
      <x:c r="K254" s="33"/>
      <x:c r="L254" s="33"/>
      <x:c r="M254" s="3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33"/>
      <x:c r="K255" s="33"/>
      <x:c r="L255" s="33"/>
      <x:c r="M255" s="3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33"/>
      <x:c r="K256" s="33"/>
      <x:c r="L256" s="33"/>
      <x:c r="M256" s="3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33"/>
      <x:c r="K257" s="33"/>
      <x:c r="L257" s="33"/>
      <x:c r="M257" s="3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33"/>
      <x:c r="K258" s="33"/>
      <x:c r="L258" s="33"/>
      <x:c r="M258" s="3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33"/>
      <x:c r="K259" s="33"/>
      <x:c r="L259" s="33"/>
      <x:c r="M259" s="3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33"/>
      <x:c r="K260" s="33"/>
      <x:c r="L260" s="33"/>
      <x:c r="M260" s="3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33"/>
      <x:c r="K261" s="33"/>
      <x:c r="L261" s="33"/>
      <x:c r="M261" s="3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33"/>
      <x:c r="K262" s="33"/>
      <x:c r="L262" s="33"/>
      <x:c r="M262" s="3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  <x:c r="L263" s="33"/>
      <x:c r="M263" s="3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33"/>
      <x:c r="K264" s="33"/>
      <x:c r="L264" s="33"/>
      <x:c r="M264" s="3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33"/>
      <x:c r="K265" s="33"/>
      <x:c r="L265" s="33"/>
      <x:c r="M265" s="3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33"/>
      <x:c r="K266" s="33"/>
      <x:c r="L266" s="33"/>
      <x:c r="M266" s="3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33"/>
      <x:c r="K267" s="33"/>
      <x:c r="L267" s="33"/>
      <x:c r="M267" s="3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33"/>
      <x:c r="K268" s="33"/>
      <x:c r="L268" s="33"/>
      <x:c r="M268" s="3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33"/>
      <x:c r="K269" s="33"/>
      <x:c r="L269" s="33"/>
      <x:c r="M269" s="3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33"/>
      <x:c r="K270" s="33"/>
      <x:c r="L270" s="33"/>
      <x:c r="M270" s="3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33"/>
      <x:c r="K271" s="33"/>
      <x:c r="L271" s="33"/>
      <x:c r="M271" s="3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33"/>
      <x:c r="K272" s="33"/>
      <x:c r="L272" s="33"/>
      <x:c r="M272" s="3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33"/>
      <x:c r="K273" s="33"/>
      <x:c r="L273" s="33"/>
      <x:c r="M273" s="3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33"/>
      <x:c r="K274" s="33"/>
      <x:c r="L274" s="33"/>
      <x:c r="M274" s="3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  <x:c r="L275" s="33"/>
      <x:c r="M275" s="3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33"/>
      <x:c r="K276" s="33"/>
      <x:c r="L276" s="33"/>
      <x:c r="M276" s="3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33"/>
      <x:c r="K277" s="33"/>
      <x:c r="L277" s="33"/>
      <x:c r="M277" s="3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33"/>
      <x:c r="K278" s="33"/>
      <x:c r="L278" s="33"/>
      <x:c r="M278" s="3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33"/>
      <x:c r="K279" s="33"/>
      <x:c r="L279" s="33"/>
      <x:c r="M279" s="3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33"/>
      <x:c r="K280" s="33"/>
      <x:c r="L280" s="33"/>
      <x:c r="M280" s="3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33"/>
      <x:c r="K281" s="33"/>
      <x:c r="L281" s="33"/>
      <x:c r="M281" s="3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33"/>
      <x:c r="K282" s="33"/>
      <x:c r="L282" s="33"/>
      <x:c r="M282" s="3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33"/>
      <x:c r="K283" s="33"/>
      <x:c r="L283" s="33"/>
      <x:c r="M283" s="3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33"/>
      <x:c r="K284" s="33"/>
      <x:c r="L284" s="33"/>
      <x:c r="M284" s="3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33"/>
      <x:c r="K285" s="33"/>
      <x:c r="L285" s="33"/>
      <x:c r="M285" s="3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33"/>
      <x:c r="K286" s="33"/>
      <x:c r="L286" s="33"/>
      <x:c r="M286" s="3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  <x:c r="M287" s="3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33"/>
      <x:c r="K288" s="33"/>
      <x:c r="L288" s="33"/>
      <x:c r="M288" s="3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33"/>
      <x:c r="K289" s="33"/>
      <x:c r="L289" s="33"/>
      <x:c r="M289" s="3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33"/>
      <x:c r="K290" s="33"/>
      <x:c r="L290" s="33"/>
      <x:c r="M290" s="3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33"/>
      <x:c r="K291" s="33"/>
      <x:c r="L291" s="33"/>
      <x:c r="M291" s="3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33"/>
      <x:c r="K292" s="33"/>
      <x:c r="L292" s="33"/>
      <x:c r="M292" s="3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33"/>
      <x:c r="K293" s="33"/>
      <x:c r="L293" s="33"/>
      <x:c r="M293" s="3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33"/>
      <x:c r="K294" s="33"/>
      <x:c r="L294" s="33"/>
      <x:c r="M294" s="3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33"/>
      <x:c r="K295" s="33"/>
      <x:c r="L295" s="33"/>
      <x:c r="M295" s="3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33"/>
      <x:c r="K296" s="33"/>
      <x:c r="L296" s="33"/>
      <x:c r="M296" s="3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33"/>
      <x:c r="K297" s="33"/>
      <x:c r="L297" s="33"/>
      <x:c r="M297" s="3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33"/>
      <x:c r="K298" s="33"/>
      <x:c r="L298" s="33"/>
      <x:c r="M298" s="3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  <x:c r="M299" s="3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33"/>
      <x:c r="K300" s="33"/>
      <x:c r="L300" s="33"/>
      <x:c r="M300" s="3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>
      <x:c r="A301" s="33"/>
      <x:c r="B301" s="33"/>
      <x:c r="C301" s="33"/>
      <x:c r="D301" s="33"/>
      <x:c r="E301" s="33"/>
      <x:c r="F301" s="33"/>
      <x:c r="G301" s="33"/>
      <x:c r="H301" s="33"/>
      <x:c r="I301" s="33"/>
      <x:c r="J301" s="33"/>
      <x:c r="K301" s="33"/>
      <x:c r="L301" s="33"/>
      <x:c r="M301" s="3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>
      <x:c r="A302" s="33"/>
      <x:c r="B302" s="33"/>
      <x:c r="C302" s="33"/>
      <x:c r="D302" s="33"/>
      <x:c r="E302" s="33"/>
      <x:c r="F302" s="33"/>
      <x:c r="G302" s="33"/>
      <x:c r="H302" s="33"/>
      <x:c r="I302" s="33"/>
      <x:c r="J302" s="33"/>
      <x:c r="K302" s="33"/>
      <x:c r="L302" s="33"/>
      <x:c r="M302" s="3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>
      <x:c r="A303" s="33"/>
      <x:c r="B303" s="33"/>
      <x:c r="C303" s="33"/>
      <x:c r="D303" s="33"/>
      <x:c r="E303" s="33"/>
      <x:c r="F303" s="33"/>
      <x:c r="G303" s="33"/>
      <x:c r="H303" s="33"/>
      <x:c r="I303" s="33"/>
      <x:c r="J303" s="33"/>
      <x:c r="K303" s="33"/>
      <x:c r="L303" s="33"/>
      <x:c r="M303" s="3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>
      <x:c r="A304" s="33"/>
      <x:c r="B304" s="33"/>
      <x:c r="C304" s="33"/>
      <x:c r="D304" s="33"/>
      <x:c r="E304" s="33"/>
      <x:c r="F304" s="33"/>
      <x:c r="G304" s="33"/>
      <x:c r="H304" s="33"/>
      <x:c r="I304" s="33"/>
      <x:c r="J304" s="33"/>
      <x:c r="K304" s="33"/>
      <x:c r="L304" s="33"/>
      <x:c r="M304" s="3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>
      <x:c r="A305" s="33"/>
      <x:c r="B305" s="33"/>
      <x:c r="C305" s="33"/>
      <x:c r="D305" s="33"/>
      <x:c r="E305" s="33"/>
      <x:c r="F305" s="33"/>
      <x:c r="G305" s="33"/>
      <x:c r="H305" s="33"/>
      <x:c r="I305" s="33"/>
      <x:c r="J305" s="33"/>
      <x:c r="K305" s="33"/>
      <x:c r="L305" s="33"/>
      <x:c r="M305" s="3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>
      <x:c r="A306" s="33"/>
      <x:c r="B306" s="33"/>
      <x:c r="C306" s="33"/>
      <x:c r="D306" s="33"/>
      <x:c r="E306" s="33"/>
      <x:c r="F306" s="33"/>
      <x:c r="G306" s="33"/>
      <x:c r="H306" s="33"/>
      <x:c r="I306" s="33"/>
      <x:c r="J306" s="33"/>
      <x:c r="K306" s="33"/>
      <x:c r="L306" s="33"/>
      <x:c r="M306" s="3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>
      <x:c r="A307" s="33"/>
      <x:c r="B307" s="33"/>
      <x:c r="C307" s="33"/>
      <x:c r="D307" s="33"/>
      <x:c r="E307" s="33"/>
      <x:c r="F307" s="33"/>
      <x:c r="G307" s="33"/>
      <x:c r="H307" s="33"/>
      <x:c r="I307" s="33"/>
      <x:c r="J307" s="33"/>
      <x:c r="K307" s="33"/>
      <x:c r="L307" s="33"/>
      <x:c r="M307" s="3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>
      <x:c r="A308" s="33"/>
      <x:c r="B308" s="33"/>
      <x:c r="C308" s="33"/>
      <x:c r="D308" s="33"/>
      <x:c r="E308" s="33"/>
      <x:c r="F308" s="33"/>
      <x:c r="G308" s="33"/>
      <x:c r="H308" s="33"/>
      <x:c r="I308" s="33"/>
      <x:c r="J308" s="33"/>
      <x:c r="K308" s="33"/>
      <x:c r="L308" s="33"/>
      <x:c r="M308" s="3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>
      <x:c r="A309" s="33"/>
      <x:c r="B309" s="33"/>
      <x:c r="C309" s="33"/>
      <x:c r="D309" s="33"/>
      <x:c r="E309" s="33"/>
      <x:c r="F309" s="33"/>
      <x:c r="G309" s="33"/>
      <x:c r="H309" s="33"/>
      <x:c r="I309" s="33"/>
      <x:c r="J309" s="33"/>
      <x:c r="K309" s="33"/>
      <x:c r="L309" s="33"/>
      <x:c r="M309" s="3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>
      <x:c r="A310" s="33"/>
      <x:c r="B310" s="33"/>
      <x:c r="C310" s="33"/>
      <x:c r="D310" s="33"/>
      <x:c r="E310" s="33"/>
      <x:c r="F310" s="33"/>
      <x:c r="G310" s="33"/>
      <x:c r="H310" s="33"/>
      <x:c r="I310" s="33"/>
      <x:c r="J310" s="33"/>
      <x:c r="K310" s="33"/>
      <x:c r="L310" s="33"/>
      <x:c r="M310" s="3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33"/>
      <x:c r="K311" s="33"/>
      <x:c r="L311" s="33"/>
      <x:c r="M311" s="3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>
      <x:c r="A312" s="33"/>
      <x:c r="B312" s="33"/>
      <x:c r="C312" s="33"/>
      <x:c r="D312" s="33"/>
      <x:c r="E312" s="33"/>
      <x:c r="F312" s="33"/>
      <x:c r="G312" s="33"/>
      <x:c r="H312" s="33"/>
      <x:c r="I312" s="33"/>
      <x:c r="J312" s="33"/>
      <x:c r="K312" s="33"/>
      <x:c r="L312" s="33"/>
      <x:c r="M312" s="3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>
      <x:c r="A313" s="33"/>
      <x:c r="B313" s="33"/>
      <x:c r="C313" s="33"/>
      <x:c r="D313" s="33"/>
      <x:c r="E313" s="33"/>
      <x:c r="F313" s="33"/>
      <x:c r="G313" s="33"/>
      <x:c r="H313" s="33"/>
      <x:c r="I313" s="33"/>
      <x:c r="J313" s="33"/>
      <x:c r="K313" s="33"/>
      <x:c r="L313" s="33"/>
      <x:c r="M313" s="3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>
      <x:c r="A314" s="33"/>
      <x:c r="B314" s="33"/>
      <x:c r="C314" s="33"/>
      <x:c r="D314" s="33"/>
      <x:c r="E314" s="33"/>
      <x:c r="F314" s="33"/>
      <x:c r="G314" s="33"/>
      <x:c r="H314" s="33"/>
      <x:c r="I314" s="33"/>
      <x:c r="J314" s="33"/>
      <x:c r="K314" s="33"/>
      <x:c r="L314" s="33"/>
      <x:c r="M314" s="3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>
      <x:c r="A315" s="33"/>
      <x:c r="B315" s="33"/>
      <x:c r="C315" s="33"/>
      <x:c r="D315" s="33"/>
      <x:c r="E315" s="33"/>
      <x:c r="F315" s="33"/>
      <x:c r="G315" s="33"/>
      <x:c r="H315" s="33"/>
      <x:c r="I315" s="33"/>
      <x:c r="J315" s="33"/>
      <x:c r="K315" s="33"/>
      <x:c r="L315" s="33"/>
      <x:c r="M315" s="3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>
      <x:c r="A316" s="33"/>
      <x:c r="B316" s="33"/>
      <x:c r="C316" s="33"/>
      <x:c r="D316" s="33"/>
      <x:c r="E316" s="33"/>
      <x:c r="F316" s="33"/>
      <x:c r="G316" s="33"/>
      <x:c r="H316" s="33"/>
      <x:c r="I316" s="33"/>
      <x:c r="J316" s="33"/>
      <x:c r="K316" s="33"/>
      <x:c r="L316" s="33"/>
      <x:c r="M316" s="3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>
      <x:c r="A317" s="33"/>
      <x:c r="B317" s="33"/>
      <x:c r="C317" s="33"/>
      <x:c r="D317" s="33"/>
      <x:c r="E317" s="33"/>
      <x:c r="F317" s="33"/>
      <x:c r="G317" s="33"/>
      <x:c r="H317" s="33"/>
      <x:c r="I317" s="33"/>
      <x:c r="J317" s="33"/>
      <x:c r="K317" s="33"/>
      <x:c r="L317" s="33"/>
      <x:c r="M317" s="3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>
      <x:c r="A318" s="33"/>
      <x:c r="B318" s="33"/>
      <x:c r="C318" s="33"/>
      <x:c r="D318" s="33"/>
      <x:c r="E318" s="33"/>
      <x:c r="F318" s="33"/>
      <x:c r="G318" s="33"/>
      <x:c r="H318" s="33"/>
      <x:c r="I318" s="33"/>
      <x:c r="J318" s="33"/>
      <x:c r="K318" s="33"/>
      <x:c r="L318" s="33"/>
      <x:c r="M318" s="3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>
      <x:c r="A319" s="33"/>
      <x:c r="B319" s="33"/>
      <x:c r="C319" s="33"/>
      <x:c r="D319" s="33"/>
      <x:c r="E319" s="33"/>
      <x:c r="F319" s="33"/>
      <x:c r="G319" s="33"/>
      <x:c r="H319" s="33"/>
      <x:c r="I319" s="33"/>
      <x:c r="J319" s="33"/>
      <x:c r="K319" s="33"/>
      <x:c r="L319" s="33"/>
      <x:c r="M319" s="3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>
      <x:c r="A320" s="33"/>
      <x:c r="B320" s="33"/>
      <x:c r="C320" s="33"/>
      <x:c r="D320" s="33"/>
      <x:c r="E320" s="33"/>
      <x:c r="F320" s="33"/>
      <x:c r="G320" s="33"/>
      <x:c r="H320" s="33"/>
      <x:c r="I320" s="33"/>
      <x:c r="J320" s="33"/>
      <x:c r="K320" s="33"/>
      <x:c r="L320" s="33"/>
      <x:c r="M320" s="3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>
      <x:c r="A321" s="33"/>
      <x:c r="B321" s="33"/>
      <x:c r="C321" s="33"/>
      <x:c r="D321" s="33"/>
      <x:c r="E321" s="33"/>
      <x:c r="F321" s="33"/>
      <x:c r="G321" s="33"/>
      <x:c r="H321" s="33"/>
      <x:c r="I321" s="33"/>
      <x:c r="J321" s="33"/>
      <x:c r="K321" s="33"/>
      <x:c r="L321" s="33"/>
      <x:c r="M321" s="3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>
      <x:c r="A322" s="33"/>
      <x:c r="B322" s="33"/>
      <x:c r="C322" s="33"/>
      <x:c r="D322" s="33"/>
      <x:c r="E322" s="33"/>
      <x:c r="F322" s="33"/>
      <x:c r="G322" s="33"/>
      <x:c r="H322" s="33"/>
      <x:c r="I322" s="33"/>
      <x:c r="J322" s="33"/>
      <x:c r="K322" s="33"/>
      <x:c r="L322" s="33"/>
      <x:c r="M322" s="3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33"/>
      <x:c r="K323" s="33"/>
      <x:c r="L323" s="33"/>
      <x:c r="M323" s="3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>
      <x:c r="A324" s="33"/>
      <x:c r="B324" s="33"/>
      <x:c r="C324" s="33"/>
      <x:c r="D324" s="33"/>
      <x:c r="E324" s="33"/>
      <x:c r="F324" s="33"/>
      <x:c r="G324" s="33"/>
      <x:c r="H324" s="33"/>
      <x:c r="I324" s="33"/>
      <x:c r="J324" s="33"/>
      <x:c r="K324" s="33"/>
      <x:c r="L324" s="33"/>
      <x:c r="M324" s="3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>
      <x:c r="A325" s="33"/>
      <x:c r="B325" s="33"/>
      <x:c r="C325" s="33"/>
      <x:c r="D325" s="33"/>
      <x:c r="E325" s="33"/>
      <x:c r="F325" s="33"/>
      <x:c r="G325" s="33"/>
      <x:c r="H325" s="33"/>
      <x:c r="I325" s="33"/>
      <x:c r="J325" s="33"/>
      <x:c r="K325" s="33"/>
      <x:c r="L325" s="33"/>
      <x:c r="M325" s="3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>
      <x:c r="A326" s="33"/>
      <x:c r="B326" s="33"/>
      <x:c r="C326" s="33"/>
      <x:c r="D326" s="33"/>
      <x:c r="E326" s="33"/>
      <x:c r="F326" s="33"/>
      <x:c r="G326" s="33"/>
      <x:c r="H326" s="33"/>
      <x:c r="I326" s="33"/>
      <x:c r="J326" s="33"/>
      <x:c r="K326" s="33"/>
      <x:c r="L326" s="33"/>
      <x:c r="M326" s="3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>
      <x:c r="A327" s="33"/>
      <x:c r="B327" s="33"/>
      <x:c r="C327" s="33"/>
      <x:c r="D327" s="33"/>
      <x:c r="E327" s="33"/>
      <x:c r="F327" s="33"/>
      <x:c r="G327" s="33"/>
      <x:c r="H327" s="33"/>
      <x:c r="I327" s="33"/>
      <x:c r="J327" s="33"/>
      <x:c r="K327" s="33"/>
      <x:c r="L327" s="33"/>
      <x:c r="M327" s="3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>
      <x:c r="A328" s="33"/>
      <x:c r="B328" s="33"/>
      <x:c r="C328" s="33"/>
      <x:c r="D328" s="33"/>
      <x:c r="E328" s="33"/>
      <x:c r="F328" s="33"/>
      <x:c r="G328" s="33"/>
      <x:c r="H328" s="33"/>
      <x:c r="I328" s="33"/>
      <x:c r="J328" s="33"/>
      <x:c r="K328" s="33"/>
      <x:c r="L328" s="33"/>
      <x:c r="M328" s="3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>
      <x:c r="A329" s="33"/>
      <x:c r="B329" s="33"/>
      <x:c r="C329" s="33"/>
      <x:c r="D329" s="33"/>
      <x:c r="E329" s="33"/>
      <x:c r="F329" s="33"/>
      <x:c r="G329" s="33"/>
      <x:c r="H329" s="33"/>
      <x:c r="I329" s="33"/>
      <x:c r="J329" s="33"/>
      <x:c r="K329" s="33"/>
      <x:c r="L329" s="33"/>
      <x:c r="M329" s="3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>
      <x:c r="A330" s="33"/>
      <x:c r="B330" s="33"/>
      <x:c r="C330" s="33"/>
      <x:c r="D330" s="33"/>
      <x:c r="E330" s="33"/>
      <x:c r="F330" s="33"/>
      <x:c r="G330" s="33"/>
      <x:c r="H330" s="33"/>
      <x:c r="I330" s="33"/>
      <x:c r="J330" s="33"/>
      <x:c r="K330" s="33"/>
      <x:c r="L330" s="33"/>
      <x:c r="M330" s="3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>
      <x:c r="A331" s="33"/>
      <x:c r="B331" s="33"/>
      <x:c r="C331" s="33"/>
      <x:c r="D331" s="33"/>
      <x:c r="E331" s="33"/>
      <x:c r="F331" s="33"/>
      <x:c r="G331" s="33"/>
      <x:c r="H331" s="33"/>
      <x:c r="I331" s="33"/>
      <x:c r="J331" s="33"/>
      <x:c r="K331" s="33"/>
      <x:c r="L331" s="33"/>
      <x:c r="M331" s="3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>
      <x:c r="A332" s="33"/>
      <x:c r="B332" s="33"/>
      <x:c r="C332" s="33"/>
      <x:c r="D332" s="33"/>
      <x:c r="E332" s="33"/>
      <x:c r="F332" s="33"/>
      <x:c r="G332" s="33"/>
      <x:c r="H332" s="33"/>
      <x:c r="I332" s="33"/>
      <x:c r="J332" s="33"/>
      <x:c r="K332" s="33"/>
      <x:c r="L332" s="33"/>
      <x:c r="M332" s="3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>
      <x:c r="A333" s="33"/>
      <x:c r="B333" s="33"/>
      <x:c r="C333" s="33"/>
      <x:c r="D333" s="33"/>
      <x:c r="E333" s="33"/>
      <x:c r="F333" s="33"/>
      <x:c r="G333" s="33"/>
      <x:c r="H333" s="33"/>
      <x:c r="I333" s="33"/>
      <x:c r="J333" s="33"/>
      <x:c r="K333" s="33"/>
      <x:c r="L333" s="33"/>
      <x:c r="M333" s="3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>
      <x:c r="A334" s="33"/>
      <x:c r="B334" s="33"/>
      <x:c r="C334" s="33"/>
      <x:c r="D334" s="33"/>
      <x:c r="E334" s="33"/>
      <x:c r="F334" s="33"/>
      <x:c r="G334" s="33"/>
      <x:c r="H334" s="33"/>
      <x:c r="I334" s="33"/>
      <x:c r="J334" s="33"/>
      <x:c r="K334" s="33"/>
      <x:c r="L334" s="33"/>
      <x:c r="M334" s="3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33"/>
      <x:c r="K335" s="33"/>
      <x:c r="L335" s="33"/>
      <x:c r="M335" s="3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>
      <x:c r="A336" s="33"/>
      <x:c r="B336" s="33"/>
      <x:c r="C336" s="33"/>
      <x:c r="D336" s="33"/>
      <x:c r="E336" s="33"/>
      <x:c r="F336" s="33"/>
      <x:c r="G336" s="33"/>
      <x:c r="H336" s="33"/>
      <x:c r="I336" s="33"/>
      <x:c r="J336" s="33"/>
      <x:c r="K336" s="33"/>
      <x:c r="L336" s="33"/>
      <x:c r="M336" s="3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>
      <x:c r="A337" s="33"/>
      <x:c r="B337" s="33"/>
      <x:c r="C337" s="33"/>
      <x:c r="D337" s="33"/>
      <x:c r="E337" s="33"/>
      <x:c r="F337" s="33"/>
      <x:c r="G337" s="33"/>
      <x:c r="H337" s="33"/>
      <x:c r="I337" s="33"/>
      <x:c r="J337" s="33"/>
      <x:c r="K337" s="33"/>
      <x:c r="L337" s="33"/>
      <x:c r="M337" s="3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>
      <x:c r="A338" s="33"/>
      <x:c r="B338" s="33"/>
      <x:c r="C338" s="33"/>
      <x:c r="D338" s="33"/>
      <x:c r="E338" s="33"/>
      <x:c r="F338" s="33"/>
      <x:c r="G338" s="33"/>
      <x:c r="H338" s="33"/>
      <x:c r="I338" s="33"/>
      <x:c r="J338" s="33"/>
      <x:c r="K338" s="33"/>
      <x:c r="L338" s="33"/>
      <x:c r="M338" s="3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>
      <x:c r="A339" s="33"/>
      <x:c r="B339" s="33"/>
      <x:c r="C339" s="33"/>
      <x:c r="D339" s="33"/>
      <x:c r="E339" s="33"/>
      <x:c r="F339" s="33"/>
      <x:c r="G339" s="33"/>
      <x:c r="H339" s="33"/>
      <x:c r="I339" s="33"/>
      <x:c r="J339" s="33"/>
      <x:c r="K339" s="33"/>
      <x:c r="L339" s="33"/>
      <x:c r="M339" s="3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>
      <x:c r="A340" s="33"/>
      <x:c r="B340" s="33"/>
      <x:c r="C340" s="33"/>
      <x:c r="D340" s="33"/>
      <x:c r="E340" s="33"/>
      <x:c r="F340" s="33"/>
      <x:c r="G340" s="33"/>
      <x:c r="H340" s="33"/>
      <x:c r="I340" s="33"/>
      <x:c r="J340" s="33"/>
      <x:c r="K340" s="33"/>
      <x:c r="L340" s="33"/>
      <x:c r="M340" s="3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>
      <x:c r="A341" s="33"/>
      <x:c r="B341" s="33"/>
      <x:c r="C341" s="33"/>
      <x:c r="D341" s="33"/>
      <x:c r="E341" s="33"/>
      <x:c r="F341" s="33"/>
      <x:c r="G341" s="33"/>
      <x:c r="H341" s="33"/>
      <x:c r="I341" s="33"/>
      <x:c r="J341" s="33"/>
      <x:c r="K341" s="33"/>
      <x:c r="L341" s="33"/>
      <x:c r="M341" s="3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>
      <x:c r="A342" s="33"/>
      <x:c r="B342" s="33"/>
      <x:c r="C342" s="33"/>
      <x:c r="D342" s="33"/>
      <x:c r="E342" s="33"/>
      <x:c r="F342" s="33"/>
      <x:c r="G342" s="33"/>
      <x:c r="H342" s="33"/>
      <x:c r="I342" s="33"/>
      <x:c r="J342" s="33"/>
      <x:c r="K342" s="33"/>
      <x:c r="L342" s="33"/>
      <x:c r="M342" s="3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>
      <x:c r="A343" s="33"/>
      <x:c r="B343" s="33"/>
      <x:c r="C343" s="33"/>
      <x:c r="D343" s="33"/>
      <x:c r="E343" s="33"/>
      <x:c r="F343" s="33"/>
      <x:c r="G343" s="33"/>
      <x:c r="H343" s="33"/>
      <x:c r="I343" s="33"/>
      <x:c r="J343" s="33"/>
      <x:c r="K343" s="33"/>
      <x:c r="L343" s="33"/>
      <x:c r="M343" s="3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>
      <x:c r="A344" s="33"/>
      <x:c r="B344" s="33"/>
      <x:c r="C344" s="33"/>
      <x:c r="D344" s="33"/>
      <x:c r="E344" s="33"/>
      <x:c r="F344" s="33"/>
      <x:c r="G344" s="33"/>
      <x:c r="H344" s="33"/>
      <x:c r="I344" s="33"/>
      <x:c r="J344" s="33"/>
      <x:c r="K344" s="33"/>
      <x:c r="L344" s="33"/>
      <x:c r="M344" s="3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>
      <x:c r="A345" s="33"/>
      <x:c r="B345" s="33"/>
      <x:c r="C345" s="33"/>
      <x:c r="D345" s="33"/>
      <x:c r="E345" s="33"/>
      <x:c r="F345" s="33"/>
      <x:c r="G345" s="33"/>
      <x:c r="H345" s="33"/>
      <x:c r="I345" s="33"/>
      <x:c r="J345" s="33"/>
      <x:c r="K345" s="33"/>
      <x:c r="L345" s="33"/>
      <x:c r="M345" s="3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>
      <x:c r="A346" s="33"/>
      <x:c r="B346" s="33"/>
      <x:c r="C346" s="33"/>
      <x:c r="D346" s="33"/>
      <x:c r="E346" s="33"/>
      <x:c r="F346" s="33"/>
      <x:c r="G346" s="33"/>
      <x:c r="H346" s="33"/>
      <x:c r="I346" s="33"/>
      <x:c r="J346" s="33"/>
      <x:c r="K346" s="33"/>
      <x:c r="L346" s="33"/>
      <x:c r="M346" s="3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33"/>
      <x:c r="K347" s="33"/>
      <x:c r="L347" s="33"/>
      <x:c r="M347" s="3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>
      <x:c r="A348" s="33"/>
      <x:c r="B348" s="33"/>
      <x:c r="C348" s="33"/>
      <x:c r="D348" s="33"/>
      <x:c r="E348" s="33"/>
      <x:c r="F348" s="33"/>
      <x:c r="G348" s="33"/>
      <x:c r="H348" s="33"/>
      <x:c r="I348" s="33"/>
      <x:c r="J348" s="33"/>
      <x:c r="K348" s="33"/>
      <x:c r="L348" s="33"/>
      <x:c r="M348" s="3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>
      <x:c r="A349" s="33"/>
      <x:c r="B349" s="33"/>
      <x:c r="C349" s="33"/>
      <x:c r="D349" s="33"/>
      <x:c r="E349" s="33"/>
      <x:c r="F349" s="33"/>
      <x:c r="G349" s="33"/>
      <x:c r="H349" s="33"/>
      <x:c r="I349" s="33"/>
      <x:c r="J349" s="33"/>
      <x:c r="K349" s="33"/>
      <x:c r="L349" s="33"/>
      <x:c r="M349" s="3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>
      <x:c r="A350" s="33"/>
      <x:c r="B350" s="33"/>
      <x:c r="C350" s="33"/>
      <x:c r="D350" s="33"/>
      <x:c r="E350" s="33"/>
      <x:c r="F350" s="33"/>
      <x:c r="G350" s="33"/>
      <x:c r="H350" s="33"/>
      <x:c r="I350" s="33"/>
      <x:c r="J350" s="33"/>
      <x:c r="K350" s="33"/>
      <x:c r="L350" s="33"/>
      <x:c r="M350" s="3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>
      <x:c r="A351" s="33"/>
      <x:c r="B351" s="33"/>
      <x:c r="C351" s="33"/>
      <x:c r="D351" s="33"/>
      <x:c r="E351" s="33"/>
      <x:c r="F351" s="33"/>
      <x:c r="G351" s="33"/>
      <x:c r="H351" s="33"/>
      <x:c r="I351" s="33"/>
      <x:c r="J351" s="33"/>
      <x:c r="K351" s="33"/>
      <x:c r="L351" s="33"/>
      <x:c r="M351" s="3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>
      <x:c r="A352" s="33"/>
      <x:c r="B352" s="33"/>
      <x:c r="C352" s="33"/>
      <x:c r="D352" s="33"/>
      <x:c r="E352" s="33"/>
      <x:c r="F352" s="33"/>
      <x:c r="G352" s="33"/>
      <x:c r="H352" s="33"/>
      <x:c r="I352" s="33"/>
      <x:c r="J352" s="33"/>
      <x:c r="K352" s="33"/>
      <x:c r="L352" s="33"/>
      <x:c r="M352" s="3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>
      <x:c r="A353" s="33"/>
      <x:c r="B353" s="33"/>
      <x:c r="C353" s="33"/>
      <x:c r="D353" s="33"/>
      <x:c r="E353" s="33"/>
      <x:c r="F353" s="33"/>
      <x:c r="G353" s="33"/>
      <x:c r="H353" s="33"/>
      <x:c r="I353" s="33"/>
      <x:c r="J353" s="33"/>
      <x:c r="K353" s="33"/>
      <x:c r="L353" s="33"/>
      <x:c r="M353" s="3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>
      <x:c r="A354" s="33"/>
      <x:c r="B354" s="33"/>
      <x:c r="C354" s="33"/>
      <x:c r="D354" s="33"/>
      <x:c r="E354" s="33"/>
      <x:c r="F354" s="33"/>
      <x:c r="G354" s="33"/>
      <x:c r="H354" s="33"/>
      <x:c r="I354" s="33"/>
      <x:c r="J354" s="33"/>
      <x:c r="K354" s="33"/>
      <x:c r="L354" s="33"/>
      <x:c r="M354" s="3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>
      <x:c r="A355" s="33"/>
      <x:c r="B355" s="33"/>
      <x:c r="C355" s="33"/>
      <x:c r="D355" s="33"/>
      <x:c r="E355" s="33"/>
      <x:c r="F355" s="33"/>
      <x:c r="G355" s="33"/>
      <x:c r="H355" s="33"/>
      <x:c r="I355" s="33"/>
      <x:c r="J355" s="33"/>
      <x:c r="K355" s="33"/>
      <x:c r="L355" s="33"/>
      <x:c r="M355" s="3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>
      <x:c r="A356" s="33"/>
      <x:c r="B356" s="33"/>
      <x:c r="C356" s="33"/>
      <x:c r="D356" s="33"/>
      <x:c r="E356" s="33"/>
      <x:c r="F356" s="33"/>
      <x:c r="G356" s="33"/>
      <x:c r="H356" s="33"/>
      <x:c r="I356" s="33"/>
      <x:c r="J356" s="33"/>
      <x:c r="K356" s="33"/>
      <x:c r="L356" s="33"/>
      <x:c r="M356" s="3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>
      <x:c r="A357" s="33"/>
      <x:c r="B357" s="33"/>
      <x:c r="C357" s="33"/>
      <x:c r="D357" s="33"/>
      <x:c r="E357" s="33"/>
      <x:c r="F357" s="33"/>
      <x:c r="G357" s="33"/>
      <x:c r="H357" s="33"/>
      <x:c r="I357" s="33"/>
      <x:c r="J357" s="33"/>
      <x:c r="K357" s="33"/>
      <x:c r="L357" s="33"/>
      <x:c r="M357" s="3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>
      <x:c r="A358" s="33"/>
      <x:c r="B358" s="33"/>
      <x:c r="C358" s="33"/>
      <x:c r="D358" s="33"/>
      <x:c r="E358" s="33"/>
      <x:c r="F358" s="33"/>
      <x:c r="G358" s="33"/>
      <x:c r="H358" s="33"/>
      <x:c r="I358" s="33"/>
      <x:c r="J358" s="33"/>
      <x:c r="K358" s="33"/>
      <x:c r="L358" s="33"/>
      <x:c r="M358" s="3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>
      <x:c r="A359" s="33"/>
      <x:c r="B359" s="33"/>
      <x:c r="C359" s="33"/>
      <x:c r="D359" s="33"/>
      <x:c r="E359" s="33"/>
      <x:c r="F359" s="33"/>
      <x:c r="G359" s="33"/>
      <x:c r="H359" s="33"/>
      <x:c r="I359" s="33"/>
      <x:c r="J359" s="33"/>
      <x:c r="K359" s="33"/>
      <x:c r="L359" s="33"/>
      <x:c r="M359" s="3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33"/>
      <x:c r="K360" s="33"/>
      <x:c r="L360" s="33"/>
      <x:c r="M360" s="3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>
      <x:c r="A361" s="33"/>
      <x:c r="B361" s="33"/>
      <x:c r="C361" s="33"/>
      <x:c r="D361" s="33"/>
      <x:c r="E361" s="33"/>
      <x:c r="F361" s="33"/>
      <x:c r="G361" s="33"/>
      <x:c r="H361" s="33"/>
      <x:c r="I361" s="33"/>
      <x:c r="J361" s="33"/>
      <x:c r="K361" s="33"/>
      <x:c r="L361" s="33"/>
      <x:c r="M361" s="3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>
      <x:c r="A362" s="33"/>
      <x:c r="B362" s="33"/>
      <x:c r="C362" s="33"/>
      <x:c r="D362" s="33"/>
      <x:c r="E362" s="33"/>
      <x:c r="F362" s="33"/>
      <x:c r="G362" s="33"/>
      <x:c r="H362" s="33"/>
      <x:c r="I362" s="33"/>
      <x:c r="J362" s="33"/>
      <x:c r="K362" s="33"/>
      <x:c r="L362" s="33"/>
      <x:c r="M362" s="3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>
      <x:c r="A363" s="33"/>
      <x:c r="B363" s="33"/>
      <x:c r="C363" s="33"/>
      <x:c r="D363" s="33"/>
      <x:c r="E363" s="33"/>
      <x:c r="F363" s="33"/>
      <x:c r="G363" s="33"/>
      <x:c r="H363" s="33"/>
      <x:c r="I363" s="33"/>
      <x:c r="J363" s="33"/>
      <x:c r="K363" s="33"/>
      <x:c r="L363" s="33"/>
      <x:c r="M363" s="3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>
      <x:c r="A364" s="33"/>
      <x:c r="B364" s="33"/>
      <x:c r="C364" s="33"/>
      <x:c r="D364" s="33"/>
      <x:c r="E364" s="33"/>
      <x:c r="F364" s="33"/>
      <x:c r="G364" s="33"/>
      <x:c r="H364" s="33"/>
      <x:c r="I364" s="33"/>
      <x:c r="J364" s="33"/>
      <x:c r="K364" s="33"/>
      <x:c r="L364" s="33"/>
      <x:c r="M364" s="3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>
      <x:c r="A365" s="33"/>
      <x:c r="B365" s="33"/>
      <x:c r="C365" s="33"/>
      <x:c r="D365" s="33"/>
      <x:c r="E365" s="33"/>
      <x:c r="F365" s="33"/>
      <x:c r="G365" s="33"/>
      <x:c r="H365" s="33"/>
      <x:c r="I365" s="33"/>
      <x:c r="J365" s="33"/>
      <x:c r="K365" s="33"/>
      <x:c r="L365" s="33"/>
      <x:c r="M365" s="3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>
      <x:c r="A366" s="33"/>
      <x:c r="B366" s="33"/>
      <x:c r="C366" s="33"/>
      <x:c r="D366" s="33"/>
      <x:c r="E366" s="33"/>
      <x:c r="F366" s="33"/>
      <x:c r="G366" s="33"/>
      <x:c r="H366" s="33"/>
      <x:c r="I366" s="33"/>
      <x:c r="J366" s="33"/>
      <x:c r="K366" s="33"/>
      <x:c r="L366" s="33"/>
      <x:c r="M366" s="3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>
      <x:c r="A367" s="33"/>
      <x:c r="B367" s="33"/>
      <x:c r="C367" s="33"/>
      <x:c r="D367" s="33"/>
      <x:c r="E367" s="33"/>
      <x:c r="F367" s="33"/>
      <x:c r="G367" s="33"/>
      <x:c r="H367" s="33"/>
      <x:c r="I367" s="33"/>
      <x:c r="J367" s="33"/>
      <x:c r="K367" s="33"/>
      <x:c r="L367" s="33"/>
      <x:c r="M367" s="3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>
      <x:c r="A368" s="33"/>
      <x:c r="B368" s="33"/>
      <x:c r="C368" s="33"/>
      <x:c r="D368" s="33"/>
      <x:c r="E368" s="33"/>
      <x:c r="F368" s="33"/>
      <x:c r="G368" s="33"/>
      <x:c r="H368" s="33"/>
      <x:c r="I368" s="33"/>
      <x:c r="J368" s="33"/>
      <x:c r="K368" s="33"/>
      <x:c r="L368" s="33"/>
      <x:c r="M368" s="3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>
      <x:c r="A369" s="33"/>
      <x:c r="B369" s="33"/>
      <x:c r="C369" s="33"/>
      <x:c r="D369" s="33"/>
      <x:c r="E369" s="33"/>
      <x:c r="F369" s="33"/>
      <x:c r="G369" s="33"/>
      <x:c r="H369" s="33"/>
      <x:c r="I369" s="33"/>
      <x:c r="J369" s="33"/>
      <x:c r="K369" s="33"/>
      <x:c r="L369" s="33"/>
      <x:c r="M369" s="3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>
      <x:c r="A370" s="33"/>
      <x:c r="B370" s="33"/>
      <x:c r="C370" s="33"/>
      <x:c r="D370" s="33"/>
      <x:c r="E370" s="33"/>
      <x:c r="F370" s="33"/>
      <x:c r="G370" s="33"/>
      <x:c r="H370" s="33"/>
      <x:c r="I370" s="33"/>
      <x:c r="J370" s="33"/>
      <x:c r="K370" s="33"/>
      <x:c r="L370" s="33"/>
      <x:c r="M370" s="3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>
      <x:c r="A371" s="33"/>
      <x:c r="B371" s="33"/>
      <x:c r="C371" s="33"/>
      <x:c r="D371" s="33"/>
      <x:c r="E371" s="33"/>
      <x:c r="F371" s="33"/>
      <x:c r="G371" s="33"/>
      <x:c r="H371" s="33"/>
      <x:c r="I371" s="33"/>
      <x:c r="J371" s="33"/>
      <x:c r="K371" s="33"/>
      <x:c r="L371" s="33"/>
      <x:c r="M371" s="3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>
      <x:c r="A372" s="33"/>
      <x:c r="B372" s="33"/>
      <x:c r="C372" s="33"/>
      <x:c r="D372" s="33"/>
      <x:c r="E372" s="33"/>
      <x:c r="F372" s="33"/>
      <x:c r="G372" s="33"/>
      <x:c r="H372" s="33"/>
      <x:c r="I372" s="33"/>
      <x:c r="J372" s="33"/>
      <x:c r="K372" s="33"/>
      <x:c r="L372" s="33"/>
      <x:c r="M372" s="3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33"/>
      <x:c r="K373" s="33"/>
      <x:c r="L373" s="33"/>
      <x:c r="M373" s="3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>
      <x:c r="A374" s="33"/>
      <x:c r="B374" s="33"/>
      <x:c r="C374" s="33"/>
      <x:c r="D374" s="33"/>
      <x:c r="E374" s="33"/>
      <x:c r="F374" s="33"/>
      <x:c r="G374" s="33"/>
      <x:c r="H374" s="33"/>
      <x:c r="I374" s="33"/>
      <x:c r="J374" s="33"/>
      <x:c r="K374" s="33"/>
      <x:c r="L374" s="33"/>
      <x:c r="M374" s="3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>
      <x:c r="A375" s="33"/>
      <x:c r="B375" s="33"/>
      <x:c r="C375" s="33"/>
      <x:c r="D375" s="33"/>
      <x:c r="E375" s="33"/>
      <x:c r="F375" s="33"/>
      <x:c r="G375" s="33"/>
      <x:c r="H375" s="33"/>
      <x:c r="I375" s="33"/>
      <x:c r="J375" s="33"/>
      <x:c r="K375" s="33"/>
      <x:c r="L375" s="33"/>
      <x:c r="M375" s="3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>
      <x:c r="A376" s="33"/>
      <x:c r="B376" s="33"/>
      <x:c r="C376" s="33"/>
      <x:c r="D376" s="33"/>
      <x:c r="E376" s="33"/>
      <x:c r="F376" s="33"/>
      <x:c r="G376" s="33"/>
      <x:c r="H376" s="33"/>
      <x:c r="I376" s="33"/>
      <x:c r="J376" s="33"/>
      <x:c r="K376" s="33"/>
      <x:c r="L376" s="33"/>
      <x:c r="M376" s="3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>
      <x:c r="A377" s="33"/>
      <x:c r="B377" s="33"/>
      <x:c r="C377" s="33"/>
      <x:c r="D377" s="33"/>
      <x:c r="E377" s="33"/>
      <x:c r="F377" s="33"/>
      <x:c r="G377" s="33"/>
      <x:c r="H377" s="33"/>
      <x:c r="I377" s="33"/>
      <x:c r="J377" s="33"/>
      <x:c r="K377" s="33"/>
      <x:c r="L377" s="33"/>
      <x:c r="M377" s="3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>
      <x:c r="A378" s="33"/>
      <x:c r="B378" s="33"/>
      <x:c r="C378" s="33"/>
      <x:c r="D378" s="33"/>
      <x:c r="E378" s="33"/>
      <x:c r="F378" s="33"/>
      <x:c r="G378" s="33"/>
      <x:c r="H378" s="33"/>
      <x:c r="I378" s="33"/>
      <x:c r="J378" s="33"/>
      <x:c r="K378" s="33"/>
      <x:c r="L378" s="33"/>
      <x:c r="M378" s="3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>
      <x:c r="A379" s="33"/>
      <x:c r="B379" s="33"/>
      <x:c r="C379" s="33"/>
      <x:c r="D379" s="33"/>
      <x:c r="E379" s="33"/>
      <x:c r="F379" s="33"/>
      <x:c r="G379" s="33"/>
      <x:c r="H379" s="33"/>
      <x:c r="I379" s="33"/>
      <x:c r="J379" s="33"/>
      <x:c r="K379" s="33"/>
      <x:c r="L379" s="33"/>
      <x:c r="M379" s="3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>
      <x:c r="A380" s="33"/>
      <x:c r="B380" s="33"/>
      <x:c r="C380" s="33"/>
      <x:c r="D380" s="33"/>
      <x:c r="E380" s="33"/>
      <x:c r="F380" s="33"/>
      <x:c r="G380" s="33"/>
      <x:c r="H380" s="33"/>
      <x:c r="I380" s="33"/>
      <x:c r="J380" s="33"/>
      <x:c r="K380" s="33"/>
      <x:c r="L380" s="33"/>
      <x:c r="M380" s="3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>
      <x:c r="A381" s="33"/>
      <x:c r="B381" s="33"/>
      <x:c r="C381" s="33"/>
      <x:c r="D381" s="33"/>
      <x:c r="E381" s="33"/>
      <x:c r="F381" s="33"/>
      <x:c r="G381" s="33"/>
      <x:c r="H381" s="33"/>
      <x:c r="I381" s="33"/>
      <x:c r="J381" s="33"/>
      <x:c r="K381" s="33"/>
      <x:c r="L381" s="33"/>
      <x:c r="M381" s="3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>
      <x:c r="A382" s="33"/>
      <x:c r="B382" s="33"/>
      <x:c r="C382" s="33"/>
      <x:c r="D382" s="33"/>
      <x:c r="E382" s="33"/>
      <x:c r="F382" s="33"/>
      <x:c r="G382" s="33"/>
      <x:c r="H382" s="33"/>
      <x:c r="I382" s="33"/>
      <x:c r="J382" s="33"/>
      <x:c r="K382" s="33"/>
      <x:c r="L382" s="33"/>
      <x:c r="M382" s="3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>
      <x:c r="A383" s="33"/>
      <x:c r="B383" s="33"/>
      <x:c r="C383" s="33"/>
      <x:c r="D383" s="33"/>
      <x:c r="E383" s="33"/>
      <x:c r="F383" s="33"/>
      <x:c r="G383" s="33"/>
      <x:c r="H383" s="33"/>
      <x:c r="I383" s="33"/>
      <x:c r="J383" s="33"/>
      <x:c r="K383" s="33"/>
      <x:c r="L383" s="33"/>
      <x:c r="M383" s="3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>
      <x:c r="A384" s="33"/>
      <x:c r="B384" s="33"/>
      <x:c r="C384" s="33"/>
      <x:c r="D384" s="33"/>
      <x:c r="E384" s="33"/>
      <x:c r="F384" s="33"/>
      <x:c r="G384" s="33"/>
      <x:c r="H384" s="33"/>
      <x:c r="I384" s="33"/>
      <x:c r="J384" s="33"/>
      <x:c r="K384" s="33"/>
      <x:c r="L384" s="33"/>
      <x:c r="M384" s="3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33"/>
      <x:c r="K385" s="33"/>
      <x:c r="L385" s="33"/>
      <x:c r="M385" s="3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>
      <x:c r="A386" s="33"/>
      <x:c r="B386" s="33"/>
      <x:c r="C386" s="33"/>
      <x:c r="D386" s="33"/>
      <x:c r="E386" s="33"/>
      <x:c r="F386" s="33"/>
      <x:c r="G386" s="33"/>
      <x:c r="H386" s="33"/>
      <x:c r="I386" s="33"/>
      <x:c r="J386" s="33"/>
      <x:c r="K386" s="33"/>
      <x:c r="L386" s="33"/>
      <x:c r="M386" s="3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>
      <x:c r="A387" s="33"/>
      <x:c r="B387" s="33"/>
      <x:c r="C387" s="33"/>
      <x:c r="D387" s="33"/>
      <x:c r="E387" s="33"/>
      <x:c r="F387" s="33"/>
      <x:c r="G387" s="33"/>
      <x:c r="H387" s="33"/>
      <x:c r="I387" s="33"/>
      <x:c r="J387" s="33"/>
      <x:c r="K387" s="33"/>
      <x:c r="L387" s="33"/>
      <x:c r="M387" s="3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>
      <x:c r="A388" s="33"/>
      <x:c r="B388" s="33"/>
      <x:c r="C388" s="33"/>
      <x:c r="D388" s="33"/>
      <x:c r="E388" s="33"/>
      <x:c r="F388" s="33"/>
      <x:c r="G388" s="33"/>
      <x:c r="H388" s="33"/>
      <x:c r="I388" s="33"/>
      <x:c r="J388" s="33"/>
      <x:c r="K388" s="33"/>
      <x:c r="L388" s="33"/>
      <x:c r="M388" s="3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>
      <x:c r="A389" s="33"/>
      <x:c r="B389" s="33"/>
      <x:c r="C389" s="33"/>
      <x:c r="D389" s="33"/>
      <x:c r="E389" s="33"/>
      <x:c r="F389" s="33"/>
      <x:c r="G389" s="33"/>
      <x:c r="H389" s="33"/>
      <x:c r="I389" s="33"/>
      <x:c r="J389" s="33"/>
      <x:c r="K389" s="33"/>
      <x:c r="L389" s="33"/>
      <x:c r="M389" s="3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>
      <x:c r="A390" s="33"/>
      <x:c r="B390" s="33"/>
      <x:c r="C390" s="33"/>
      <x:c r="D390" s="33"/>
      <x:c r="E390" s="33"/>
      <x:c r="F390" s="33"/>
      <x:c r="G390" s="33"/>
      <x:c r="H390" s="33"/>
      <x:c r="I390" s="33"/>
      <x:c r="J390" s="33"/>
      <x:c r="K390" s="33"/>
      <x:c r="L390" s="33"/>
      <x:c r="M390" s="3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>
      <x:c r="A391" s="33"/>
      <x:c r="B391" s="33"/>
      <x:c r="C391" s="33"/>
      <x:c r="D391" s="33"/>
      <x:c r="E391" s="33"/>
      <x:c r="F391" s="33"/>
      <x:c r="G391" s="33"/>
      <x:c r="H391" s="33"/>
      <x:c r="I391" s="33"/>
      <x:c r="J391" s="33"/>
      <x:c r="K391" s="33"/>
      <x:c r="L391" s="33"/>
      <x:c r="M391" s="3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>
      <x:c r="A392" s="33"/>
      <x:c r="B392" s="33"/>
      <x:c r="C392" s="33"/>
      <x:c r="D392" s="33"/>
      <x:c r="E392" s="33"/>
      <x:c r="F392" s="33"/>
      <x:c r="G392" s="33"/>
      <x:c r="H392" s="33"/>
      <x:c r="I392" s="33"/>
      <x:c r="J392" s="33"/>
      <x:c r="K392" s="33"/>
      <x:c r="L392" s="33"/>
      <x:c r="M392" s="3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>
      <x:c r="A393" s="33"/>
      <x:c r="B393" s="33"/>
      <x:c r="C393" s="33"/>
      <x:c r="D393" s="33"/>
      <x:c r="E393" s="33"/>
      <x:c r="F393" s="33"/>
      <x:c r="G393" s="33"/>
      <x:c r="H393" s="33"/>
      <x:c r="I393" s="33"/>
      <x:c r="J393" s="33"/>
      <x:c r="K393" s="33"/>
      <x:c r="L393" s="33"/>
      <x:c r="M393" s="3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>
      <x:c r="A394" s="33"/>
      <x:c r="B394" s="33"/>
      <x:c r="C394" s="33"/>
      <x:c r="D394" s="33"/>
      <x:c r="E394" s="33"/>
      <x:c r="F394" s="33"/>
      <x:c r="G394" s="33"/>
      <x:c r="H394" s="33"/>
      <x:c r="I394" s="33"/>
      <x:c r="J394" s="33"/>
      <x:c r="K394" s="33"/>
      <x:c r="L394" s="33"/>
      <x:c r="M394" s="3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>
      <x:c r="A395" s="33"/>
      <x:c r="B395" s="33"/>
      <x:c r="C395" s="33"/>
      <x:c r="D395" s="33"/>
      <x:c r="E395" s="33"/>
      <x:c r="F395" s="33"/>
      <x:c r="G395" s="33"/>
      <x:c r="H395" s="33"/>
      <x:c r="I395" s="33"/>
      <x:c r="J395" s="33"/>
      <x:c r="K395" s="33"/>
      <x:c r="L395" s="33"/>
      <x:c r="M395" s="3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>
      <x:c r="A396" s="33"/>
      <x:c r="B396" s="33"/>
      <x:c r="C396" s="33"/>
      <x:c r="D396" s="33"/>
      <x:c r="E396" s="33"/>
      <x:c r="F396" s="33"/>
      <x:c r="G396" s="33"/>
      <x:c r="H396" s="33"/>
      <x:c r="I396" s="33"/>
      <x:c r="J396" s="33"/>
      <x:c r="K396" s="33"/>
      <x:c r="L396" s="33"/>
      <x:c r="M396" s="3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>
      <x:c r="A397" s="33"/>
      <x:c r="B397" s="33"/>
      <x:c r="C397" s="33"/>
      <x:c r="D397" s="33"/>
      <x:c r="E397" s="33"/>
      <x:c r="F397" s="33"/>
      <x:c r="G397" s="33"/>
      <x:c r="H397" s="33"/>
      <x:c r="I397" s="33"/>
      <x:c r="J397" s="33"/>
      <x:c r="K397" s="33"/>
      <x:c r="L397" s="33"/>
      <x:c r="M397" s="3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>
      <x:c r="A398" s="33"/>
      <x:c r="B398" s="33"/>
      <x:c r="C398" s="33"/>
      <x:c r="D398" s="33"/>
      <x:c r="E398" s="33"/>
      <x:c r="F398" s="33"/>
      <x:c r="G398" s="33"/>
      <x:c r="H398" s="33"/>
      <x:c r="I398" s="33"/>
      <x:c r="J398" s="33"/>
      <x:c r="K398" s="33"/>
      <x:c r="L398" s="33"/>
      <x:c r="M398" s="3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>
      <x:c r="A399" s="33"/>
      <x:c r="B399" s="33"/>
      <x:c r="C399" s="33"/>
      <x:c r="D399" s="33"/>
      <x:c r="E399" s="33"/>
      <x:c r="F399" s="33"/>
      <x:c r="G399" s="33"/>
      <x:c r="H399" s="33"/>
      <x:c r="I399" s="33"/>
      <x:c r="J399" s="33"/>
      <x:c r="K399" s="33"/>
      <x:c r="L399" s="33"/>
      <x:c r="M399" s="3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>
      <x:c r="A400" s="33"/>
      <x:c r="B400" s="33"/>
      <x:c r="C400" s="33"/>
      <x:c r="D400" s="33"/>
      <x:c r="E400" s="33"/>
      <x:c r="F400" s="33"/>
      <x:c r="G400" s="33"/>
      <x:c r="H400" s="33"/>
      <x:c r="I400" s="33"/>
      <x:c r="J400" s="33"/>
      <x:c r="K400" s="33"/>
      <x:c r="L400" s="33"/>
      <x:c r="M400" s="3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>
      <x:c r="A401" s="33"/>
      <x:c r="B401" s="33"/>
      <x:c r="C401" s="33"/>
      <x:c r="D401" s="33"/>
      <x:c r="E401" s="33"/>
      <x:c r="F401" s="33"/>
      <x:c r="G401" s="33"/>
      <x:c r="H401" s="33"/>
      <x:c r="I401" s="33"/>
      <x:c r="J401" s="33"/>
      <x:c r="K401" s="33"/>
      <x:c r="L401" s="33"/>
      <x:c r="M401" s="3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>
      <x:c r="A402" s="33"/>
      <x:c r="B402" s="33"/>
      <x:c r="C402" s="33"/>
      <x:c r="D402" s="33"/>
      <x:c r="E402" s="33"/>
      <x:c r="F402" s="33"/>
      <x:c r="G402" s="33"/>
      <x:c r="H402" s="33"/>
      <x:c r="I402" s="33"/>
      <x:c r="J402" s="33"/>
      <x:c r="K402" s="33"/>
      <x:c r="L402" s="33"/>
      <x:c r="M402" s="3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>
      <x:c r="A403" s="33"/>
      <x:c r="B403" s="33"/>
      <x:c r="C403" s="33"/>
      <x:c r="D403" s="33"/>
      <x:c r="E403" s="33"/>
      <x:c r="F403" s="33"/>
      <x:c r="G403" s="33"/>
      <x:c r="H403" s="33"/>
      <x:c r="I403" s="33"/>
      <x:c r="J403" s="33"/>
      <x:c r="K403" s="33"/>
      <x:c r="L403" s="33"/>
      <x:c r="M403" s="3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>
      <x:c r="A404" s="33"/>
      <x:c r="B404" s="33"/>
      <x:c r="C404" s="33"/>
      <x:c r="D404" s="33"/>
      <x:c r="E404" s="33"/>
      <x:c r="F404" s="33"/>
      <x:c r="G404" s="33"/>
      <x:c r="H404" s="33"/>
      <x:c r="I404" s="33"/>
      <x:c r="J404" s="33"/>
      <x:c r="K404" s="33"/>
      <x:c r="L404" s="33"/>
      <x:c r="M404" s="3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>
      <x:c r="A405" s="33"/>
      <x:c r="B405" s="33"/>
      <x:c r="C405" s="33"/>
      <x:c r="D405" s="33"/>
      <x:c r="E405" s="33"/>
      <x:c r="F405" s="33"/>
      <x:c r="G405" s="33"/>
      <x:c r="H405" s="33"/>
      <x:c r="I405" s="33"/>
      <x:c r="J405" s="33"/>
      <x:c r="K405" s="33"/>
      <x:c r="L405" s="33"/>
      <x:c r="M405" s="3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>
      <x:c r="A406" s="33"/>
      <x:c r="B406" s="33"/>
      <x:c r="C406" s="33"/>
      <x:c r="D406" s="33"/>
      <x:c r="E406" s="33"/>
      <x:c r="F406" s="33"/>
      <x:c r="G406" s="33"/>
      <x:c r="H406" s="33"/>
      <x:c r="I406" s="33"/>
      <x:c r="J406" s="33"/>
      <x:c r="K406" s="33"/>
      <x:c r="L406" s="33"/>
      <x:c r="M406" s="3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>
      <x:c r="A407" s="33"/>
      <x:c r="B407" s="33"/>
      <x:c r="C407" s="33"/>
      <x:c r="D407" s="33"/>
      <x:c r="E407" s="33"/>
      <x:c r="F407" s="33"/>
      <x:c r="G407" s="33"/>
      <x:c r="H407" s="33"/>
      <x:c r="I407" s="33"/>
      <x:c r="J407" s="33"/>
      <x:c r="K407" s="33"/>
      <x:c r="L407" s="33"/>
      <x:c r="M407" s="3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>
      <x:c r="A408" s="33"/>
      <x:c r="B408" s="33"/>
      <x:c r="C408" s="33"/>
      <x:c r="D408" s="33"/>
      <x:c r="E408" s="33"/>
      <x:c r="F408" s="33"/>
      <x:c r="G408" s="33"/>
      <x:c r="H408" s="33"/>
      <x:c r="I408" s="33"/>
      <x:c r="J408" s="33"/>
      <x:c r="K408" s="33"/>
      <x:c r="L408" s="33"/>
      <x:c r="M408" s="3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>
      <x:c r="A409" s="33"/>
      <x:c r="B409" s="33"/>
      <x:c r="C409" s="33"/>
      <x:c r="D409" s="33"/>
      <x:c r="E409" s="33"/>
      <x:c r="F409" s="33"/>
      <x:c r="G409" s="33"/>
      <x:c r="H409" s="33"/>
      <x:c r="I409" s="33"/>
      <x:c r="J409" s="33"/>
      <x:c r="K409" s="33"/>
      <x:c r="L409" s="33"/>
      <x:c r="M409" s="3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>
      <x:c r="A410" s="33"/>
      <x:c r="B410" s="33"/>
      <x:c r="C410" s="33"/>
      <x:c r="D410" s="33"/>
      <x:c r="E410" s="33"/>
      <x:c r="F410" s="33"/>
      <x:c r="G410" s="33"/>
      <x:c r="H410" s="33"/>
      <x:c r="I410" s="33"/>
      <x:c r="J410" s="33"/>
      <x:c r="K410" s="33"/>
      <x:c r="L410" s="33"/>
      <x:c r="M410" s="3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>
      <x:c r="A411" s="33"/>
      <x:c r="B411" s="33"/>
      <x:c r="C411" s="33"/>
      <x:c r="D411" s="33"/>
      <x:c r="E411" s="33"/>
      <x:c r="F411" s="33"/>
      <x:c r="G411" s="33"/>
      <x:c r="H411" s="33"/>
      <x:c r="I411" s="33"/>
      <x:c r="J411" s="33"/>
      <x:c r="K411" s="33"/>
      <x:c r="L411" s="33"/>
      <x:c r="M411" s="3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>
      <x:c r="A412" s="33"/>
      <x:c r="B412" s="33"/>
      <x:c r="C412" s="33"/>
      <x:c r="D412" s="33"/>
      <x:c r="E412" s="33"/>
      <x:c r="F412" s="33"/>
      <x:c r="G412" s="33"/>
      <x:c r="H412" s="33"/>
      <x:c r="I412" s="33"/>
      <x:c r="J412" s="33"/>
      <x:c r="K412" s="33"/>
      <x:c r="L412" s="33"/>
      <x:c r="M412" s="3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>
      <x:c r="A413" s="33"/>
      <x:c r="B413" s="33"/>
      <x:c r="C413" s="33"/>
      <x:c r="D413" s="33"/>
      <x:c r="E413" s="33"/>
      <x:c r="F413" s="33"/>
      <x:c r="G413" s="33"/>
      <x:c r="H413" s="33"/>
      <x:c r="I413" s="33"/>
      <x:c r="J413" s="33"/>
      <x:c r="K413" s="33"/>
      <x:c r="L413" s="33"/>
      <x:c r="M413" s="3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>
      <x:c r="A414" s="33"/>
      <x:c r="B414" s="33"/>
      <x:c r="C414" s="33"/>
      <x:c r="D414" s="33"/>
      <x:c r="E414" s="33"/>
      <x:c r="F414" s="33"/>
      <x:c r="G414" s="33"/>
      <x:c r="H414" s="33"/>
      <x:c r="I414" s="33"/>
      <x:c r="J414" s="33"/>
      <x:c r="K414" s="33"/>
      <x:c r="L414" s="33"/>
      <x:c r="M414" s="3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>
      <x:c r="A415" s="33"/>
      <x:c r="B415" s="33"/>
      <x:c r="C415" s="33"/>
      <x:c r="D415" s="33"/>
      <x:c r="E415" s="33"/>
      <x:c r="F415" s="33"/>
      <x:c r="G415" s="33"/>
      <x:c r="H415" s="33"/>
      <x:c r="I415" s="33"/>
      <x:c r="J415" s="33"/>
      <x:c r="K415" s="33"/>
      <x:c r="L415" s="33"/>
      <x:c r="M415" s="3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>
      <x:c r="A416" s="33"/>
      <x:c r="B416" s="33"/>
      <x:c r="C416" s="33"/>
      <x:c r="D416" s="33"/>
      <x:c r="E416" s="33"/>
      <x:c r="F416" s="33"/>
      <x:c r="G416" s="33"/>
      <x:c r="H416" s="33"/>
      <x:c r="I416" s="33"/>
      <x:c r="J416" s="33"/>
      <x:c r="K416" s="33"/>
      <x:c r="L416" s="33"/>
      <x:c r="M416" s="3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>
      <x:c r="A417" s="33"/>
      <x:c r="B417" s="33"/>
      <x:c r="C417" s="33"/>
      <x:c r="D417" s="33"/>
      <x:c r="E417" s="33"/>
      <x:c r="F417" s="33"/>
      <x:c r="G417" s="33"/>
      <x:c r="H417" s="33"/>
      <x:c r="I417" s="33"/>
      <x:c r="J417" s="33"/>
      <x:c r="K417" s="33"/>
      <x:c r="L417" s="33"/>
      <x:c r="M417" s="3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>
      <x:c r="A418" s="33"/>
      <x:c r="B418" s="33"/>
      <x:c r="C418" s="33"/>
      <x:c r="D418" s="33"/>
      <x:c r="E418" s="33"/>
      <x:c r="F418" s="33"/>
      <x:c r="G418" s="33"/>
      <x:c r="H418" s="33"/>
      <x:c r="I418" s="33"/>
      <x:c r="J418" s="33"/>
      <x:c r="K418" s="33"/>
      <x:c r="L418" s="33"/>
      <x:c r="M418" s="3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>
      <x:c r="A419" s="33"/>
      <x:c r="B419" s="33"/>
      <x:c r="C419" s="33"/>
      <x:c r="D419" s="33"/>
      <x:c r="E419" s="33"/>
      <x:c r="F419" s="33"/>
      <x:c r="G419" s="33"/>
      <x:c r="H419" s="33"/>
      <x:c r="I419" s="33"/>
      <x:c r="J419" s="33"/>
      <x:c r="K419" s="33"/>
      <x:c r="L419" s="33"/>
      <x:c r="M419" s="3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>
      <x:c r="A420" s="33"/>
      <x:c r="B420" s="33"/>
      <x:c r="C420" s="33"/>
      <x:c r="D420" s="33"/>
      <x:c r="E420" s="33"/>
      <x:c r="F420" s="33"/>
      <x:c r="G420" s="33"/>
      <x:c r="H420" s="33"/>
      <x:c r="I420" s="33"/>
      <x:c r="J420" s="33"/>
      <x:c r="K420" s="33"/>
      <x:c r="L420" s="33"/>
      <x:c r="M420" s="3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>
      <x:c r="A421" s="33"/>
      <x:c r="B421" s="33"/>
      <x:c r="C421" s="33"/>
      <x:c r="D421" s="33"/>
      <x:c r="E421" s="33"/>
      <x:c r="F421" s="33"/>
      <x:c r="G421" s="33"/>
      <x:c r="H421" s="33"/>
      <x:c r="I421" s="33"/>
      <x:c r="J421" s="33"/>
      <x:c r="K421" s="33"/>
      <x:c r="L421" s="33"/>
      <x:c r="M421" s="3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>
      <x:c r="A422" s="33"/>
      <x:c r="B422" s="33"/>
      <x:c r="C422" s="33"/>
      <x:c r="D422" s="33"/>
      <x:c r="E422" s="33"/>
      <x:c r="F422" s="33"/>
      <x:c r="G422" s="33"/>
      <x:c r="H422" s="33"/>
      <x:c r="I422" s="33"/>
      <x:c r="J422" s="33"/>
      <x:c r="K422" s="33"/>
      <x:c r="L422" s="33"/>
      <x:c r="M422" s="3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>
      <x:c r="A423" s="33"/>
      <x:c r="B423" s="33"/>
      <x:c r="C423" s="33"/>
      <x:c r="D423" s="33"/>
      <x:c r="E423" s="33"/>
      <x:c r="F423" s="33"/>
      <x:c r="G423" s="33"/>
      <x:c r="H423" s="33"/>
      <x:c r="I423" s="33"/>
      <x:c r="J423" s="33"/>
      <x:c r="K423" s="33"/>
      <x:c r="L423" s="33"/>
      <x:c r="M423" s="3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>
      <x:c r="A424" s="33"/>
      <x:c r="B424" s="33"/>
      <x:c r="C424" s="33"/>
      <x:c r="D424" s="33"/>
      <x:c r="E424" s="33"/>
      <x:c r="F424" s="33"/>
      <x:c r="G424" s="33"/>
      <x:c r="H424" s="33"/>
      <x:c r="I424" s="33"/>
      <x:c r="J424" s="33"/>
      <x:c r="K424" s="33"/>
      <x:c r="L424" s="33"/>
      <x:c r="M424" s="3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>
      <x:c r="A425" s="33"/>
      <x:c r="B425" s="33"/>
      <x:c r="C425" s="33"/>
      <x:c r="D425" s="33"/>
      <x:c r="E425" s="33"/>
      <x:c r="F425" s="33"/>
      <x:c r="G425" s="33"/>
      <x:c r="H425" s="33"/>
      <x:c r="I425" s="33"/>
      <x:c r="J425" s="33"/>
      <x:c r="K425" s="33"/>
      <x:c r="L425" s="33"/>
      <x:c r="M425" s="3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>
      <x:c r="A426" s="33"/>
      <x:c r="B426" s="33"/>
      <x:c r="C426" s="33"/>
      <x:c r="D426" s="33"/>
      <x:c r="E426" s="33"/>
      <x:c r="F426" s="33"/>
      <x:c r="G426" s="33"/>
      <x:c r="H426" s="33"/>
      <x:c r="I426" s="33"/>
      <x:c r="J426" s="33"/>
      <x:c r="K426" s="33"/>
      <x:c r="L426" s="33"/>
      <x:c r="M426" s="3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>
      <x:c r="A427" s="33"/>
      <x:c r="B427" s="33"/>
      <x:c r="C427" s="33"/>
      <x:c r="D427" s="33"/>
      <x:c r="E427" s="33"/>
      <x:c r="F427" s="33"/>
      <x:c r="G427" s="33"/>
      <x:c r="H427" s="33"/>
      <x:c r="I427" s="33"/>
      <x:c r="J427" s="33"/>
      <x:c r="K427" s="33"/>
      <x:c r="L427" s="33"/>
      <x:c r="M427" s="3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>
      <x:c r="A428" s="33"/>
      <x:c r="B428" s="33"/>
      <x:c r="C428" s="33"/>
      <x:c r="D428" s="33"/>
      <x:c r="E428" s="33"/>
      <x:c r="F428" s="33"/>
      <x:c r="G428" s="33"/>
      <x:c r="H428" s="33"/>
      <x:c r="I428" s="33"/>
      <x:c r="J428" s="33"/>
      <x:c r="K428" s="33"/>
      <x:c r="L428" s="33"/>
      <x:c r="M428" s="3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>
      <x:c r="A429" s="33"/>
      <x:c r="B429" s="33"/>
      <x:c r="C429" s="33"/>
      <x:c r="D429" s="33"/>
      <x:c r="E429" s="33"/>
      <x:c r="F429" s="33"/>
      <x:c r="G429" s="33"/>
      <x:c r="H429" s="33"/>
      <x:c r="I429" s="33"/>
      <x:c r="J429" s="33"/>
      <x:c r="K429" s="33"/>
      <x:c r="L429" s="33"/>
      <x:c r="M429" s="3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>
      <x:c r="A430" s="33"/>
      <x:c r="B430" s="33"/>
      <x:c r="C430" s="33"/>
      <x:c r="D430" s="33"/>
      <x:c r="E430" s="33"/>
      <x:c r="F430" s="33"/>
      <x:c r="G430" s="33"/>
      <x:c r="H430" s="33"/>
      <x:c r="I430" s="33"/>
      <x:c r="J430" s="33"/>
      <x:c r="K430" s="33"/>
      <x:c r="L430" s="33"/>
      <x:c r="M430" s="3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>
      <x:c r="A431" s="33"/>
      <x:c r="B431" s="33"/>
      <x:c r="C431" s="33"/>
      <x:c r="D431" s="33"/>
      <x:c r="E431" s="33"/>
      <x:c r="F431" s="33"/>
      <x:c r="G431" s="33"/>
      <x:c r="H431" s="33"/>
      <x:c r="I431" s="33"/>
      <x:c r="J431" s="33"/>
      <x:c r="K431" s="33"/>
      <x:c r="L431" s="33"/>
      <x:c r="M431" s="3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>
      <x:c r="A432" s="33"/>
      <x:c r="B432" s="33"/>
      <x:c r="C432" s="33"/>
      <x:c r="D432" s="33"/>
      <x:c r="E432" s="33"/>
      <x:c r="F432" s="33"/>
      <x:c r="G432" s="33"/>
      <x:c r="H432" s="33"/>
      <x:c r="I432" s="33"/>
      <x:c r="J432" s="33"/>
      <x:c r="K432" s="33"/>
      <x:c r="L432" s="33"/>
      <x:c r="M432" s="3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>
      <x:c r="A433" s="33"/>
      <x:c r="B433" s="33"/>
      <x:c r="C433" s="33"/>
      <x:c r="D433" s="33"/>
      <x:c r="E433" s="33"/>
      <x:c r="F433" s="33"/>
      <x:c r="G433" s="33"/>
      <x:c r="H433" s="33"/>
      <x:c r="I433" s="33"/>
      <x:c r="J433" s="33"/>
      <x:c r="K433" s="33"/>
      <x:c r="L433" s="33"/>
      <x:c r="M433" s="3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>
      <x:c r="A434" s="33"/>
      <x:c r="B434" s="33"/>
      <x:c r="C434" s="33"/>
      <x:c r="D434" s="33"/>
      <x:c r="E434" s="33"/>
      <x:c r="F434" s="33"/>
      <x:c r="G434" s="33"/>
      <x:c r="H434" s="33"/>
      <x:c r="I434" s="33"/>
      <x:c r="J434" s="33"/>
      <x:c r="K434" s="33"/>
      <x:c r="L434" s="33"/>
      <x:c r="M434" s="3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>
      <x:c r="A435" s="33"/>
      <x:c r="B435" s="33"/>
      <x:c r="C435" s="33"/>
      <x:c r="D435" s="33"/>
      <x:c r="E435" s="33"/>
      <x:c r="F435" s="33"/>
      <x:c r="G435" s="33"/>
      <x:c r="H435" s="33"/>
      <x:c r="I435" s="33"/>
      <x:c r="J435" s="33"/>
      <x:c r="K435" s="33"/>
      <x:c r="L435" s="33"/>
      <x:c r="M435" s="3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>
      <x:c r="A436" s="33"/>
      <x:c r="B436" s="33"/>
      <x:c r="C436" s="33"/>
      <x:c r="D436" s="33"/>
      <x:c r="E436" s="33"/>
      <x:c r="F436" s="33"/>
      <x:c r="G436" s="33"/>
      <x:c r="H436" s="33"/>
      <x:c r="I436" s="33"/>
      <x:c r="J436" s="33"/>
      <x:c r="K436" s="33"/>
      <x:c r="L436" s="33"/>
      <x:c r="M436" s="3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>
      <x:c r="A437" s="33"/>
      <x:c r="B437" s="33"/>
      <x:c r="C437" s="33"/>
      <x:c r="D437" s="33"/>
      <x:c r="E437" s="33"/>
      <x:c r="F437" s="33"/>
      <x:c r="G437" s="33"/>
      <x:c r="H437" s="33"/>
      <x:c r="I437" s="33"/>
      <x:c r="J437" s="33"/>
      <x:c r="K437" s="33"/>
      <x:c r="L437" s="33"/>
      <x:c r="M437" s="3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>
      <x:c r="A438" s="33"/>
      <x:c r="B438" s="33"/>
      <x:c r="C438" s="33"/>
      <x:c r="D438" s="33"/>
      <x:c r="E438" s="33"/>
      <x:c r="F438" s="33"/>
      <x:c r="G438" s="33"/>
      <x:c r="H438" s="33"/>
      <x:c r="I438" s="33"/>
      <x:c r="J438" s="33"/>
      <x:c r="K438" s="33"/>
      <x:c r="L438" s="33"/>
      <x:c r="M438" s="3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>
      <x:c r="A439" s="33"/>
      <x:c r="B439" s="33"/>
      <x:c r="C439" s="33"/>
      <x:c r="D439" s="33"/>
      <x:c r="E439" s="33"/>
      <x:c r="F439" s="33"/>
      <x:c r="G439" s="33"/>
      <x:c r="H439" s="33"/>
      <x:c r="I439" s="33"/>
      <x:c r="J439" s="33"/>
      <x:c r="K439" s="33"/>
      <x:c r="L439" s="33"/>
      <x:c r="M439" s="3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>
      <x:c r="A440" s="33"/>
      <x:c r="B440" s="33"/>
      <x:c r="C440" s="33"/>
      <x:c r="D440" s="33"/>
      <x:c r="E440" s="33"/>
      <x:c r="F440" s="33"/>
      <x:c r="G440" s="33"/>
      <x:c r="H440" s="33"/>
      <x:c r="I440" s="33"/>
      <x:c r="J440" s="33"/>
      <x:c r="K440" s="33"/>
      <x:c r="L440" s="33"/>
      <x:c r="M440" s="3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>
      <x:c r="A441" s="33"/>
      <x:c r="B441" s="33"/>
      <x:c r="C441" s="33"/>
      <x:c r="D441" s="33"/>
      <x:c r="E441" s="33"/>
      <x:c r="F441" s="33"/>
      <x:c r="G441" s="33"/>
      <x:c r="H441" s="33"/>
      <x:c r="I441" s="33"/>
      <x:c r="J441" s="33"/>
      <x:c r="K441" s="33"/>
      <x:c r="L441" s="33"/>
      <x:c r="M441" s="3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>
      <x:c r="A442" s="33"/>
      <x:c r="B442" s="33"/>
      <x:c r="C442" s="33"/>
      <x:c r="D442" s="33"/>
      <x:c r="E442" s="33"/>
      <x:c r="F442" s="33"/>
      <x:c r="G442" s="33"/>
      <x:c r="H442" s="33"/>
      <x:c r="I442" s="33"/>
      <x:c r="J442" s="33"/>
      <x:c r="K442" s="33"/>
      <x:c r="L442" s="33"/>
      <x:c r="M442" s="3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>
      <x:c r="A443" s="33"/>
      <x:c r="B443" s="33"/>
      <x:c r="C443" s="33"/>
      <x:c r="D443" s="33"/>
      <x:c r="E443" s="33"/>
      <x:c r="F443" s="33"/>
      <x:c r="G443" s="33"/>
      <x:c r="H443" s="33"/>
      <x:c r="I443" s="33"/>
      <x:c r="J443" s="33"/>
      <x:c r="K443" s="33"/>
      <x:c r="L443" s="33"/>
      <x:c r="M443" s="3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>
      <x:c r="A444" s="33"/>
      <x:c r="B444" s="33"/>
      <x:c r="C444" s="33"/>
      <x:c r="D444" s="33"/>
      <x:c r="E444" s="33"/>
      <x:c r="F444" s="33"/>
      <x:c r="G444" s="33"/>
      <x:c r="H444" s="33"/>
      <x:c r="I444" s="33"/>
      <x:c r="J444" s="33"/>
      <x:c r="K444" s="33"/>
      <x:c r="L444" s="33"/>
      <x:c r="M444" s="3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>
      <x:c r="A445" s="33"/>
      <x:c r="B445" s="33"/>
      <x:c r="C445" s="33"/>
      <x:c r="D445" s="33"/>
      <x:c r="E445" s="33"/>
      <x:c r="F445" s="33"/>
      <x:c r="G445" s="33"/>
      <x:c r="H445" s="33"/>
      <x:c r="I445" s="33"/>
      <x:c r="J445" s="33"/>
      <x:c r="K445" s="33"/>
      <x:c r="L445" s="33"/>
      <x:c r="M445" s="3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>
      <x:c r="A446" s="33"/>
      <x:c r="B446" s="33"/>
      <x:c r="C446" s="33"/>
      <x:c r="D446" s="33"/>
      <x:c r="E446" s="33"/>
      <x:c r="F446" s="33"/>
      <x:c r="G446" s="33"/>
      <x:c r="H446" s="33"/>
      <x:c r="I446" s="33"/>
      <x:c r="J446" s="33"/>
      <x:c r="K446" s="33"/>
      <x:c r="L446" s="33"/>
      <x:c r="M446" s="3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>
      <x:c r="A447" s="33"/>
      <x:c r="B447" s="33"/>
      <x:c r="C447" s="33"/>
      <x:c r="D447" s="33"/>
      <x:c r="E447" s="33"/>
      <x:c r="F447" s="33"/>
      <x:c r="G447" s="33"/>
      <x:c r="H447" s="33"/>
      <x:c r="I447" s="33"/>
      <x:c r="J447" s="33"/>
      <x:c r="K447" s="33"/>
      <x:c r="L447" s="33"/>
      <x:c r="M447" s="3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>
      <x:c r="A448" s="33"/>
      <x:c r="B448" s="33"/>
      <x:c r="C448" s="33"/>
      <x:c r="D448" s="33"/>
      <x:c r="E448" s="33"/>
      <x:c r="F448" s="33"/>
      <x:c r="G448" s="33"/>
      <x:c r="H448" s="33"/>
      <x:c r="I448" s="33"/>
      <x:c r="J448" s="33"/>
      <x:c r="K448" s="33"/>
      <x:c r="L448" s="33"/>
      <x:c r="M448" s="3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>
      <x:c r="A449" s="33"/>
      <x:c r="B449" s="33"/>
      <x:c r="C449" s="33"/>
      <x:c r="D449" s="33"/>
      <x:c r="E449" s="33"/>
      <x:c r="F449" s="33"/>
      <x:c r="G449" s="33"/>
      <x:c r="H449" s="33"/>
      <x:c r="I449" s="33"/>
      <x:c r="J449" s="33"/>
      <x:c r="K449" s="33"/>
      <x:c r="L449" s="33"/>
      <x:c r="M449" s="3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>
      <x:c r="A450" s="33"/>
      <x:c r="B450" s="33"/>
      <x:c r="C450" s="33"/>
      <x:c r="D450" s="33"/>
      <x:c r="E450" s="33"/>
      <x:c r="F450" s="33"/>
      <x:c r="G450" s="33"/>
      <x:c r="H450" s="33"/>
      <x:c r="I450" s="33"/>
      <x:c r="J450" s="33"/>
      <x:c r="K450" s="33"/>
      <x:c r="L450" s="33"/>
      <x:c r="M450" s="3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>
      <x:c r="A451" s="33"/>
      <x:c r="B451" s="33"/>
      <x:c r="C451" s="33"/>
      <x:c r="D451" s="33"/>
      <x:c r="E451" s="33"/>
      <x:c r="F451" s="33"/>
      <x:c r="G451" s="33"/>
      <x:c r="H451" s="33"/>
      <x:c r="I451" s="33"/>
      <x:c r="J451" s="33"/>
      <x:c r="K451" s="33"/>
      <x:c r="L451" s="33"/>
      <x:c r="M451" s="3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>
      <x:c r="A452" s="33"/>
      <x:c r="B452" s="33"/>
      <x:c r="C452" s="33"/>
      <x:c r="D452" s="33"/>
      <x:c r="E452" s="33"/>
      <x:c r="F452" s="33"/>
      <x:c r="G452" s="33"/>
      <x:c r="H452" s="33"/>
      <x:c r="I452" s="33"/>
      <x:c r="J452" s="33"/>
      <x:c r="K452" s="33"/>
      <x:c r="L452" s="33"/>
      <x:c r="M452" s="3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>
      <x:c r="A453" s="33"/>
      <x:c r="B453" s="33"/>
      <x:c r="C453" s="33"/>
      <x:c r="D453" s="33"/>
      <x:c r="E453" s="33"/>
      <x:c r="F453" s="33"/>
      <x:c r="G453" s="33"/>
      <x:c r="H453" s="33"/>
      <x:c r="I453" s="33"/>
      <x:c r="J453" s="33"/>
      <x:c r="K453" s="33"/>
      <x:c r="L453" s="33"/>
      <x:c r="M453" s="3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>
      <x:c r="A454" s="33"/>
      <x:c r="B454" s="33"/>
      <x:c r="C454" s="33"/>
      <x:c r="D454" s="33"/>
      <x:c r="E454" s="33"/>
      <x:c r="F454" s="33"/>
      <x:c r="G454" s="33"/>
      <x:c r="H454" s="33"/>
      <x:c r="I454" s="33"/>
      <x:c r="J454" s="33"/>
      <x:c r="K454" s="33"/>
      <x:c r="L454" s="33"/>
      <x:c r="M454" s="3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>
      <x:c r="A455" s="33"/>
      <x:c r="B455" s="33"/>
      <x:c r="C455" s="33"/>
      <x:c r="D455" s="33"/>
      <x:c r="E455" s="33"/>
      <x:c r="F455" s="33"/>
      <x:c r="G455" s="33"/>
      <x:c r="H455" s="33"/>
      <x:c r="I455" s="33"/>
      <x:c r="J455" s="33"/>
      <x:c r="K455" s="33"/>
      <x:c r="L455" s="33"/>
      <x:c r="M455" s="3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>
      <x:c r="A456" s="33"/>
      <x:c r="B456" s="33"/>
      <x:c r="C456" s="33"/>
      <x:c r="D456" s="33"/>
      <x:c r="E456" s="33"/>
      <x:c r="F456" s="33"/>
      <x:c r="G456" s="33"/>
      <x:c r="H456" s="33"/>
      <x:c r="I456" s="33"/>
      <x:c r="J456" s="33"/>
      <x:c r="K456" s="33"/>
      <x:c r="L456" s="33"/>
      <x:c r="M456" s="3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>
      <x:c r="A457" s="33"/>
      <x:c r="B457" s="33"/>
      <x:c r="C457" s="33"/>
      <x:c r="D457" s="33"/>
      <x:c r="E457" s="33"/>
      <x:c r="F457" s="33"/>
      <x:c r="G457" s="33"/>
      <x:c r="H457" s="33"/>
      <x:c r="I457" s="33"/>
      <x:c r="J457" s="33"/>
      <x:c r="K457" s="33"/>
      <x:c r="L457" s="33"/>
      <x:c r="M457" s="3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>
      <x:c r="A458" s="33"/>
      <x:c r="B458" s="33"/>
      <x:c r="C458" s="33"/>
      <x:c r="D458" s="33"/>
      <x:c r="E458" s="33"/>
      <x:c r="F458" s="33"/>
      <x:c r="G458" s="33"/>
      <x:c r="H458" s="33"/>
      <x:c r="I458" s="33"/>
      <x:c r="J458" s="33"/>
      <x:c r="K458" s="33"/>
      <x:c r="L458" s="33"/>
      <x:c r="M458" s="3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>
      <x:c r="A459" s="33"/>
      <x:c r="B459" s="33"/>
      <x:c r="C459" s="33"/>
      <x:c r="D459" s="33"/>
      <x:c r="E459" s="33"/>
      <x:c r="F459" s="33"/>
      <x:c r="G459" s="33"/>
      <x:c r="H459" s="33"/>
      <x:c r="I459" s="33"/>
      <x:c r="J459" s="33"/>
      <x:c r="K459" s="33"/>
      <x:c r="L459" s="33"/>
      <x:c r="M459" s="3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>
      <x:c r="A460" s="33"/>
      <x:c r="B460" s="33"/>
      <x:c r="C460" s="33"/>
      <x:c r="D460" s="33"/>
      <x:c r="E460" s="33"/>
      <x:c r="F460" s="33"/>
      <x:c r="G460" s="33"/>
      <x:c r="H460" s="33"/>
      <x:c r="I460" s="33"/>
      <x:c r="J460" s="33"/>
      <x:c r="K460" s="33"/>
      <x:c r="L460" s="33"/>
      <x:c r="M460" s="3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>
      <x:c r="A461" s="33"/>
      <x:c r="B461" s="33"/>
      <x:c r="C461" s="33"/>
      <x:c r="D461" s="33"/>
      <x:c r="E461" s="33"/>
      <x:c r="F461" s="33"/>
      <x:c r="G461" s="33"/>
      <x:c r="H461" s="33"/>
      <x:c r="I461" s="33"/>
      <x:c r="J461" s="33"/>
      <x:c r="K461" s="33"/>
      <x:c r="L461" s="33"/>
      <x:c r="M461" s="3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>
      <x:c r="A462" s="33"/>
      <x:c r="B462" s="33"/>
      <x:c r="C462" s="33"/>
      <x:c r="D462" s="33"/>
      <x:c r="E462" s="33"/>
      <x:c r="F462" s="33"/>
      <x:c r="G462" s="33"/>
      <x:c r="H462" s="33"/>
      <x:c r="I462" s="33"/>
      <x:c r="J462" s="33"/>
      <x:c r="K462" s="33"/>
      <x:c r="L462" s="33"/>
      <x:c r="M462" s="3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>
      <x:c r="A463" s="33"/>
      <x:c r="B463" s="33"/>
      <x:c r="C463" s="33"/>
      <x:c r="D463" s="33"/>
      <x:c r="E463" s="33"/>
      <x:c r="F463" s="33"/>
      <x:c r="G463" s="33"/>
      <x:c r="H463" s="33"/>
      <x:c r="I463" s="33"/>
      <x:c r="J463" s="33"/>
      <x:c r="K463" s="33"/>
      <x:c r="L463" s="33"/>
      <x:c r="M463" s="3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>
      <x:c r="A464" s="33"/>
      <x:c r="B464" s="33"/>
      <x:c r="C464" s="33"/>
      <x:c r="D464" s="33"/>
      <x:c r="E464" s="33"/>
      <x:c r="F464" s="33"/>
      <x:c r="G464" s="33"/>
      <x:c r="H464" s="33"/>
      <x:c r="I464" s="33"/>
      <x:c r="J464" s="33"/>
      <x:c r="K464" s="33"/>
      <x:c r="L464" s="33"/>
      <x:c r="M464" s="3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>
      <x:c r="A465" s="33"/>
      <x:c r="B465" s="33"/>
      <x:c r="C465" s="33"/>
      <x:c r="D465" s="33"/>
      <x:c r="E465" s="33"/>
      <x:c r="F465" s="33"/>
      <x:c r="G465" s="33"/>
      <x:c r="H465" s="33"/>
      <x:c r="I465" s="33"/>
      <x:c r="J465" s="33"/>
      <x:c r="K465" s="33"/>
      <x:c r="L465" s="33"/>
      <x:c r="M465" s="3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>
      <x:c r="A466" s="33"/>
      <x:c r="B466" s="33"/>
      <x:c r="C466" s="33"/>
      <x:c r="D466" s="33"/>
      <x:c r="E466" s="33"/>
      <x:c r="F466" s="33"/>
      <x:c r="G466" s="33"/>
      <x:c r="H466" s="33"/>
      <x:c r="I466" s="33"/>
      <x:c r="J466" s="33"/>
      <x:c r="K466" s="33"/>
      <x:c r="L466" s="33"/>
      <x:c r="M466" s="3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>
      <x:c r="A467" s="33"/>
      <x:c r="B467" s="33"/>
      <x:c r="C467" s="33"/>
      <x:c r="D467" s="33"/>
      <x:c r="E467" s="33"/>
      <x:c r="F467" s="33"/>
      <x:c r="G467" s="33"/>
      <x:c r="H467" s="33"/>
      <x:c r="I467" s="33"/>
      <x:c r="J467" s="33"/>
      <x:c r="K467" s="33"/>
      <x:c r="L467" s="33"/>
      <x:c r="M467" s="3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>
      <x:c r="A468" s="33"/>
      <x:c r="B468" s="33"/>
      <x:c r="C468" s="33"/>
      <x:c r="D468" s="33"/>
      <x:c r="E468" s="33"/>
      <x:c r="F468" s="33"/>
      <x:c r="G468" s="33"/>
      <x:c r="H468" s="33"/>
      <x:c r="I468" s="33"/>
      <x:c r="J468" s="33"/>
      <x:c r="K468" s="33"/>
      <x:c r="L468" s="33"/>
      <x:c r="M468" s="3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>
      <x:c r="A469" s="33"/>
      <x:c r="B469" s="33"/>
      <x:c r="C469" s="33"/>
      <x:c r="D469" s="33"/>
      <x:c r="E469" s="33"/>
      <x:c r="F469" s="33"/>
      <x:c r="G469" s="33"/>
      <x:c r="H469" s="33"/>
      <x:c r="I469" s="33"/>
      <x:c r="J469" s="33"/>
      <x:c r="K469" s="33"/>
      <x:c r="L469" s="33"/>
      <x:c r="M469" s="3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>
      <x:c r="A470" s="33"/>
      <x:c r="B470" s="33"/>
      <x:c r="C470" s="33"/>
      <x:c r="D470" s="33"/>
      <x:c r="E470" s="33"/>
      <x:c r="F470" s="33"/>
      <x:c r="G470" s="33"/>
      <x:c r="H470" s="33"/>
      <x:c r="I470" s="33"/>
      <x:c r="J470" s="33"/>
      <x:c r="K470" s="33"/>
      <x:c r="L470" s="33"/>
      <x:c r="M470" s="3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>
      <x:c r="A471" s="33"/>
      <x:c r="B471" s="33"/>
      <x:c r="C471" s="33"/>
      <x:c r="D471" s="33"/>
      <x:c r="E471" s="33"/>
      <x:c r="F471" s="33"/>
      <x:c r="G471" s="33"/>
      <x:c r="H471" s="33"/>
      <x:c r="I471" s="33"/>
      <x:c r="J471" s="33"/>
      <x:c r="K471" s="33"/>
      <x:c r="L471" s="33"/>
      <x:c r="M471" s="3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>
      <x:c r="A472" s="33"/>
      <x:c r="B472" s="33"/>
      <x:c r="C472" s="33"/>
      <x:c r="D472" s="33"/>
      <x:c r="E472" s="33"/>
      <x:c r="F472" s="33"/>
      <x:c r="G472" s="33"/>
      <x:c r="H472" s="33"/>
      <x:c r="I472" s="33"/>
      <x:c r="J472" s="33"/>
      <x:c r="K472" s="33"/>
      <x:c r="L472" s="33"/>
      <x:c r="M472" s="3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>
      <x:c r="A473" s="33"/>
      <x:c r="B473" s="33"/>
      <x:c r="C473" s="33"/>
      <x:c r="D473" s="33"/>
      <x:c r="E473" s="33"/>
      <x:c r="F473" s="33"/>
      <x:c r="G473" s="33"/>
      <x:c r="H473" s="33"/>
      <x:c r="I473" s="33"/>
      <x:c r="J473" s="33"/>
      <x:c r="K473" s="33"/>
      <x:c r="L473" s="33"/>
      <x:c r="M473" s="3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>
      <x:c r="A474" s="33"/>
      <x:c r="B474" s="33"/>
      <x:c r="C474" s="33"/>
      <x:c r="D474" s="33"/>
      <x:c r="E474" s="33"/>
      <x:c r="F474" s="33"/>
      <x:c r="G474" s="33"/>
      <x:c r="H474" s="33"/>
      <x:c r="I474" s="33"/>
      <x:c r="J474" s="33"/>
      <x:c r="K474" s="33"/>
      <x:c r="L474" s="33"/>
      <x:c r="M474" s="3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>
      <x:c r="A475" s="33"/>
      <x:c r="B475" s="33"/>
      <x:c r="C475" s="33"/>
      <x:c r="D475" s="33"/>
      <x:c r="E475" s="33"/>
      <x:c r="F475" s="33"/>
      <x:c r="G475" s="33"/>
      <x:c r="H475" s="33"/>
      <x:c r="I475" s="33"/>
      <x:c r="J475" s="33"/>
      <x:c r="K475" s="33"/>
      <x:c r="L475" s="33"/>
      <x:c r="M475" s="3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>
      <x:c r="A476" s="33"/>
      <x:c r="B476" s="33"/>
      <x:c r="C476" s="33"/>
      <x:c r="D476" s="33"/>
      <x:c r="E476" s="33"/>
      <x:c r="F476" s="33"/>
      <x:c r="G476" s="33"/>
      <x:c r="H476" s="33"/>
      <x:c r="I476" s="33"/>
      <x:c r="J476" s="33"/>
      <x:c r="K476" s="33"/>
      <x:c r="L476" s="33"/>
      <x:c r="M476" s="3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>
      <x:c r="A477" s="33"/>
      <x:c r="B477" s="33"/>
      <x:c r="C477" s="33"/>
      <x:c r="D477" s="33"/>
      <x:c r="E477" s="33"/>
      <x:c r="F477" s="33"/>
      <x:c r="G477" s="33"/>
      <x:c r="H477" s="33"/>
      <x:c r="I477" s="33"/>
      <x:c r="J477" s="33"/>
      <x:c r="K477" s="33"/>
      <x:c r="L477" s="33"/>
      <x:c r="M477" s="3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>
      <x:c r="A478" s="33"/>
      <x:c r="B478" s="33"/>
      <x:c r="C478" s="33"/>
      <x:c r="D478" s="33"/>
      <x:c r="E478" s="33"/>
      <x:c r="F478" s="33"/>
      <x:c r="G478" s="33"/>
      <x:c r="H478" s="33"/>
      <x:c r="I478" s="33"/>
      <x:c r="J478" s="33"/>
      <x:c r="K478" s="33"/>
      <x:c r="L478" s="33"/>
      <x:c r="M478" s="3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>
      <x:c r="A479" s="33"/>
      <x:c r="B479" s="33"/>
      <x:c r="C479" s="33"/>
      <x:c r="D479" s="33"/>
      <x:c r="E479" s="33"/>
      <x:c r="F479" s="33"/>
      <x:c r="G479" s="33"/>
      <x:c r="H479" s="33"/>
      <x:c r="I479" s="33"/>
      <x:c r="J479" s="33"/>
      <x:c r="K479" s="33"/>
      <x:c r="L479" s="33"/>
      <x:c r="M479" s="3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>
      <x:c r="A480" s="33"/>
      <x:c r="B480" s="33"/>
      <x:c r="C480" s="33"/>
      <x:c r="D480" s="33"/>
      <x:c r="E480" s="33"/>
      <x:c r="F480" s="33"/>
      <x:c r="G480" s="33"/>
      <x:c r="H480" s="33"/>
      <x:c r="I480" s="33"/>
      <x:c r="J480" s="33"/>
      <x:c r="K480" s="33"/>
      <x:c r="L480" s="33"/>
      <x:c r="M480" s="3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>
      <x:c r="A481" s="33"/>
      <x:c r="B481" s="33"/>
      <x:c r="C481" s="33"/>
      <x:c r="D481" s="33"/>
      <x:c r="E481" s="33"/>
      <x:c r="F481" s="33"/>
      <x:c r="G481" s="33"/>
      <x:c r="H481" s="33"/>
      <x:c r="I481" s="33"/>
      <x:c r="J481" s="33"/>
      <x:c r="K481" s="33"/>
      <x:c r="L481" s="33"/>
      <x:c r="M481" s="3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>
      <x:c r="A482" s="33"/>
      <x:c r="B482" s="33"/>
      <x:c r="C482" s="33"/>
      <x:c r="D482" s="33"/>
      <x:c r="E482" s="33"/>
      <x:c r="F482" s="33"/>
      <x:c r="G482" s="33"/>
      <x:c r="H482" s="33"/>
      <x:c r="I482" s="33"/>
      <x:c r="J482" s="33"/>
      <x:c r="K482" s="33"/>
      <x:c r="L482" s="33"/>
      <x:c r="M482" s="3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>
      <x:c r="A483" s="33"/>
      <x:c r="B483" s="33"/>
      <x:c r="C483" s="33"/>
      <x:c r="D483" s="33"/>
      <x:c r="E483" s="33"/>
      <x:c r="F483" s="33"/>
      <x:c r="G483" s="33"/>
      <x:c r="H483" s="33"/>
      <x:c r="I483" s="33"/>
      <x:c r="J483" s="33"/>
      <x:c r="K483" s="33"/>
      <x:c r="L483" s="33"/>
      <x:c r="M483" s="3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>
      <x:c r="A484" s="33"/>
      <x:c r="B484" s="33"/>
      <x:c r="C484" s="33"/>
      <x:c r="D484" s="33"/>
      <x:c r="E484" s="33"/>
      <x:c r="F484" s="33"/>
      <x:c r="G484" s="33"/>
      <x:c r="H484" s="33"/>
      <x:c r="I484" s="33"/>
      <x:c r="J484" s="33"/>
      <x:c r="K484" s="33"/>
      <x:c r="L484" s="33"/>
      <x:c r="M484" s="3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>
      <x:c r="A485" s="33"/>
      <x:c r="B485" s="33"/>
      <x:c r="C485" s="33"/>
      <x:c r="D485" s="33"/>
      <x:c r="E485" s="33"/>
      <x:c r="F485" s="33"/>
      <x:c r="G485" s="33"/>
      <x:c r="H485" s="33"/>
      <x:c r="I485" s="33"/>
      <x:c r="J485" s="33"/>
      <x:c r="K485" s="33"/>
      <x:c r="L485" s="33"/>
      <x:c r="M485" s="3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>
      <x:c r="A486" s="33"/>
      <x:c r="B486" s="33"/>
      <x:c r="C486" s="33"/>
      <x:c r="D486" s="33"/>
      <x:c r="E486" s="33"/>
      <x:c r="F486" s="33"/>
      <x:c r="G486" s="33"/>
      <x:c r="H486" s="33"/>
      <x:c r="I486" s="33"/>
      <x:c r="J486" s="33"/>
      <x:c r="K486" s="33"/>
      <x:c r="L486" s="33"/>
      <x:c r="M486" s="3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>
      <x:c r="A487" s="33"/>
      <x:c r="B487" s="33"/>
      <x:c r="C487" s="33"/>
      <x:c r="D487" s="33"/>
      <x:c r="E487" s="33"/>
      <x:c r="F487" s="33"/>
      <x:c r="G487" s="33"/>
      <x:c r="H487" s="33"/>
      <x:c r="I487" s="33"/>
      <x:c r="J487" s="33"/>
      <x:c r="K487" s="33"/>
      <x:c r="L487" s="33"/>
      <x:c r="M487" s="3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>
      <x:c r="A488" s="33"/>
      <x:c r="B488" s="33"/>
      <x:c r="C488" s="33"/>
      <x:c r="D488" s="33"/>
      <x:c r="E488" s="33"/>
      <x:c r="F488" s="33"/>
      <x:c r="G488" s="33"/>
      <x:c r="H488" s="33"/>
      <x:c r="I488" s="33"/>
      <x:c r="J488" s="33"/>
      <x:c r="K488" s="33"/>
      <x:c r="L488" s="33"/>
      <x:c r="M488" s="3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>
      <x:c r="A489" s="33"/>
      <x:c r="B489" s="33"/>
      <x:c r="C489" s="33"/>
      <x:c r="D489" s="33"/>
      <x:c r="E489" s="33"/>
      <x:c r="F489" s="33"/>
      <x:c r="G489" s="33"/>
      <x:c r="H489" s="33"/>
      <x:c r="I489" s="33"/>
      <x:c r="J489" s="33"/>
      <x:c r="K489" s="33"/>
      <x:c r="L489" s="33"/>
      <x:c r="M489" s="3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>
      <x:c r="A490" s="33"/>
      <x:c r="B490" s="33"/>
      <x:c r="C490" s="33"/>
      <x:c r="D490" s="33"/>
      <x:c r="E490" s="33"/>
      <x:c r="F490" s="33"/>
      <x:c r="G490" s="33"/>
      <x:c r="H490" s="33"/>
      <x:c r="I490" s="33"/>
      <x:c r="J490" s="33"/>
      <x:c r="K490" s="33"/>
      <x:c r="L490" s="33"/>
      <x:c r="M490" s="3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>
      <x:c r="A491" s="33"/>
      <x:c r="B491" s="33"/>
      <x:c r="C491" s="33"/>
      <x:c r="D491" s="33"/>
      <x:c r="E491" s="33"/>
      <x:c r="F491" s="33"/>
      <x:c r="G491" s="33"/>
      <x:c r="H491" s="33"/>
      <x:c r="I491" s="33"/>
      <x:c r="J491" s="33"/>
      <x:c r="K491" s="33"/>
      <x:c r="L491" s="33"/>
      <x:c r="M491" s="3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>
      <x:c r="A492" s="33"/>
      <x:c r="B492" s="33"/>
      <x:c r="C492" s="33"/>
      <x:c r="D492" s="33"/>
      <x:c r="E492" s="33"/>
      <x:c r="F492" s="33"/>
      <x:c r="G492" s="33"/>
      <x:c r="H492" s="33"/>
      <x:c r="I492" s="33"/>
      <x:c r="J492" s="33"/>
      <x:c r="K492" s="33"/>
      <x:c r="L492" s="33"/>
      <x:c r="M492" s="3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>
      <x:c r="A493" s="33"/>
      <x:c r="B493" s="33"/>
      <x:c r="C493" s="33"/>
      <x:c r="D493" s="33"/>
      <x:c r="E493" s="33"/>
      <x:c r="F493" s="33"/>
      <x:c r="G493" s="33"/>
      <x:c r="H493" s="33"/>
      <x:c r="I493" s="33"/>
      <x:c r="J493" s="33"/>
      <x:c r="K493" s="33"/>
      <x:c r="L493" s="33"/>
      <x:c r="M493" s="3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>
      <x:c r="A494" s="33"/>
      <x:c r="B494" s="33"/>
      <x:c r="C494" s="33"/>
      <x:c r="D494" s="33"/>
      <x:c r="E494" s="33"/>
      <x:c r="F494" s="33"/>
      <x:c r="G494" s="33"/>
      <x:c r="H494" s="33"/>
      <x:c r="I494" s="33"/>
      <x:c r="J494" s="33"/>
      <x:c r="K494" s="33"/>
      <x:c r="L494" s="33"/>
      <x:c r="M494" s="3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>
      <x:c r="A495" s="33"/>
      <x:c r="B495" s="33"/>
      <x:c r="C495" s="33"/>
      <x:c r="D495" s="33"/>
      <x:c r="E495" s="33"/>
      <x:c r="F495" s="33"/>
      <x:c r="G495" s="33"/>
      <x:c r="H495" s="33"/>
      <x:c r="I495" s="33"/>
      <x:c r="J495" s="33"/>
      <x:c r="K495" s="33"/>
      <x:c r="L495" s="33"/>
      <x:c r="M495" s="3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>
      <x:c r="A496" s="33"/>
      <x:c r="B496" s="33"/>
      <x:c r="C496" s="33"/>
      <x:c r="D496" s="33"/>
      <x:c r="E496" s="33"/>
      <x:c r="F496" s="33"/>
      <x:c r="G496" s="33"/>
      <x:c r="H496" s="33"/>
      <x:c r="I496" s="33"/>
      <x:c r="J496" s="33"/>
      <x:c r="K496" s="33"/>
      <x:c r="L496" s="33"/>
      <x:c r="M496" s="3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>
      <x:c r="A497" s="33"/>
      <x:c r="B497" s="33"/>
      <x:c r="C497" s="33"/>
      <x:c r="D497" s="33"/>
      <x:c r="E497" s="33"/>
      <x:c r="F497" s="33"/>
      <x:c r="G497" s="33"/>
      <x:c r="H497" s="33"/>
      <x:c r="I497" s="33"/>
      <x:c r="J497" s="33"/>
      <x:c r="K497" s="33"/>
      <x:c r="L497" s="33"/>
      <x:c r="M497" s="3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>
      <x:c r="A498" s="33"/>
      <x:c r="B498" s="33"/>
      <x:c r="C498" s="33"/>
      <x:c r="D498" s="33"/>
      <x:c r="E498" s="33"/>
      <x:c r="F498" s="33"/>
      <x:c r="G498" s="33"/>
      <x:c r="H498" s="33"/>
      <x:c r="I498" s="33"/>
      <x:c r="J498" s="33"/>
      <x:c r="K498" s="33"/>
      <x:c r="L498" s="33"/>
      <x:c r="M498" s="3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>
      <x:c r="A499" s="33"/>
      <x:c r="B499" s="33"/>
      <x:c r="C499" s="33"/>
      <x:c r="D499" s="33"/>
      <x:c r="E499" s="33"/>
      <x:c r="F499" s="33"/>
      <x:c r="G499" s="33"/>
      <x:c r="H499" s="33"/>
      <x:c r="I499" s="33"/>
      <x:c r="J499" s="33"/>
      <x:c r="K499" s="33"/>
      <x:c r="L499" s="33"/>
      <x:c r="M499" s="3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>
      <x:c r="A500" s="33"/>
      <x:c r="B500" s="33"/>
      <x:c r="C500" s="33"/>
      <x:c r="D500" s="33"/>
      <x:c r="E500" s="33"/>
      <x:c r="F500" s="33"/>
      <x:c r="G500" s="33"/>
      <x:c r="H500" s="33"/>
      <x:c r="I500" s="33"/>
      <x:c r="J500" s="33"/>
      <x:c r="K500" s="33"/>
      <x:c r="L500" s="33"/>
      <x:c r="M500" s="3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4" hidden="0" customWidth="1"/>
    <x:col min="5" max="5" width="18" hidden="0" customWidth="1"/>
    <x:col min="6" max="6" width="14" hidden="0" customWidth="1"/>
    <x:col min="7" max="7" width="28" hidden="0" customWidth="1"/>
  </x:cols>
  <x:sheetData>
    <x:row r="1" ht="26" customHeight="1">
      <x:c r="A1" s="32" t="str">
        <x:v>05_Nguon_von</x:v>
      </x:c>
      <x:c r="B1" s="32"/>
      <x:c r="C1" s="32"/>
      <x:c r="D1" s="32"/>
      <x:c r="E1" s="32"/>
      <x:c r="F1" s="32"/>
      <x:c r="G1" s="32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4" t="str">
        <x:v>Mã dự án</x:v>
      </x:c>
      <x:c r="B3" s="34" t="str">
        <x:v>Nguồn vốn</x:v>
      </x:c>
      <x:c r="C3" s="34" t="str">
        <x:v>Hạn mức/Tổng nguồn</x:v>
      </x:c>
      <x:c r="D3" s="34" t="str">
        <x:v>Đã huy động/giải ngân</x:v>
      </x:c>
      <x:c r="E3" s="34" t="str">
        <x:v>Còn lại</x:v>
      </x:c>
      <x:c r="F3" s="34" t="str">
        <x:v>Lãi suất</x:v>
      </x:c>
      <x:c r="G3" s="34" t="str">
        <x:v>Ghi chú</x:v>
      </x:c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5" t="str">
        <x:v>DA01</x:v>
      </x:c>
      <x:c r="B4" s="35" t="str">
        <x:v>Vốn chủ sở hữu</x:v>
      </x:c>
      <x:c r="C4" s="35" t="n">
        <x:v>1625</x:v>
      </x:c>
      <x:c r="D4" s="35" t="n">
        <x:v>507.8125</x:v>
      </x:c>
      <x:c r="E4" s="35" t="n">
        <x:v>1117.1875</x:v>
      </x:c>
      <x:c r="F4" s="35" t="n">
        <x:v>0</x:v>
      </x:c>
      <x:c r="G4" s="35" t="str">
        <x:v>Theo dõi theo dự án</x:v>
      </x:c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5" t="str">
        <x:v>DA01</x:v>
      </x:c>
      <x:c r="B5" s="35" t="str">
        <x:v>Vay ngân hàng</x:v>
      </x:c>
      <x:c r="C5" s="35" t="n">
        <x:v>2925</x:v>
      </x:c>
      <x:c r="D5" s="35" t="n">
        <x:v>914.0625</x:v>
      </x:c>
      <x:c r="E5" s="35" t="n">
        <x:v>2010.9375</x:v>
      </x:c>
      <x:c r="F5" s="35" t="n">
        <x:v>0.095</x:v>
      </x:c>
      <x:c r="G5" s="35" t="str">
        <x:v>Theo dõi theo dự án</x:v>
      </x:c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5" t="str">
        <x:v>DA01</x:v>
      </x:c>
      <x:c r="B6" s="35" t="str">
        <x:v>Tiền khách hàng</x:v>
      </x:c>
      <x:c r="C6" s="35" t="n">
        <x:v>1950</x:v>
      </x:c>
      <x:c r="D6" s="35" t="n">
        <x:v>609.375</x:v>
      </x:c>
      <x:c r="E6" s="35" t="n">
        <x:v>1340.625</x:v>
      </x:c>
      <x:c r="F6" s="35" t="n">
        <x:v>0</x:v>
      </x:c>
      <x:c r="G6" s="35" t="str">
        <x:v>Theo dõi theo dự án</x:v>
      </x:c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5" t="str">
        <x:v>DA02</x:v>
      </x:c>
      <x:c r="B7" s="35" t="str">
        <x:v>Vốn chủ sở hữu</x:v>
      </x:c>
      <x:c r="C7" s="35" t="n">
        <x:v>1800</x:v>
      </x:c>
      <x:c r="D7" s="35" t="n">
        <x:v>1065.6000000000001</x:v>
      </x:c>
      <x:c r="E7" s="35" t="n">
        <x:v>734.3999999999999</x:v>
      </x:c>
      <x:c r="F7" s="35" t="n">
        <x:v>0</x:v>
      </x:c>
      <x:c r="G7" s="35" t="str">
        <x:v>Theo dõi theo dự án</x:v>
      </x:c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5" t="str">
        <x:v>DA02</x:v>
      </x:c>
      <x:c r="B8" s="35" t="str">
        <x:v>Vay ngân hàng</x:v>
      </x:c>
      <x:c r="C8" s="35" t="n">
        <x:v>3240</x:v>
      </x:c>
      <x:c r="D8" s="35" t="n">
        <x:v>1918.0800000000002</x:v>
      </x:c>
      <x:c r="E8" s="35" t="n">
        <x:v>1321.9199999999998</x:v>
      </x:c>
      <x:c r="F8" s="35" t="n">
        <x:v>0.095</x:v>
      </x:c>
      <x:c r="G8" s="35" t="str">
        <x:v>Theo dõi theo dự án</x:v>
      </x:c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5" t="str">
        <x:v>DA02</x:v>
      </x:c>
      <x:c r="B9" s="35" t="str">
        <x:v>Tiền khách hàng</x:v>
      </x:c>
      <x:c r="C9" s="35" t="n">
        <x:v>2160</x:v>
      </x:c>
      <x:c r="D9" s="35" t="n">
        <x:v>1278.7200000000003</x:v>
      </x:c>
      <x:c r="E9" s="35" t="n">
        <x:v>881.2799999999997</x:v>
      </x:c>
      <x:c r="F9" s="35" t="n">
        <x:v>0</x:v>
      </x:c>
      <x:c r="G9" s="35" t="str">
        <x:v>Theo dõi theo dự án</x:v>
      </x:c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5" t="str">
        <x:v>DA03</x:v>
      </x:c>
      <x:c r="B10" s="35" t="str">
        <x:v>Vốn chủ sở hữu</x:v>
      </x:c>
      <x:c r="C10" s="35" t="n">
        <x:v>2450</x:v>
      </x:c>
      <x:c r="D10" s="35" t="n">
        <x:v>1816.6750000000002</x:v>
      </x:c>
      <x:c r="E10" s="35" t="n">
        <x:v>633.3249999999998</x:v>
      </x:c>
      <x:c r="F10" s="35" t="n">
        <x:v>0</x:v>
      </x:c>
      <x:c r="G10" s="35" t="str">
        <x:v>Theo dõi theo dự án</x:v>
      </x:c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5" t="str">
        <x:v>DA03</x:v>
      </x:c>
      <x:c r="B11" s="35" t="str">
        <x:v>Vay ngân hàng</x:v>
      </x:c>
      <x:c r="C11" s="35" t="n">
        <x:v>4410</x:v>
      </x:c>
      <x:c r="D11" s="35" t="n">
        <x:v>3270.0150000000003</x:v>
      </x:c>
      <x:c r="E11" s="35" t="n">
        <x:v>1139.9849999999997</x:v>
      </x:c>
      <x:c r="F11" s="35" t="n">
        <x:v>0.095</x:v>
      </x:c>
      <x:c r="G11" s="35" t="str">
        <x:v>Theo dõi theo dự án</x:v>
      </x:c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5" t="str">
        <x:v>DA03</x:v>
      </x:c>
      <x:c r="B12" s="35" t="str">
        <x:v>Tiền khách hàng</x:v>
      </x:c>
      <x:c r="C12" s="35" t="n">
        <x:v>2940</x:v>
      </x:c>
      <x:c r="D12" s="35" t="n">
        <x:v>2180.01</x:v>
      </x:c>
      <x:c r="E12" s="35" t="n">
        <x:v>759.9899999999998</x:v>
      </x:c>
      <x:c r="F12" s="35" t="n">
        <x:v>0</x:v>
      </x:c>
      <x:c r="G12" s="35" t="str">
        <x:v>Theo dõi theo dự án</x:v>
      </x:c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5" t="str">
        <x:v>DA04</x:v>
      </x:c>
      <x:c r="B13" s="35" t="str">
        <x:v>Vốn chủ sở hữu</x:v>
      </x:c>
      <x:c r="C13" s="35" t="n">
        <x:v>2100</x:v>
      </x:c>
      <x:c r="D13" s="35" t="n">
        <x:v>1680</x:v>
      </x:c>
      <x:c r="E13" s="35" t="n">
        <x:v>420</x:v>
      </x:c>
      <x:c r="F13" s="35" t="n">
        <x:v>0</x:v>
      </x:c>
      <x:c r="G13" s="35" t="str">
        <x:v>Theo dõi theo dự án</x:v>
      </x:c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5" t="str">
        <x:v>DA04</x:v>
      </x:c>
      <x:c r="B14" s="35" t="str">
        <x:v>Vay ngân hàng</x:v>
      </x:c>
      <x:c r="C14" s="35" t="n">
        <x:v>3780</x:v>
      </x:c>
      <x:c r="D14" s="35" t="n">
        <x:v>3024</x:v>
      </x:c>
      <x:c r="E14" s="35" t="n">
        <x:v>756</x:v>
      </x:c>
      <x:c r="F14" s="35" t="n">
        <x:v>0.095</x:v>
      </x:c>
      <x:c r="G14" s="35" t="str">
        <x:v>Theo dõi theo dự án</x:v>
      </x:c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5" t="str">
        <x:v>DA04</x:v>
      </x:c>
      <x:c r="B15" s="35" t="str">
        <x:v>Tiền khách hàng</x:v>
      </x:c>
      <x:c r="C15" s="35" t="n">
        <x:v>2520</x:v>
      </x:c>
      <x:c r="D15" s="35" t="n">
        <x:v>2016</x:v>
      </x:c>
      <x:c r="E15" s="35" t="n">
        <x:v>504</x:v>
      </x:c>
      <x:c r="F15" s="35" t="n">
        <x:v>0</x:v>
      </x:c>
      <x:c r="G15" s="35" t="str">
        <x:v>Theo dõi theo dự án</x:v>
      </x:c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5" t="str">
        <x:v>DA05</x:v>
      </x:c>
      <x:c r="B16" s="35" t="str">
        <x:v>Vốn chủ sở hữu</x:v>
      </x:c>
      <x:c r="C16" s="35" t="n">
        <x:v>1550</x:v>
      </x:c>
      <x:c r="D16" s="35" t="n">
        <x:v>1240</x:v>
      </x:c>
      <x:c r="E16" s="35" t="n">
        <x:v>310</x:v>
      </x:c>
      <x:c r="F16" s="35" t="n">
        <x:v>0</x:v>
      </x:c>
      <x:c r="G16" s="35" t="str">
        <x:v>Theo dõi theo dự án</x:v>
      </x:c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5" t="str">
        <x:v>DA05</x:v>
      </x:c>
      <x:c r="B17" s="35" t="str">
        <x:v>Vay ngân hàng</x:v>
      </x:c>
      <x:c r="C17" s="35" t="n">
        <x:v>2790</x:v>
      </x:c>
      <x:c r="D17" s="35" t="n">
        <x:v>2232</x:v>
      </x:c>
      <x:c r="E17" s="35" t="n">
        <x:v>558</x:v>
      </x:c>
      <x:c r="F17" s="35" t="n">
        <x:v>0.095</x:v>
      </x:c>
      <x:c r="G17" s="35" t="str">
        <x:v>Theo dõi theo dự án</x:v>
      </x:c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5" t="str">
        <x:v>DA05</x:v>
      </x:c>
      <x:c r="B18" s="35" t="str">
        <x:v>Tiền khách hàng</x:v>
      </x:c>
      <x:c r="C18" s="35" t="n">
        <x:v>1860</x:v>
      </x:c>
      <x:c r="D18" s="35" t="n">
        <x:v>1488</x:v>
      </x:c>
      <x:c r="E18" s="35" t="n">
        <x:v>372</x:v>
      </x:c>
      <x:c r="F18" s="35" t="n">
        <x:v>0</x:v>
      </x:c>
      <x:c r="G18" s="35" t="str">
        <x:v>Theo dõi theo dự án</x:v>
      </x:c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5" t="str">
        <x:v>DA06</x:v>
      </x:c>
      <x:c r="B19" s="35" t="str">
        <x:v>Vốn chủ sở hữu</x:v>
      </x:c>
      <x:c r="C19" s="35" t="n">
        <x:v>1125</x:v>
      </x:c>
      <x:c r="D19" s="35" t="n">
        <x:v>278.4375</x:v>
      </x:c>
      <x:c r="E19" s="35" t="n">
        <x:v>846.5625</x:v>
      </x:c>
      <x:c r="F19" s="35" t="n">
        <x:v>0</x:v>
      </x:c>
      <x:c r="G19" s="35" t="str">
        <x:v>Theo dõi theo dự án</x:v>
      </x:c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5" t="str">
        <x:v>DA06</x:v>
      </x:c>
      <x:c r="B20" s="35" t="str">
        <x:v>Vay ngân hàng</x:v>
      </x:c>
      <x:c r="C20" s="35" t="n">
        <x:v>2025</x:v>
      </x:c>
      <x:c r="D20" s="35" t="n">
        <x:v>501.1875</x:v>
      </x:c>
      <x:c r="E20" s="35" t="n">
        <x:v>1523.8125</x:v>
      </x:c>
      <x:c r="F20" s="35" t="n">
        <x:v>0.095</x:v>
      </x:c>
      <x:c r="G20" s="35" t="str">
        <x:v>Theo dõi theo dự án</x:v>
      </x:c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5" t="str">
        <x:v>DA06</x:v>
      </x:c>
      <x:c r="B21" s="35" t="str">
        <x:v>Tiền khách hàng</x:v>
      </x:c>
      <x:c r="C21" s="35" t="n">
        <x:v>1350</x:v>
      </x:c>
      <x:c r="D21" s="35" t="n">
        <x:v>334.125</x:v>
      </x:c>
      <x:c r="E21" s="35" t="n">
        <x:v>1015.875</x:v>
      </x:c>
      <x:c r="F21" s="35" t="n">
        <x:v>0</x:v>
      </x:c>
      <x:c r="G21" s="35" t="str">
        <x:v>Theo dõi theo dự án</x:v>
      </x:c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3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  <x:c r="M207" s="3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  <x:c r="M209" s="3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  <x:c r="M210" s="3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  <x:c r="M211" s="3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  <x:c r="M212" s="3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  <x:c r="M213" s="3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  <x:c r="M214" s="3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  <x:c r="M216" s="3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  <x:c r="M217" s="3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  <x:c r="M218" s="3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  <x:c r="M219" s="3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  <x:c r="M220" s="3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  <x:c r="M221" s="3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  <x:c r="M222" s="3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  <x:c r="M223" s="3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  <x:c r="M224" s="3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3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3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3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3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3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3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3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3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3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3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3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3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3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3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3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3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3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3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3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3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3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3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3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3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  <x:c r="L251" s="33"/>
      <x:c r="M251" s="3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33"/>
      <x:c r="K252" s="33"/>
      <x:c r="L252" s="33"/>
      <x:c r="M252" s="3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33"/>
      <x:c r="K253" s="33"/>
      <x:c r="L253" s="33"/>
      <x:c r="M253" s="3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33"/>
      <x:c r="K254" s="33"/>
      <x:c r="L254" s="33"/>
      <x:c r="M254" s="3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33"/>
      <x:c r="K255" s="33"/>
      <x:c r="L255" s="33"/>
      <x:c r="M255" s="3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33"/>
      <x:c r="K256" s="33"/>
      <x:c r="L256" s="33"/>
      <x:c r="M256" s="3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33"/>
      <x:c r="K257" s="33"/>
      <x:c r="L257" s="33"/>
      <x:c r="M257" s="3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33"/>
      <x:c r="K258" s="33"/>
      <x:c r="L258" s="33"/>
      <x:c r="M258" s="3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33"/>
      <x:c r="K259" s="33"/>
      <x:c r="L259" s="33"/>
      <x:c r="M259" s="3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33"/>
      <x:c r="K260" s="33"/>
      <x:c r="L260" s="33"/>
      <x:c r="M260" s="3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33"/>
      <x:c r="K261" s="33"/>
      <x:c r="L261" s="33"/>
      <x:c r="M261" s="3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33"/>
      <x:c r="K262" s="33"/>
      <x:c r="L262" s="33"/>
      <x:c r="M262" s="3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  <x:c r="L263" s="33"/>
      <x:c r="M263" s="3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33"/>
      <x:c r="K264" s="33"/>
      <x:c r="L264" s="33"/>
      <x:c r="M264" s="3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33"/>
      <x:c r="K265" s="33"/>
      <x:c r="L265" s="33"/>
      <x:c r="M265" s="3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33"/>
      <x:c r="K266" s="33"/>
      <x:c r="L266" s="33"/>
      <x:c r="M266" s="3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33"/>
      <x:c r="K267" s="33"/>
      <x:c r="L267" s="33"/>
      <x:c r="M267" s="3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33"/>
      <x:c r="K268" s="33"/>
      <x:c r="L268" s="33"/>
      <x:c r="M268" s="3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33"/>
      <x:c r="K269" s="33"/>
      <x:c r="L269" s="33"/>
      <x:c r="M269" s="3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33"/>
      <x:c r="K270" s="33"/>
      <x:c r="L270" s="33"/>
      <x:c r="M270" s="3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33"/>
      <x:c r="K271" s="33"/>
      <x:c r="L271" s="33"/>
      <x:c r="M271" s="3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33"/>
      <x:c r="K272" s="33"/>
      <x:c r="L272" s="33"/>
      <x:c r="M272" s="3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33"/>
      <x:c r="K273" s="33"/>
      <x:c r="L273" s="33"/>
      <x:c r="M273" s="3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33"/>
      <x:c r="K274" s="33"/>
      <x:c r="L274" s="33"/>
      <x:c r="M274" s="3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  <x:c r="L275" s="33"/>
      <x:c r="M275" s="3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33"/>
      <x:c r="K276" s="33"/>
      <x:c r="L276" s="33"/>
      <x:c r="M276" s="3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33"/>
      <x:c r="K277" s="33"/>
      <x:c r="L277" s="33"/>
      <x:c r="M277" s="3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33"/>
      <x:c r="K278" s="33"/>
      <x:c r="L278" s="33"/>
      <x:c r="M278" s="3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33"/>
      <x:c r="K279" s="33"/>
      <x:c r="L279" s="33"/>
      <x:c r="M279" s="3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33"/>
      <x:c r="K280" s="33"/>
      <x:c r="L280" s="33"/>
      <x:c r="M280" s="3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33"/>
      <x:c r="K281" s="33"/>
      <x:c r="L281" s="33"/>
      <x:c r="M281" s="3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33"/>
      <x:c r="K282" s="33"/>
      <x:c r="L282" s="33"/>
      <x:c r="M282" s="3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33"/>
      <x:c r="K283" s="33"/>
      <x:c r="L283" s="33"/>
      <x:c r="M283" s="3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33"/>
      <x:c r="K284" s="33"/>
      <x:c r="L284" s="33"/>
      <x:c r="M284" s="3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33"/>
      <x:c r="K285" s="33"/>
      <x:c r="L285" s="33"/>
      <x:c r="M285" s="3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33"/>
      <x:c r="K286" s="33"/>
      <x:c r="L286" s="33"/>
      <x:c r="M286" s="3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  <x:c r="M287" s="3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33"/>
      <x:c r="K288" s="33"/>
      <x:c r="L288" s="33"/>
      <x:c r="M288" s="3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33"/>
      <x:c r="K289" s="33"/>
      <x:c r="L289" s="33"/>
      <x:c r="M289" s="3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33"/>
      <x:c r="K290" s="33"/>
      <x:c r="L290" s="33"/>
      <x:c r="M290" s="3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33"/>
      <x:c r="K291" s="33"/>
      <x:c r="L291" s="33"/>
      <x:c r="M291" s="3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33"/>
      <x:c r="K292" s="33"/>
      <x:c r="L292" s="33"/>
      <x:c r="M292" s="3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33"/>
      <x:c r="K293" s="33"/>
      <x:c r="L293" s="33"/>
      <x:c r="M293" s="3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33"/>
      <x:c r="K294" s="33"/>
      <x:c r="L294" s="33"/>
      <x:c r="M294" s="3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33"/>
      <x:c r="K295" s="33"/>
      <x:c r="L295" s="33"/>
      <x:c r="M295" s="3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33"/>
      <x:c r="K296" s="33"/>
      <x:c r="L296" s="33"/>
      <x:c r="M296" s="3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33"/>
      <x:c r="K297" s="33"/>
      <x:c r="L297" s="33"/>
      <x:c r="M297" s="3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33"/>
      <x:c r="K298" s="33"/>
      <x:c r="L298" s="33"/>
      <x:c r="M298" s="3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  <x:c r="M299" s="3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33"/>
      <x:c r="K300" s="33"/>
      <x:c r="L300" s="33"/>
      <x:c r="M300" s="3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>
      <x:c r="A301" s="33"/>
      <x:c r="B301" s="33"/>
      <x:c r="C301" s="33"/>
      <x:c r="D301" s="33"/>
      <x:c r="E301" s="33"/>
      <x:c r="F301" s="33"/>
      <x:c r="G301" s="33"/>
      <x:c r="H301" s="33"/>
      <x:c r="I301" s="33"/>
      <x:c r="J301" s="33"/>
      <x:c r="K301" s="33"/>
      <x:c r="L301" s="33"/>
      <x:c r="M301" s="3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>
      <x:c r="A302" s="33"/>
      <x:c r="B302" s="33"/>
      <x:c r="C302" s="33"/>
      <x:c r="D302" s="33"/>
      <x:c r="E302" s="33"/>
      <x:c r="F302" s="33"/>
      <x:c r="G302" s="33"/>
      <x:c r="H302" s="33"/>
      <x:c r="I302" s="33"/>
      <x:c r="J302" s="33"/>
      <x:c r="K302" s="33"/>
      <x:c r="L302" s="33"/>
      <x:c r="M302" s="3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>
      <x:c r="A303" s="33"/>
      <x:c r="B303" s="33"/>
      <x:c r="C303" s="33"/>
      <x:c r="D303" s="33"/>
      <x:c r="E303" s="33"/>
      <x:c r="F303" s="33"/>
      <x:c r="G303" s="33"/>
      <x:c r="H303" s="33"/>
      <x:c r="I303" s="33"/>
      <x:c r="J303" s="33"/>
      <x:c r="K303" s="33"/>
      <x:c r="L303" s="33"/>
      <x:c r="M303" s="3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>
      <x:c r="A304" s="33"/>
      <x:c r="B304" s="33"/>
      <x:c r="C304" s="33"/>
      <x:c r="D304" s="33"/>
      <x:c r="E304" s="33"/>
      <x:c r="F304" s="33"/>
      <x:c r="G304" s="33"/>
      <x:c r="H304" s="33"/>
      <x:c r="I304" s="33"/>
      <x:c r="J304" s="33"/>
      <x:c r="K304" s="33"/>
      <x:c r="L304" s="33"/>
      <x:c r="M304" s="3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>
      <x:c r="A305" s="33"/>
      <x:c r="B305" s="33"/>
      <x:c r="C305" s="33"/>
      <x:c r="D305" s="33"/>
      <x:c r="E305" s="33"/>
      <x:c r="F305" s="33"/>
      <x:c r="G305" s="33"/>
      <x:c r="H305" s="33"/>
      <x:c r="I305" s="33"/>
      <x:c r="J305" s="33"/>
      <x:c r="K305" s="33"/>
      <x:c r="L305" s="33"/>
      <x:c r="M305" s="3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>
      <x:c r="A306" s="33"/>
      <x:c r="B306" s="33"/>
      <x:c r="C306" s="33"/>
      <x:c r="D306" s="33"/>
      <x:c r="E306" s="33"/>
      <x:c r="F306" s="33"/>
      <x:c r="G306" s="33"/>
      <x:c r="H306" s="33"/>
      <x:c r="I306" s="33"/>
      <x:c r="J306" s="33"/>
      <x:c r="K306" s="33"/>
      <x:c r="L306" s="33"/>
      <x:c r="M306" s="3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>
      <x:c r="A307" s="33"/>
      <x:c r="B307" s="33"/>
      <x:c r="C307" s="33"/>
      <x:c r="D307" s="33"/>
      <x:c r="E307" s="33"/>
      <x:c r="F307" s="33"/>
      <x:c r="G307" s="33"/>
      <x:c r="H307" s="33"/>
      <x:c r="I307" s="33"/>
      <x:c r="J307" s="33"/>
      <x:c r="K307" s="33"/>
      <x:c r="L307" s="33"/>
      <x:c r="M307" s="3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>
      <x:c r="A308" s="33"/>
      <x:c r="B308" s="33"/>
      <x:c r="C308" s="33"/>
      <x:c r="D308" s="33"/>
      <x:c r="E308" s="33"/>
      <x:c r="F308" s="33"/>
      <x:c r="G308" s="33"/>
      <x:c r="H308" s="33"/>
      <x:c r="I308" s="33"/>
      <x:c r="J308" s="33"/>
      <x:c r="K308" s="33"/>
      <x:c r="L308" s="33"/>
      <x:c r="M308" s="3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>
      <x:c r="A309" s="33"/>
      <x:c r="B309" s="33"/>
      <x:c r="C309" s="33"/>
      <x:c r="D309" s="33"/>
      <x:c r="E309" s="33"/>
      <x:c r="F309" s="33"/>
      <x:c r="G309" s="33"/>
      <x:c r="H309" s="33"/>
      <x:c r="I309" s="33"/>
      <x:c r="J309" s="33"/>
      <x:c r="K309" s="33"/>
      <x:c r="L309" s="33"/>
      <x:c r="M309" s="3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>
      <x:c r="A310" s="33"/>
      <x:c r="B310" s="33"/>
      <x:c r="C310" s="33"/>
      <x:c r="D310" s="33"/>
      <x:c r="E310" s="33"/>
      <x:c r="F310" s="33"/>
      <x:c r="G310" s="33"/>
      <x:c r="H310" s="33"/>
      <x:c r="I310" s="33"/>
      <x:c r="J310" s="33"/>
      <x:c r="K310" s="33"/>
      <x:c r="L310" s="33"/>
      <x:c r="M310" s="3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33"/>
      <x:c r="K311" s="33"/>
      <x:c r="L311" s="33"/>
      <x:c r="M311" s="3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>
      <x:c r="A312" s="33"/>
      <x:c r="B312" s="33"/>
      <x:c r="C312" s="33"/>
      <x:c r="D312" s="33"/>
      <x:c r="E312" s="33"/>
      <x:c r="F312" s="33"/>
      <x:c r="G312" s="33"/>
      <x:c r="H312" s="33"/>
      <x:c r="I312" s="33"/>
      <x:c r="J312" s="33"/>
      <x:c r="K312" s="33"/>
      <x:c r="L312" s="33"/>
      <x:c r="M312" s="3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>
      <x:c r="A313" s="33"/>
      <x:c r="B313" s="33"/>
      <x:c r="C313" s="33"/>
      <x:c r="D313" s="33"/>
      <x:c r="E313" s="33"/>
      <x:c r="F313" s="33"/>
      <x:c r="G313" s="33"/>
      <x:c r="H313" s="33"/>
      <x:c r="I313" s="33"/>
      <x:c r="J313" s="33"/>
      <x:c r="K313" s="33"/>
      <x:c r="L313" s="33"/>
      <x:c r="M313" s="3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>
      <x:c r="A314" s="33"/>
      <x:c r="B314" s="33"/>
      <x:c r="C314" s="33"/>
      <x:c r="D314" s="33"/>
      <x:c r="E314" s="33"/>
      <x:c r="F314" s="33"/>
      <x:c r="G314" s="33"/>
      <x:c r="H314" s="33"/>
      <x:c r="I314" s="33"/>
      <x:c r="J314" s="33"/>
      <x:c r="K314" s="33"/>
      <x:c r="L314" s="33"/>
      <x:c r="M314" s="3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>
      <x:c r="A315" s="33"/>
      <x:c r="B315" s="33"/>
      <x:c r="C315" s="33"/>
      <x:c r="D315" s="33"/>
      <x:c r="E315" s="33"/>
      <x:c r="F315" s="33"/>
      <x:c r="G315" s="33"/>
      <x:c r="H315" s="33"/>
      <x:c r="I315" s="33"/>
      <x:c r="J315" s="33"/>
      <x:c r="K315" s="33"/>
      <x:c r="L315" s="33"/>
      <x:c r="M315" s="3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>
      <x:c r="A316" s="33"/>
      <x:c r="B316" s="33"/>
      <x:c r="C316" s="33"/>
      <x:c r="D316" s="33"/>
      <x:c r="E316" s="33"/>
      <x:c r="F316" s="33"/>
      <x:c r="G316" s="33"/>
      <x:c r="H316" s="33"/>
      <x:c r="I316" s="33"/>
      <x:c r="J316" s="33"/>
      <x:c r="K316" s="33"/>
      <x:c r="L316" s="33"/>
      <x:c r="M316" s="3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>
      <x:c r="A317" s="33"/>
      <x:c r="B317" s="33"/>
      <x:c r="C317" s="33"/>
      <x:c r="D317" s="33"/>
      <x:c r="E317" s="33"/>
      <x:c r="F317" s="33"/>
      <x:c r="G317" s="33"/>
      <x:c r="H317" s="33"/>
      <x:c r="I317" s="33"/>
      <x:c r="J317" s="33"/>
      <x:c r="K317" s="33"/>
      <x:c r="L317" s="33"/>
      <x:c r="M317" s="3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>
      <x:c r="A318" s="33"/>
      <x:c r="B318" s="33"/>
      <x:c r="C318" s="33"/>
      <x:c r="D318" s="33"/>
      <x:c r="E318" s="33"/>
      <x:c r="F318" s="33"/>
      <x:c r="G318" s="33"/>
      <x:c r="H318" s="33"/>
      <x:c r="I318" s="33"/>
      <x:c r="J318" s="33"/>
      <x:c r="K318" s="33"/>
      <x:c r="L318" s="33"/>
      <x:c r="M318" s="3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>
      <x:c r="A319" s="33"/>
      <x:c r="B319" s="33"/>
      <x:c r="C319" s="33"/>
      <x:c r="D319" s="33"/>
      <x:c r="E319" s="33"/>
      <x:c r="F319" s="33"/>
      <x:c r="G319" s="33"/>
      <x:c r="H319" s="33"/>
      <x:c r="I319" s="33"/>
      <x:c r="J319" s="33"/>
      <x:c r="K319" s="33"/>
      <x:c r="L319" s="33"/>
      <x:c r="M319" s="3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>
      <x:c r="A320" s="33"/>
      <x:c r="B320" s="33"/>
      <x:c r="C320" s="33"/>
      <x:c r="D320" s="33"/>
      <x:c r="E320" s="33"/>
      <x:c r="F320" s="33"/>
      <x:c r="G320" s="33"/>
      <x:c r="H320" s="33"/>
      <x:c r="I320" s="33"/>
      <x:c r="J320" s="33"/>
      <x:c r="K320" s="33"/>
      <x:c r="L320" s="33"/>
      <x:c r="M320" s="3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>
      <x:c r="A321" s="33"/>
      <x:c r="B321" s="33"/>
      <x:c r="C321" s="33"/>
      <x:c r="D321" s="33"/>
      <x:c r="E321" s="33"/>
      <x:c r="F321" s="33"/>
      <x:c r="G321" s="33"/>
      <x:c r="H321" s="33"/>
      <x:c r="I321" s="33"/>
      <x:c r="J321" s="33"/>
      <x:c r="K321" s="33"/>
      <x:c r="L321" s="33"/>
      <x:c r="M321" s="3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>
      <x:c r="A322" s="33"/>
      <x:c r="B322" s="33"/>
      <x:c r="C322" s="33"/>
      <x:c r="D322" s="33"/>
      <x:c r="E322" s="33"/>
      <x:c r="F322" s="33"/>
      <x:c r="G322" s="33"/>
      <x:c r="H322" s="33"/>
      <x:c r="I322" s="33"/>
      <x:c r="J322" s="33"/>
      <x:c r="K322" s="33"/>
      <x:c r="L322" s="33"/>
      <x:c r="M322" s="3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33"/>
      <x:c r="K323" s="33"/>
      <x:c r="L323" s="33"/>
      <x:c r="M323" s="3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>
      <x:c r="A324" s="33"/>
      <x:c r="B324" s="33"/>
      <x:c r="C324" s="33"/>
      <x:c r="D324" s="33"/>
      <x:c r="E324" s="33"/>
      <x:c r="F324" s="33"/>
      <x:c r="G324" s="33"/>
      <x:c r="H324" s="33"/>
      <x:c r="I324" s="33"/>
      <x:c r="J324" s="33"/>
      <x:c r="K324" s="33"/>
      <x:c r="L324" s="33"/>
      <x:c r="M324" s="3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>
      <x:c r="A325" s="33"/>
      <x:c r="B325" s="33"/>
      <x:c r="C325" s="33"/>
      <x:c r="D325" s="33"/>
      <x:c r="E325" s="33"/>
      <x:c r="F325" s="33"/>
      <x:c r="G325" s="33"/>
      <x:c r="H325" s="33"/>
      <x:c r="I325" s="33"/>
      <x:c r="J325" s="33"/>
      <x:c r="K325" s="33"/>
      <x:c r="L325" s="33"/>
      <x:c r="M325" s="3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>
      <x:c r="A326" s="33"/>
      <x:c r="B326" s="33"/>
      <x:c r="C326" s="33"/>
      <x:c r="D326" s="33"/>
      <x:c r="E326" s="33"/>
      <x:c r="F326" s="33"/>
      <x:c r="G326" s="33"/>
      <x:c r="H326" s="33"/>
      <x:c r="I326" s="33"/>
      <x:c r="J326" s="33"/>
      <x:c r="K326" s="33"/>
      <x:c r="L326" s="33"/>
      <x:c r="M326" s="3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>
      <x:c r="A327" s="33"/>
      <x:c r="B327" s="33"/>
      <x:c r="C327" s="33"/>
      <x:c r="D327" s="33"/>
      <x:c r="E327" s="33"/>
      <x:c r="F327" s="33"/>
      <x:c r="G327" s="33"/>
      <x:c r="H327" s="33"/>
      <x:c r="I327" s="33"/>
      <x:c r="J327" s="33"/>
      <x:c r="K327" s="33"/>
      <x:c r="L327" s="33"/>
      <x:c r="M327" s="3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>
      <x:c r="A328" s="33"/>
      <x:c r="B328" s="33"/>
      <x:c r="C328" s="33"/>
      <x:c r="D328" s="33"/>
      <x:c r="E328" s="33"/>
      <x:c r="F328" s="33"/>
      <x:c r="G328" s="33"/>
      <x:c r="H328" s="33"/>
      <x:c r="I328" s="33"/>
      <x:c r="J328" s="33"/>
      <x:c r="K328" s="33"/>
      <x:c r="L328" s="33"/>
      <x:c r="M328" s="3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>
      <x:c r="A329" s="33"/>
      <x:c r="B329" s="33"/>
      <x:c r="C329" s="33"/>
      <x:c r="D329" s="33"/>
      <x:c r="E329" s="33"/>
      <x:c r="F329" s="33"/>
      <x:c r="G329" s="33"/>
      <x:c r="H329" s="33"/>
      <x:c r="I329" s="33"/>
      <x:c r="J329" s="33"/>
      <x:c r="K329" s="33"/>
      <x:c r="L329" s="33"/>
      <x:c r="M329" s="3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>
      <x:c r="A330" s="33"/>
      <x:c r="B330" s="33"/>
      <x:c r="C330" s="33"/>
      <x:c r="D330" s="33"/>
      <x:c r="E330" s="33"/>
      <x:c r="F330" s="33"/>
      <x:c r="G330" s="33"/>
      <x:c r="H330" s="33"/>
      <x:c r="I330" s="33"/>
      <x:c r="J330" s="33"/>
      <x:c r="K330" s="33"/>
      <x:c r="L330" s="33"/>
      <x:c r="M330" s="3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>
      <x:c r="A331" s="33"/>
      <x:c r="B331" s="33"/>
      <x:c r="C331" s="33"/>
      <x:c r="D331" s="33"/>
      <x:c r="E331" s="33"/>
      <x:c r="F331" s="33"/>
      <x:c r="G331" s="33"/>
      <x:c r="H331" s="33"/>
      <x:c r="I331" s="33"/>
      <x:c r="J331" s="33"/>
      <x:c r="K331" s="33"/>
      <x:c r="L331" s="33"/>
      <x:c r="M331" s="3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>
      <x:c r="A332" s="33"/>
      <x:c r="B332" s="33"/>
      <x:c r="C332" s="33"/>
      <x:c r="D332" s="33"/>
      <x:c r="E332" s="33"/>
      <x:c r="F332" s="33"/>
      <x:c r="G332" s="33"/>
      <x:c r="H332" s="33"/>
      <x:c r="I332" s="33"/>
      <x:c r="J332" s="33"/>
      <x:c r="K332" s="33"/>
      <x:c r="L332" s="33"/>
      <x:c r="M332" s="3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>
      <x:c r="A333" s="33"/>
      <x:c r="B333" s="33"/>
      <x:c r="C333" s="33"/>
      <x:c r="D333" s="33"/>
      <x:c r="E333" s="33"/>
      <x:c r="F333" s="33"/>
      <x:c r="G333" s="33"/>
      <x:c r="H333" s="33"/>
      <x:c r="I333" s="33"/>
      <x:c r="J333" s="33"/>
      <x:c r="K333" s="33"/>
      <x:c r="L333" s="33"/>
      <x:c r="M333" s="3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>
      <x:c r="A334" s="33"/>
      <x:c r="B334" s="33"/>
      <x:c r="C334" s="33"/>
      <x:c r="D334" s="33"/>
      <x:c r="E334" s="33"/>
      <x:c r="F334" s="33"/>
      <x:c r="G334" s="33"/>
      <x:c r="H334" s="33"/>
      <x:c r="I334" s="33"/>
      <x:c r="J334" s="33"/>
      <x:c r="K334" s="33"/>
      <x:c r="L334" s="33"/>
      <x:c r="M334" s="3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33"/>
      <x:c r="K335" s="33"/>
      <x:c r="L335" s="33"/>
      <x:c r="M335" s="3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>
      <x:c r="A336" s="33"/>
      <x:c r="B336" s="33"/>
      <x:c r="C336" s="33"/>
      <x:c r="D336" s="33"/>
      <x:c r="E336" s="33"/>
      <x:c r="F336" s="33"/>
      <x:c r="G336" s="33"/>
      <x:c r="H336" s="33"/>
      <x:c r="I336" s="33"/>
      <x:c r="J336" s="33"/>
      <x:c r="K336" s="33"/>
      <x:c r="L336" s="33"/>
      <x:c r="M336" s="3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>
      <x:c r="A337" s="33"/>
      <x:c r="B337" s="33"/>
      <x:c r="C337" s="33"/>
      <x:c r="D337" s="33"/>
      <x:c r="E337" s="33"/>
      <x:c r="F337" s="33"/>
      <x:c r="G337" s="33"/>
      <x:c r="H337" s="33"/>
      <x:c r="I337" s="33"/>
      <x:c r="J337" s="33"/>
      <x:c r="K337" s="33"/>
      <x:c r="L337" s="33"/>
      <x:c r="M337" s="3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>
      <x:c r="A338" s="33"/>
      <x:c r="B338" s="33"/>
      <x:c r="C338" s="33"/>
      <x:c r="D338" s="33"/>
      <x:c r="E338" s="33"/>
      <x:c r="F338" s="33"/>
      <x:c r="G338" s="33"/>
      <x:c r="H338" s="33"/>
      <x:c r="I338" s="33"/>
      <x:c r="J338" s="33"/>
      <x:c r="K338" s="33"/>
      <x:c r="L338" s="33"/>
      <x:c r="M338" s="3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>
      <x:c r="A339" s="33"/>
      <x:c r="B339" s="33"/>
      <x:c r="C339" s="33"/>
      <x:c r="D339" s="33"/>
      <x:c r="E339" s="33"/>
      <x:c r="F339" s="33"/>
      <x:c r="G339" s="33"/>
      <x:c r="H339" s="33"/>
      <x:c r="I339" s="33"/>
      <x:c r="J339" s="33"/>
      <x:c r="K339" s="33"/>
      <x:c r="L339" s="33"/>
      <x:c r="M339" s="3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>
      <x:c r="A340" s="33"/>
      <x:c r="B340" s="33"/>
      <x:c r="C340" s="33"/>
      <x:c r="D340" s="33"/>
      <x:c r="E340" s="33"/>
      <x:c r="F340" s="33"/>
      <x:c r="G340" s="33"/>
      <x:c r="H340" s="33"/>
      <x:c r="I340" s="33"/>
      <x:c r="J340" s="33"/>
      <x:c r="K340" s="33"/>
      <x:c r="L340" s="33"/>
      <x:c r="M340" s="3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>
      <x:c r="A341" s="33"/>
      <x:c r="B341" s="33"/>
      <x:c r="C341" s="33"/>
      <x:c r="D341" s="33"/>
      <x:c r="E341" s="33"/>
      <x:c r="F341" s="33"/>
      <x:c r="G341" s="33"/>
      <x:c r="H341" s="33"/>
      <x:c r="I341" s="33"/>
      <x:c r="J341" s="33"/>
      <x:c r="K341" s="33"/>
      <x:c r="L341" s="33"/>
      <x:c r="M341" s="3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>
      <x:c r="A342" s="33"/>
      <x:c r="B342" s="33"/>
      <x:c r="C342" s="33"/>
      <x:c r="D342" s="33"/>
      <x:c r="E342" s="33"/>
      <x:c r="F342" s="33"/>
      <x:c r="G342" s="33"/>
      <x:c r="H342" s="33"/>
      <x:c r="I342" s="33"/>
      <x:c r="J342" s="33"/>
      <x:c r="K342" s="33"/>
      <x:c r="L342" s="33"/>
      <x:c r="M342" s="3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>
      <x:c r="A343" s="33"/>
      <x:c r="B343" s="33"/>
      <x:c r="C343" s="33"/>
      <x:c r="D343" s="33"/>
      <x:c r="E343" s="33"/>
      <x:c r="F343" s="33"/>
      <x:c r="G343" s="33"/>
      <x:c r="H343" s="33"/>
      <x:c r="I343" s="33"/>
      <x:c r="J343" s="33"/>
      <x:c r="K343" s="33"/>
      <x:c r="L343" s="33"/>
      <x:c r="M343" s="3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>
      <x:c r="A344" s="33"/>
      <x:c r="B344" s="33"/>
      <x:c r="C344" s="33"/>
      <x:c r="D344" s="33"/>
      <x:c r="E344" s="33"/>
      <x:c r="F344" s="33"/>
      <x:c r="G344" s="33"/>
      <x:c r="H344" s="33"/>
      <x:c r="I344" s="33"/>
      <x:c r="J344" s="33"/>
      <x:c r="K344" s="33"/>
      <x:c r="L344" s="33"/>
      <x:c r="M344" s="3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>
      <x:c r="A345" s="33"/>
      <x:c r="B345" s="33"/>
      <x:c r="C345" s="33"/>
      <x:c r="D345" s="33"/>
      <x:c r="E345" s="33"/>
      <x:c r="F345" s="33"/>
      <x:c r="G345" s="33"/>
      <x:c r="H345" s="33"/>
      <x:c r="I345" s="33"/>
      <x:c r="J345" s="33"/>
      <x:c r="K345" s="33"/>
      <x:c r="L345" s="33"/>
      <x:c r="M345" s="3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>
      <x:c r="A346" s="33"/>
      <x:c r="B346" s="33"/>
      <x:c r="C346" s="33"/>
      <x:c r="D346" s="33"/>
      <x:c r="E346" s="33"/>
      <x:c r="F346" s="33"/>
      <x:c r="G346" s="33"/>
      <x:c r="H346" s="33"/>
      <x:c r="I346" s="33"/>
      <x:c r="J346" s="33"/>
      <x:c r="K346" s="33"/>
      <x:c r="L346" s="33"/>
      <x:c r="M346" s="3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33"/>
      <x:c r="K347" s="33"/>
      <x:c r="L347" s="33"/>
      <x:c r="M347" s="3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>
      <x:c r="A348" s="33"/>
      <x:c r="B348" s="33"/>
      <x:c r="C348" s="33"/>
      <x:c r="D348" s="33"/>
      <x:c r="E348" s="33"/>
      <x:c r="F348" s="33"/>
      <x:c r="G348" s="33"/>
      <x:c r="H348" s="33"/>
      <x:c r="I348" s="33"/>
      <x:c r="J348" s="33"/>
      <x:c r="K348" s="33"/>
      <x:c r="L348" s="33"/>
      <x:c r="M348" s="3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>
      <x:c r="A349" s="33"/>
      <x:c r="B349" s="33"/>
      <x:c r="C349" s="33"/>
      <x:c r="D349" s="33"/>
      <x:c r="E349" s="33"/>
      <x:c r="F349" s="33"/>
      <x:c r="G349" s="33"/>
      <x:c r="H349" s="33"/>
      <x:c r="I349" s="33"/>
      <x:c r="J349" s="33"/>
      <x:c r="K349" s="33"/>
      <x:c r="L349" s="33"/>
      <x:c r="M349" s="3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>
      <x:c r="A350" s="33"/>
      <x:c r="B350" s="33"/>
      <x:c r="C350" s="33"/>
      <x:c r="D350" s="33"/>
      <x:c r="E350" s="33"/>
      <x:c r="F350" s="33"/>
      <x:c r="G350" s="33"/>
      <x:c r="H350" s="33"/>
      <x:c r="I350" s="33"/>
      <x:c r="J350" s="33"/>
      <x:c r="K350" s="33"/>
      <x:c r="L350" s="33"/>
      <x:c r="M350" s="3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>
      <x:c r="A351" s="33"/>
      <x:c r="B351" s="33"/>
      <x:c r="C351" s="33"/>
      <x:c r="D351" s="33"/>
      <x:c r="E351" s="33"/>
      <x:c r="F351" s="33"/>
      <x:c r="G351" s="33"/>
      <x:c r="H351" s="33"/>
      <x:c r="I351" s="33"/>
      <x:c r="J351" s="33"/>
      <x:c r="K351" s="33"/>
      <x:c r="L351" s="33"/>
      <x:c r="M351" s="3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>
      <x:c r="A352" s="33"/>
      <x:c r="B352" s="33"/>
      <x:c r="C352" s="33"/>
      <x:c r="D352" s="33"/>
      <x:c r="E352" s="33"/>
      <x:c r="F352" s="33"/>
      <x:c r="G352" s="33"/>
      <x:c r="H352" s="33"/>
      <x:c r="I352" s="33"/>
      <x:c r="J352" s="33"/>
      <x:c r="K352" s="33"/>
      <x:c r="L352" s="33"/>
      <x:c r="M352" s="3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>
      <x:c r="A353" s="33"/>
      <x:c r="B353" s="33"/>
      <x:c r="C353" s="33"/>
      <x:c r="D353" s="33"/>
      <x:c r="E353" s="33"/>
      <x:c r="F353" s="33"/>
      <x:c r="G353" s="33"/>
      <x:c r="H353" s="33"/>
      <x:c r="I353" s="33"/>
      <x:c r="J353" s="33"/>
      <x:c r="K353" s="33"/>
      <x:c r="L353" s="33"/>
      <x:c r="M353" s="3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>
      <x:c r="A354" s="33"/>
      <x:c r="B354" s="33"/>
      <x:c r="C354" s="33"/>
      <x:c r="D354" s="33"/>
      <x:c r="E354" s="33"/>
      <x:c r="F354" s="33"/>
      <x:c r="G354" s="33"/>
      <x:c r="H354" s="33"/>
      <x:c r="I354" s="33"/>
      <x:c r="J354" s="33"/>
      <x:c r="K354" s="33"/>
      <x:c r="L354" s="33"/>
      <x:c r="M354" s="3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>
      <x:c r="A355" s="33"/>
      <x:c r="B355" s="33"/>
      <x:c r="C355" s="33"/>
      <x:c r="D355" s="33"/>
      <x:c r="E355" s="33"/>
      <x:c r="F355" s="33"/>
      <x:c r="G355" s="33"/>
      <x:c r="H355" s="33"/>
      <x:c r="I355" s="33"/>
      <x:c r="J355" s="33"/>
      <x:c r="K355" s="33"/>
      <x:c r="L355" s="33"/>
      <x:c r="M355" s="3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>
      <x:c r="A356" s="33"/>
      <x:c r="B356" s="33"/>
      <x:c r="C356" s="33"/>
      <x:c r="D356" s="33"/>
      <x:c r="E356" s="33"/>
      <x:c r="F356" s="33"/>
      <x:c r="G356" s="33"/>
      <x:c r="H356" s="33"/>
      <x:c r="I356" s="33"/>
      <x:c r="J356" s="33"/>
      <x:c r="K356" s="33"/>
      <x:c r="L356" s="33"/>
      <x:c r="M356" s="3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>
      <x:c r="A357" s="33"/>
      <x:c r="B357" s="33"/>
      <x:c r="C357" s="33"/>
      <x:c r="D357" s="33"/>
      <x:c r="E357" s="33"/>
      <x:c r="F357" s="33"/>
      <x:c r="G357" s="33"/>
      <x:c r="H357" s="33"/>
      <x:c r="I357" s="33"/>
      <x:c r="J357" s="33"/>
      <x:c r="K357" s="33"/>
      <x:c r="L357" s="33"/>
      <x:c r="M357" s="3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>
      <x:c r="A358" s="33"/>
      <x:c r="B358" s="33"/>
      <x:c r="C358" s="33"/>
      <x:c r="D358" s="33"/>
      <x:c r="E358" s="33"/>
      <x:c r="F358" s="33"/>
      <x:c r="G358" s="33"/>
      <x:c r="H358" s="33"/>
      <x:c r="I358" s="33"/>
      <x:c r="J358" s="33"/>
      <x:c r="K358" s="33"/>
      <x:c r="L358" s="33"/>
      <x:c r="M358" s="3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>
      <x:c r="A359" s="33"/>
      <x:c r="B359" s="33"/>
      <x:c r="C359" s="33"/>
      <x:c r="D359" s="33"/>
      <x:c r="E359" s="33"/>
      <x:c r="F359" s="33"/>
      <x:c r="G359" s="33"/>
      <x:c r="H359" s="33"/>
      <x:c r="I359" s="33"/>
      <x:c r="J359" s="33"/>
      <x:c r="K359" s="33"/>
      <x:c r="L359" s="33"/>
      <x:c r="M359" s="3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33"/>
      <x:c r="K360" s="33"/>
      <x:c r="L360" s="33"/>
      <x:c r="M360" s="3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>
      <x:c r="A361" s="33"/>
      <x:c r="B361" s="33"/>
      <x:c r="C361" s="33"/>
      <x:c r="D361" s="33"/>
      <x:c r="E361" s="33"/>
      <x:c r="F361" s="33"/>
      <x:c r="G361" s="33"/>
      <x:c r="H361" s="33"/>
      <x:c r="I361" s="33"/>
      <x:c r="J361" s="33"/>
      <x:c r="K361" s="33"/>
      <x:c r="L361" s="33"/>
      <x:c r="M361" s="3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>
      <x:c r="A362" s="33"/>
      <x:c r="B362" s="33"/>
      <x:c r="C362" s="33"/>
      <x:c r="D362" s="33"/>
      <x:c r="E362" s="33"/>
      <x:c r="F362" s="33"/>
      <x:c r="G362" s="33"/>
      <x:c r="H362" s="33"/>
      <x:c r="I362" s="33"/>
      <x:c r="J362" s="33"/>
      <x:c r="K362" s="33"/>
      <x:c r="L362" s="33"/>
      <x:c r="M362" s="3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>
      <x:c r="A363" s="33"/>
      <x:c r="B363" s="33"/>
      <x:c r="C363" s="33"/>
      <x:c r="D363" s="33"/>
      <x:c r="E363" s="33"/>
      <x:c r="F363" s="33"/>
      <x:c r="G363" s="33"/>
      <x:c r="H363" s="33"/>
      <x:c r="I363" s="33"/>
      <x:c r="J363" s="33"/>
      <x:c r="K363" s="33"/>
      <x:c r="L363" s="33"/>
      <x:c r="M363" s="3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>
      <x:c r="A364" s="33"/>
      <x:c r="B364" s="33"/>
      <x:c r="C364" s="33"/>
      <x:c r="D364" s="33"/>
      <x:c r="E364" s="33"/>
      <x:c r="F364" s="33"/>
      <x:c r="G364" s="33"/>
      <x:c r="H364" s="33"/>
      <x:c r="I364" s="33"/>
      <x:c r="J364" s="33"/>
      <x:c r="K364" s="33"/>
      <x:c r="L364" s="33"/>
      <x:c r="M364" s="3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>
      <x:c r="A365" s="33"/>
      <x:c r="B365" s="33"/>
      <x:c r="C365" s="33"/>
      <x:c r="D365" s="33"/>
      <x:c r="E365" s="33"/>
      <x:c r="F365" s="33"/>
      <x:c r="G365" s="33"/>
      <x:c r="H365" s="33"/>
      <x:c r="I365" s="33"/>
      <x:c r="J365" s="33"/>
      <x:c r="K365" s="33"/>
      <x:c r="L365" s="33"/>
      <x:c r="M365" s="3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>
      <x:c r="A366" s="33"/>
      <x:c r="B366" s="33"/>
      <x:c r="C366" s="33"/>
      <x:c r="D366" s="33"/>
      <x:c r="E366" s="33"/>
      <x:c r="F366" s="33"/>
      <x:c r="G366" s="33"/>
      <x:c r="H366" s="33"/>
      <x:c r="I366" s="33"/>
      <x:c r="J366" s="33"/>
      <x:c r="K366" s="33"/>
      <x:c r="L366" s="33"/>
      <x:c r="M366" s="3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>
      <x:c r="A367" s="33"/>
      <x:c r="B367" s="33"/>
      <x:c r="C367" s="33"/>
      <x:c r="D367" s="33"/>
      <x:c r="E367" s="33"/>
      <x:c r="F367" s="33"/>
      <x:c r="G367" s="33"/>
      <x:c r="H367" s="33"/>
      <x:c r="I367" s="33"/>
      <x:c r="J367" s="33"/>
      <x:c r="K367" s="33"/>
      <x:c r="L367" s="33"/>
      <x:c r="M367" s="3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>
      <x:c r="A368" s="33"/>
      <x:c r="B368" s="33"/>
      <x:c r="C368" s="33"/>
      <x:c r="D368" s="33"/>
      <x:c r="E368" s="33"/>
      <x:c r="F368" s="33"/>
      <x:c r="G368" s="33"/>
      <x:c r="H368" s="33"/>
      <x:c r="I368" s="33"/>
      <x:c r="J368" s="33"/>
      <x:c r="K368" s="33"/>
      <x:c r="L368" s="33"/>
      <x:c r="M368" s="3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>
      <x:c r="A369" s="33"/>
      <x:c r="B369" s="33"/>
      <x:c r="C369" s="33"/>
      <x:c r="D369" s="33"/>
      <x:c r="E369" s="33"/>
      <x:c r="F369" s="33"/>
      <x:c r="G369" s="33"/>
      <x:c r="H369" s="33"/>
      <x:c r="I369" s="33"/>
      <x:c r="J369" s="33"/>
      <x:c r="K369" s="33"/>
      <x:c r="L369" s="33"/>
      <x:c r="M369" s="3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>
      <x:c r="A370" s="33"/>
      <x:c r="B370" s="33"/>
      <x:c r="C370" s="33"/>
      <x:c r="D370" s="33"/>
      <x:c r="E370" s="33"/>
      <x:c r="F370" s="33"/>
      <x:c r="G370" s="33"/>
      <x:c r="H370" s="33"/>
      <x:c r="I370" s="33"/>
      <x:c r="J370" s="33"/>
      <x:c r="K370" s="33"/>
      <x:c r="L370" s="33"/>
      <x:c r="M370" s="3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>
      <x:c r="A371" s="33"/>
      <x:c r="B371" s="33"/>
      <x:c r="C371" s="33"/>
      <x:c r="D371" s="33"/>
      <x:c r="E371" s="33"/>
      <x:c r="F371" s="33"/>
      <x:c r="G371" s="33"/>
      <x:c r="H371" s="33"/>
      <x:c r="I371" s="33"/>
      <x:c r="J371" s="33"/>
      <x:c r="K371" s="33"/>
      <x:c r="L371" s="33"/>
      <x:c r="M371" s="3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>
      <x:c r="A372" s="33"/>
      <x:c r="B372" s="33"/>
      <x:c r="C372" s="33"/>
      <x:c r="D372" s="33"/>
      <x:c r="E372" s="33"/>
      <x:c r="F372" s="33"/>
      <x:c r="G372" s="33"/>
      <x:c r="H372" s="33"/>
      <x:c r="I372" s="33"/>
      <x:c r="J372" s="33"/>
      <x:c r="K372" s="33"/>
      <x:c r="L372" s="33"/>
      <x:c r="M372" s="3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33"/>
      <x:c r="K373" s="33"/>
      <x:c r="L373" s="33"/>
      <x:c r="M373" s="3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>
      <x:c r="A374" s="33"/>
      <x:c r="B374" s="33"/>
      <x:c r="C374" s="33"/>
      <x:c r="D374" s="33"/>
      <x:c r="E374" s="33"/>
      <x:c r="F374" s="33"/>
      <x:c r="G374" s="33"/>
      <x:c r="H374" s="33"/>
      <x:c r="I374" s="33"/>
      <x:c r="J374" s="33"/>
      <x:c r="K374" s="33"/>
      <x:c r="L374" s="33"/>
      <x:c r="M374" s="3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>
      <x:c r="A375" s="33"/>
      <x:c r="B375" s="33"/>
      <x:c r="C375" s="33"/>
      <x:c r="D375" s="33"/>
      <x:c r="E375" s="33"/>
      <x:c r="F375" s="33"/>
      <x:c r="G375" s="33"/>
      <x:c r="H375" s="33"/>
      <x:c r="I375" s="33"/>
      <x:c r="J375" s="33"/>
      <x:c r="K375" s="33"/>
      <x:c r="L375" s="33"/>
      <x:c r="M375" s="3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>
      <x:c r="A376" s="33"/>
      <x:c r="B376" s="33"/>
      <x:c r="C376" s="33"/>
      <x:c r="D376" s="33"/>
      <x:c r="E376" s="33"/>
      <x:c r="F376" s="33"/>
      <x:c r="G376" s="33"/>
      <x:c r="H376" s="33"/>
      <x:c r="I376" s="33"/>
      <x:c r="J376" s="33"/>
      <x:c r="K376" s="33"/>
      <x:c r="L376" s="33"/>
      <x:c r="M376" s="3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>
      <x:c r="A377" s="33"/>
      <x:c r="B377" s="33"/>
      <x:c r="C377" s="33"/>
      <x:c r="D377" s="33"/>
      <x:c r="E377" s="33"/>
      <x:c r="F377" s="33"/>
      <x:c r="G377" s="33"/>
      <x:c r="H377" s="33"/>
      <x:c r="I377" s="33"/>
      <x:c r="J377" s="33"/>
      <x:c r="K377" s="33"/>
      <x:c r="L377" s="33"/>
      <x:c r="M377" s="3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>
      <x:c r="A378" s="33"/>
      <x:c r="B378" s="33"/>
      <x:c r="C378" s="33"/>
      <x:c r="D378" s="33"/>
      <x:c r="E378" s="33"/>
      <x:c r="F378" s="33"/>
      <x:c r="G378" s="33"/>
      <x:c r="H378" s="33"/>
      <x:c r="I378" s="33"/>
      <x:c r="J378" s="33"/>
      <x:c r="K378" s="33"/>
      <x:c r="L378" s="33"/>
      <x:c r="M378" s="3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>
      <x:c r="A379" s="33"/>
      <x:c r="B379" s="33"/>
      <x:c r="C379" s="33"/>
      <x:c r="D379" s="33"/>
      <x:c r="E379" s="33"/>
      <x:c r="F379" s="33"/>
      <x:c r="G379" s="33"/>
      <x:c r="H379" s="33"/>
      <x:c r="I379" s="33"/>
      <x:c r="J379" s="33"/>
      <x:c r="K379" s="33"/>
      <x:c r="L379" s="33"/>
      <x:c r="M379" s="3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>
      <x:c r="A380" s="33"/>
      <x:c r="B380" s="33"/>
      <x:c r="C380" s="33"/>
      <x:c r="D380" s="33"/>
      <x:c r="E380" s="33"/>
      <x:c r="F380" s="33"/>
      <x:c r="G380" s="33"/>
      <x:c r="H380" s="33"/>
      <x:c r="I380" s="33"/>
      <x:c r="J380" s="33"/>
      <x:c r="K380" s="33"/>
      <x:c r="L380" s="33"/>
      <x:c r="M380" s="3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>
      <x:c r="A381" s="33"/>
      <x:c r="B381" s="33"/>
      <x:c r="C381" s="33"/>
      <x:c r="D381" s="33"/>
      <x:c r="E381" s="33"/>
      <x:c r="F381" s="33"/>
      <x:c r="G381" s="33"/>
      <x:c r="H381" s="33"/>
      <x:c r="I381" s="33"/>
      <x:c r="J381" s="33"/>
      <x:c r="K381" s="33"/>
      <x:c r="L381" s="33"/>
      <x:c r="M381" s="3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>
      <x:c r="A382" s="33"/>
      <x:c r="B382" s="33"/>
      <x:c r="C382" s="33"/>
      <x:c r="D382" s="33"/>
      <x:c r="E382" s="33"/>
      <x:c r="F382" s="33"/>
      <x:c r="G382" s="33"/>
      <x:c r="H382" s="33"/>
      <x:c r="I382" s="33"/>
      <x:c r="J382" s="33"/>
      <x:c r="K382" s="33"/>
      <x:c r="L382" s="33"/>
      <x:c r="M382" s="3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>
      <x:c r="A383" s="33"/>
      <x:c r="B383" s="33"/>
      <x:c r="C383" s="33"/>
      <x:c r="D383" s="33"/>
      <x:c r="E383" s="33"/>
      <x:c r="F383" s="33"/>
      <x:c r="G383" s="33"/>
      <x:c r="H383" s="33"/>
      <x:c r="I383" s="33"/>
      <x:c r="J383" s="33"/>
      <x:c r="K383" s="33"/>
      <x:c r="L383" s="33"/>
      <x:c r="M383" s="3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>
      <x:c r="A384" s="33"/>
      <x:c r="B384" s="33"/>
      <x:c r="C384" s="33"/>
      <x:c r="D384" s="33"/>
      <x:c r="E384" s="33"/>
      <x:c r="F384" s="33"/>
      <x:c r="G384" s="33"/>
      <x:c r="H384" s="33"/>
      <x:c r="I384" s="33"/>
      <x:c r="J384" s="33"/>
      <x:c r="K384" s="33"/>
      <x:c r="L384" s="33"/>
      <x:c r="M384" s="3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33"/>
      <x:c r="K385" s="33"/>
      <x:c r="L385" s="33"/>
      <x:c r="M385" s="3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>
      <x:c r="A386" s="33"/>
      <x:c r="B386" s="33"/>
      <x:c r="C386" s="33"/>
      <x:c r="D386" s="33"/>
      <x:c r="E386" s="33"/>
      <x:c r="F386" s="33"/>
      <x:c r="G386" s="33"/>
      <x:c r="H386" s="33"/>
      <x:c r="I386" s="33"/>
      <x:c r="J386" s="33"/>
      <x:c r="K386" s="33"/>
      <x:c r="L386" s="33"/>
      <x:c r="M386" s="3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>
      <x:c r="A387" s="33"/>
      <x:c r="B387" s="33"/>
      <x:c r="C387" s="33"/>
      <x:c r="D387" s="33"/>
      <x:c r="E387" s="33"/>
      <x:c r="F387" s="33"/>
      <x:c r="G387" s="33"/>
      <x:c r="H387" s="33"/>
      <x:c r="I387" s="33"/>
      <x:c r="J387" s="33"/>
      <x:c r="K387" s="33"/>
      <x:c r="L387" s="33"/>
      <x:c r="M387" s="3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>
      <x:c r="A388" s="33"/>
      <x:c r="B388" s="33"/>
      <x:c r="C388" s="33"/>
      <x:c r="D388" s="33"/>
      <x:c r="E388" s="33"/>
      <x:c r="F388" s="33"/>
      <x:c r="G388" s="33"/>
      <x:c r="H388" s="33"/>
      <x:c r="I388" s="33"/>
      <x:c r="J388" s="33"/>
      <x:c r="K388" s="33"/>
      <x:c r="L388" s="33"/>
      <x:c r="M388" s="3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>
      <x:c r="A389" s="33"/>
      <x:c r="B389" s="33"/>
      <x:c r="C389" s="33"/>
      <x:c r="D389" s="33"/>
      <x:c r="E389" s="33"/>
      <x:c r="F389" s="33"/>
      <x:c r="G389" s="33"/>
      <x:c r="H389" s="33"/>
      <x:c r="I389" s="33"/>
      <x:c r="J389" s="33"/>
      <x:c r="K389" s="33"/>
      <x:c r="L389" s="33"/>
      <x:c r="M389" s="3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>
      <x:c r="A390" s="33"/>
      <x:c r="B390" s="33"/>
      <x:c r="C390" s="33"/>
      <x:c r="D390" s="33"/>
      <x:c r="E390" s="33"/>
      <x:c r="F390" s="33"/>
      <x:c r="G390" s="33"/>
      <x:c r="H390" s="33"/>
      <x:c r="I390" s="33"/>
      <x:c r="J390" s="33"/>
      <x:c r="K390" s="33"/>
      <x:c r="L390" s="33"/>
      <x:c r="M390" s="3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>
      <x:c r="A391" s="33"/>
      <x:c r="B391" s="33"/>
      <x:c r="C391" s="33"/>
      <x:c r="D391" s="33"/>
      <x:c r="E391" s="33"/>
      <x:c r="F391" s="33"/>
      <x:c r="G391" s="33"/>
      <x:c r="H391" s="33"/>
      <x:c r="I391" s="33"/>
      <x:c r="J391" s="33"/>
      <x:c r="K391" s="33"/>
      <x:c r="L391" s="33"/>
      <x:c r="M391" s="3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>
      <x:c r="A392" s="33"/>
      <x:c r="B392" s="33"/>
      <x:c r="C392" s="33"/>
      <x:c r="D392" s="33"/>
      <x:c r="E392" s="33"/>
      <x:c r="F392" s="33"/>
      <x:c r="G392" s="33"/>
      <x:c r="H392" s="33"/>
      <x:c r="I392" s="33"/>
      <x:c r="J392" s="33"/>
      <x:c r="K392" s="33"/>
      <x:c r="L392" s="33"/>
      <x:c r="M392" s="3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>
      <x:c r="A393" s="33"/>
      <x:c r="B393" s="33"/>
      <x:c r="C393" s="33"/>
      <x:c r="D393" s="33"/>
      <x:c r="E393" s="33"/>
      <x:c r="F393" s="33"/>
      <x:c r="G393" s="33"/>
      <x:c r="H393" s="33"/>
      <x:c r="I393" s="33"/>
      <x:c r="J393" s="33"/>
      <x:c r="K393" s="33"/>
      <x:c r="L393" s="33"/>
      <x:c r="M393" s="3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>
      <x:c r="A394" s="33"/>
      <x:c r="B394" s="33"/>
      <x:c r="C394" s="33"/>
      <x:c r="D394" s="33"/>
      <x:c r="E394" s="33"/>
      <x:c r="F394" s="33"/>
      <x:c r="G394" s="33"/>
      <x:c r="H394" s="33"/>
      <x:c r="I394" s="33"/>
      <x:c r="J394" s="33"/>
      <x:c r="K394" s="33"/>
      <x:c r="L394" s="33"/>
      <x:c r="M394" s="3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>
      <x:c r="A395" s="33"/>
      <x:c r="B395" s="33"/>
      <x:c r="C395" s="33"/>
      <x:c r="D395" s="33"/>
      <x:c r="E395" s="33"/>
      <x:c r="F395" s="33"/>
      <x:c r="G395" s="33"/>
      <x:c r="H395" s="33"/>
      <x:c r="I395" s="33"/>
      <x:c r="J395" s="33"/>
      <x:c r="K395" s="33"/>
      <x:c r="L395" s="33"/>
      <x:c r="M395" s="3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>
      <x:c r="A396" s="33"/>
      <x:c r="B396" s="33"/>
      <x:c r="C396" s="33"/>
      <x:c r="D396" s="33"/>
      <x:c r="E396" s="33"/>
      <x:c r="F396" s="33"/>
      <x:c r="G396" s="33"/>
      <x:c r="H396" s="33"/>
      <x:c r="I396" s="33"/>
      <x:c r="J396" s="33"/>
      <x:c r="K396" s="33"/>
      <x:c r="L396" s="33"/>
      <x:c r="M396" s="3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>
      <x:c r="A397" s="33"/>
      <x:c r="B397" s="33"/>
      <x:c r="C397" s="33"/>
      <x:c r="D397" s="33"/>
      <x:c r="E397" s="33"/>
      <x:c r="F397" s="33"/>
      <x:c r="G397" s="33"/>
      <x:c r="H397" s="33"/>
      <x:c r="I397" s="33"/>
      <x:c r="J397" s="33"/>
      <x:c r="K397" s="33"/>
      <x:c r="L397" s="33"/>
      <x:c r="M397" s="3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>
      <x:c r="A398" s="33"/>
      <x:c r="B398" s="33"/>
      <x:c r="C398" s="33"/>
      <x:c r="D398" s="33"/>
      <x:c r="E398" s="33"/>
      <x:c r="F398" s="33"/>
      <x:c r="G398" s="33"/>
      <x:c r="H398" s="33"/>
      <x:c r="I398" s="33"/>
      <x:c r="J398" s="33"/>
      <x:c r="K398" s="33"/>
      <x:c r="L398" s="33"/>
      <x:c r="M398" s="3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>
      <x:c r="A399" s="33"/>
      <x:c r="B399" s="33"/>
      <x:c r="C399" s="33"/>
      <x:c r="D399" s="33"/>
      <x:c r="E399" s="33"/>
      <x:c r="F399" s="33"/>
      <x:c r="G399" s="33"/>
      <x:c r="H399" s="33"/>
      <x:c r="I399" s="33"/>
      <x:c r="J399" s="33"/>
      <x:c r="K399" s="33"/>
      <x:c r="L399" s="33"/>
      <x:c r="M399" s="3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>
      <x:c r="A400" s="33"/>
      <x:c r="B400" s="33"/>
      <x:c r="C400" s="33"/>
      <x:c r="D400" s="33"/>
      <x:c r="E400" s="33"/>
      <x:c r="F400" s="33"/>
      <x:c r="G400" s="33"/>
      <x:c r="H400" s="33"/>
      <x:c r="I400" s="33"/>
      <x:c r="J400" s="33"/>
      <x:c r="K400" s="33"/>
      <x:c r="L400" s="33"/>
      <x:c r="M400" s="3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>
      <x:c r="A401" s="33"/>
      <x:c r="B401" s="33"/>
      <x:c r="C401" s="33"/>
      <x:c r="D401" s="33"/>
      <x:c r="E401" s="33"/>
      <x:c r="F401" s="33"/>
      <x:c r="G401" s="33"/>
      <x:c r="H401" s="33"/>
      <x:c r="I401" s="33"/>
      <x:c r="J401" s="33"/>
      <x:c r="K401" s="33"/>
      <x:c r="L401" s="33"/>
      <x:c r="M401" s="3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>
      <x:c r="A402" s="33"/>
      <x:c r="B402" s="33"/>
      <x:c r="C402" s="33"/>
      <x:c r="D402" s="33"/>
      <x:c r="E402" s="33"/>
      <x:c r="F402" s="33"/>
      <x:c r="G402" s="33"/>
      <x:c r="H402" s="33"/>
      <x:c r="I402" s="33"/>
      <x:c r="J402" s="33"/>
      <x:c r="K402" s="33"/>
      <x:c r="L402" s="33"/>
      <x:c r="M402" s="3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>
      <x:c r="A403" s="33"/>
      <x:c r="B403" s="33"/>
      <x:c r="C403" s="33"/>
      <x:c r="D403" s="33"/>
      <x:c r="E403" s="33"/>
      <x:c r="F403" s="33"/>
      <x:c r="G403" s="33"/>
      <x:c r="H403" s="33"/>
      <x:c r="I403" s="33"/>
      <x:c r="J403" s="33"/>
      <x:c r="K403" s="33"/>
      <x:c r="L403" s="33"/>
      <x:c r="M403" s="3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>
      <x:c r="A404" s="33"/>
      <x:c r="B404" s="33"/>
      <x:c r="C404" s="33"/>
      <x:c r="D404" s="33"/>
      <x:c r="E404" s="33"/>
      <x:c r="F404" s="33"/>
      <x:c r="G404" s="33"/>
      <x:c r="H404" s="33"/>
      <x:c r="I404" s="33"/>
      <x:c r="J404" s="33"/>
      <x:c r="K404" s="33"/>
      <x:c r="L404" s="33"/>
      <x:c r="M404" s="3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>
      <x:c r="A405" s="33"/>
      <x:c r="B405" s="33"/>
      <x:c r="C405" s="33"/>
      <x:c r="D405" s="33"/>
      <x:c r="E405" s="33"/>
      <x:c r="F405" s="33"/>
      <x:c r="G405" s="33"/>
      <x:c r="H405" s="33"/>
      <x:c r="I405" s="33"/>
      <x:c r="J405" s="33"/>
      <x:c r="K405" s="33"/>
      <x:c r="L405" s="33"/>
      <x:c r="M405" s="3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>
      <x:c r="A406" s="33"/>
      <x:c r="B406" s="33"/>
      <x:c r="C406" s="33"/>
      <x:c r="D406" s="33"/>
      <x:c r="E406" s="33"/>
      <x:c r="F406" s="33"/>
      <x:c r="G406" s="33"/>
      <x:c r="H406" s="33"/>
      <x:c r="I406" s="33"/>
      <x:c r="J406" s="33"/>
      <x:c r="K406" s="33"/>
      <x:c r="L406" s="33"/>
      <x:c r="M406" s="3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>
      <x:c r="A407" s="33"/>
      <x:c r="B407" s="33"/>
      <x:c r="C407" s="33"/>
      <x:c r="D407" s="33"/>
      <x:c r="E407" s="33"/>
      <x:c r="F407" s="33"/>
      <x:c r="G407" s="33"/>
      <x:c r="H407" s="33"/>
      <x:c r="I407" s="33"/>
      <x:c r="J407" s="33"/>
      <x:c r="K407" s="33"/>
      <x:c r="L407" s="33"/>
      <x:c r="M407" s="3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>
      <x:c r="A408" s="33"/>
      <x:c r="B408" s="33"/>
      <x:c r="C408" s="33"/>
      <x:c r="D408" s="33"/>
      <x:c r="E408" s="33"/>
      <x:c r="F408" s="33"/>
      <x:c r="G408" s="33"/>
      <x:c r="H408" s="33"/>
      <x:c r="I408" s="33"/>
      <x:c r="J408" s="33"/>
      <x:c r="K408" s="33"/>
      <x:c r="L408" s="33"/>
      <x:c r="M408" s="3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>
      <x:c r="A409" s="33"/>
      <x:c r="B409" s="33"/>
      <x:c r="C409" s="33"/>
      <x:c r="D409" s="33"/>
      <x:c r="E409" s="33"/>
      <x:c r="F409" s="33"/>
      <x:c r="G409" s="33"/>
      <x:c r="H409" s="33"/>
      <x:c r="I409" s="33"/>
      <x:c r="J409" s="33"/>
      <x:c r="K409" s="33"/>
      <x:c r="L409" s="33"/>
      <x:c r="M409" s="3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>
      <x:c r="A410" s="33"/>
      <x:c r="B410" s="33"/>
      <x:c r="C410" s="33"/>
      <x:c r="D410" s="33"/>
      <x:c r="E410" s="33"/>
      <x:c r="F410" s="33"/>
      <x:c r="G410" s="33"/>
      <x:c r="H410" s="33"/>
      <x:c r="I410" s="33"/>
      <x:c r="J410" s="33"/>
      <x:c r="K410" s="33"/>
      <x:c r="L410" s="33"/>
      <x:c r="M410" s="3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>
      <x:c r="A411" s="33"/>
      <x:c r="B411" s="33"/>
      <x:c r="C411" s="33"/>
      <x:c r="D411" s="33"/>
      <x:c r="E411" s="33"/>
      <x:c r="F411" s="33"/>
      <x:c r="G411" s="33"/>
      <x:c r="H411" s="33"/>
      <x:c r="I411" s="33"/>
      <x:c r="J411" s="33"/>
      <x:c r="K411" s="33"/>
      <x:c r="L411" s="33"/>
      <x:c r="M411" s="3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>
      <x:c r="A412" s="33"/>
      <x:c r="B412" s="33"/>
      <x:c r="C412" s="33"/>
      <x:c r="D412" s="33"/>
      <x:c r="E412" s="33"/>
      <x:c r="F412" s="33"/>
      <x:c r="G412" s="33"/>
      <x:c r="H412" s="33"/>
      <x:c r="I412" s="33"/>
      <x:c r="J412" s="33"/>
      <x:c r="K412" s="33"/>
      <x:c r="L412" s="33"/>
      <x:c r="M412" s="3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>
      <x:c r="A413" s="33"/>
      <x:c r="B413" s="33"/>
      <x:c r="C413" s="33"/>
      <x:c r="D413" s="33"/>
      <x:c r="E413" s="33"/>
      <x:c r="F413" s="33"/>
      <x:c r="G413" s="33"/>
      <x:c r="H413" s="33"/>
      <x:c r="I413" s="33"/>
      <x:c r="J413" s="33"/>
      <x:c r="K413" s="33"/>
      <x:c r="L413" s="33"/>
      <x:c r="M413" s="3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>
      <x:c r="A414" s="33"/>
      <x:c r="B414" s="33"/>
      <x:c r="C414" s="33"/>
      <x:c r="D414" s="33"/>
      <x:c r="E414" s="33"/>
      <x:c r="F414" s="33"/>
      <x:c r="G414" s="33"/>
      <x:c r="H414" s="33"/>
      <x:c r="I414" s="33"/>
      <x:c r="J414" s="33"/>
      <x:c r="K414" s="33"/>
      <x:c r="L414" s="33"/>
      <x:c r="M414" s="3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>
      <x:c r="A415" s="33"/>
      <x:c r="B415" s="33"/>
      <x:c r="C415" s="33"/>
      <x:c r="D415" s="33"/>
      <x:c r="E415" s="33"/>
      <x:c r="F415" s="33"/>
      <x:c r="G415" s="33"/>
      <x:c r="H415" s="33"/>
      <x:c r="I415" s="33"/>
      <x:c r="J415" s="33"/>
      <x:c r="K415" s="33"/>
      <x:c r="L415" s="33"/>
      <x:c r="M415" s="3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>
      <x:c r="A416" s="33"/>
      <x:c r="B416" s="33"/>
      <x:c r="C416" s="33"/>
      <x:c r="D416" s="33"/>
      <x:c r="E416" s="33"/>
      <x:c r="F416" s="33"/>
      <x:c r="G416" s="33"/>
      <x:c r="H416" s="33"/>
      <x:c r="I416" s="33"/>
      <x:c r="J416" s="33"/>
      <x:c r="K416" s="33"/>
      <x:c r="L416" s="33"/>
      <x:c r="M416" s="3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>
      <x:c r="A417" s="33"/>
      <x:c r="B417" s="33"/>
      <x:c r="C417" s="33"/>
      <x:c r="D417" s="33"/>
      <x:c r="E417" s="33"/>
      <x:c r="F417" s="33"/>
      <x:c r="G417" s="33"/>
      <x:c r="H417" s="33"/>
      <x:c r="I417" s="33"/>
      <x:c r="J417" s="33"/>
      <x:c r="K417" s="33"/>
      <x:c r="L417" s="33"/>
      <x:c r="M417" s="3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>
      <x:c r="A418" s="33"/>
      <x:c r="B418" s="33"/>
      <x:c r="C418" s="33"/>
      <x:c r="D418" s="33"/>
      <x:c r="E418" s="33"/>
      <x:c r="F418" s="33"/>
      <x:c r="G418" s="33"/>
      <x:c r="H418" s="33"/>
      <x:c r="I418" s="33"/>
      <x:c r="J418" s="33"/>
      <x:c r="K418" s="33"/>
      <x:c r="L418" s="33"/>
      <x:c r="M418" s="3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>
      <x:c r="A419" s="33"/>
      <x:c r="B419" s="33"/>
      <x:c r="C419" s="33"/>
      <x:c r="D419" s="33"/>
      <x:c r="E419" s="33"/>
      <x:c r="F419" s="33"/>
      <x:c r="G419" s="33"/>
      <x:c r="H419" s="33"/>
      <x:c r="I419" s="33"/>
      <x:c r="J419" s="33"/>
      <x:c r="K419" s="33"/>
      <x:c r="L419" s="33"/>
      <x:c r="M419" s="3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>
      <x:c r="A420" s="33"/>
      <x:c r="B420" s="33"/>
      <x:c r="C420" s="33"/>
      <x:c r="D420" s="33"/>
      <x:c r="E420" s="33"/>
      <x:c r="F420" s="33"/>
      <x:c r="G420" s="33"/>
      <x:c r="H420" s="33"/>
      <x:c r="I420" s="33"/>
      <x:c r="J420" s="33"/>
      <x:c r="K420" s="33"/>
      <x:c r="L420" s="33"/>
      <x:c r="M420" s="3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>
      <x:c r="A421" s="33"/>
      <x:c r="B421" s="33"/>
      <x:c r="C421" s="33"/>
      <x:c r="D421" s="33"/>
      <x:c r="E421" s="33"/>
      <x:c r="F421" s="33"/>
      <x:c r="G421" s="33"/>
      <x:c r="H421" s="33"/>
      <x:c r="I421" s="33"/>
      <x:c r="J421" s="33"/>
      <x:c r="K421" s="33"/>
      <x:c r="L421" s="33"/>
      <x:c r="M421" s="3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>
      <x:c r="A422" s="33"/>
      <x:c r="B422" s="33"/>
      <x:c r="C422" s="33"/>
      <x:c r="D422" s="33"/>
      <x:c r="E422" s="33"/>
      <x:c r="F422" s="33"/>
      <x:c r="G422" s="33"/>
      <x:c r="H422" s="33"/>
      <x:c r="I422" s="33"/>
      <x:c r="J422" s="33"/>
      <x:c r="K422" s="33"/>
      <x:c r="L422" s="33"/>
      <x:c r="M422" s="3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>
      <x:c r="A423" s="33"/>
      <x:c r="B423" s="33"/>
      <x:c r="C423" s="33"/>
      <x:c r="D423" s="33"/>
      <x:c r="E423" s="33"/>
      <x:c r="F423" s="33"/>
      <x:c r="G423" s="33"/>
      <x:c r="H423" s="33"/>
      <x:c r="I423" s="33"/>
      <x:c r="J423" s="33"/>
      <x:c r="K423" s="33"/>
      <x:c r="L423" s="33"/>
      <x:c r="M423" s="3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>
      <x:c r="A424" s="33"/>
      <x:c r="B424" s="33"/>
      <x:c r="C424" s="33"/>
      <x:c r="D424" s="33"/>
      <x:c r="E424" s="33"/>
      <x:c r="F424" s="33"/>
      <x:c r="G424" s="33"/>
      <x:c r="H424" s="33"/>
      <x:c r="I424" s="33"/>
      <x:c r="J424" s="33"/>
      <x:c r="K424" s="33"/>
      <x:c r="L424" s="33"/>
      <x:c r="M424" s="3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>
      <x:c r="A425" s="33"/>
      <x:c r="B425" s="33"/>
      <x:c r="C425" s="33"/>
      <x:c r="D425" s="33"/>
      <x:c r="E425" s="33"/>
      <x:c r="F425" s="33"/>
      <x:c r="G425" s="33"/>
      <x:c r="H425" s="33"/>
      <x:c r="I425" s="33"/>
      <x:c r="J425" s="33"/>
      <x:c r="K425" s="33"/>
      <x:c r="L425" s="33"/>
      <x:c r="M425" s="3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>
      <x:c r="A426" s="33"/>
      <x:c r="B426" s="33"/>
      <x:c r="C426" s="33"/>
      <x:c r="D426" s="33"/>
      <x:c r="E426" s="33"/>
      <x:c r="F426" s="33"/>
      <x:c r="G426" s="33"/>
      <x:c r="H426" s="33"/>
      <x:c r="I426" s="33"/>
      <x:c r="J426" s="33"/>
      <x:c r="K426" s="33"/>
      <x:c r="L426" s="33"/>
      <x:c r="M426" s="3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>
      <x:c r="A427" s="33"/>
      <x:c r="B427" s="33"/>
      <x:c r="C427" s="33"/>
      <x:c r="D427" s="33"/>
      <x:c r="E427" s="33"/>
      <x:c r="F427" s="33"/>
      <x:c r="G427" s="33"/>
      <x:c r="H427" s="33"/>
      <x:c r="I427" s="33"/>
      <x:c r="J427" s="33"/>
      <x:c r="K427" s="33"/>
      <x:c r="L427" s="33"/>
      <x:c r="M427" s="3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>
      <x:c r="A428" s="33"/>
      <x:c r="B428" s="33"/>
      <x:c r="C428" s="33"/>
      <x:c r="D428" s="33"/>
      <x:c r="E428" s="33"/>
      <x:c r="F428" s="33"/>
      <x:c r="G428" s="33"/>
      <x:c r="H428" s="33"/>
      <x:c r="I428" s="33"/>
      <x:c r="J428" s="33"/>
      <x:c r="K428" s="33"/>
      <x:c r="L428" s="33"/>
      <x:c r="M428" s="3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>
      <x:c r="A429" s="33"/>
      <x:c r="B429" s="33"/>
      <x:c r="C429" s="33"/>
      <x:c r="D429" s="33"/>
      <x:c r="E429" s="33"/>
      <x:c r="F429" s="33"/>
      <x:c r="G429" s="33"/>
      <x:c r="H429" s="33"/>
      <x:c r="I429" s="33"/>
      <x:c r="J429" s="33"/>
      <x:c r="K429" s="33"/>
      <x:c r="L429" s="33"/>
      <x:c r="M429" s="3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>
      <x:c r="A430" s="33"/>
      <x:c r="B430" s="33"/>
      <x:c r="C430" s="33"/>
      <x:c r="D430" s="33"/>
      <x:c r="E430" s="33"/>
      <x:c r="F430" s="33"/>
      <x:c r="G430" s="33"/>
      <x:c r="H430" s="33"/>
      <x:c r="I430" s="33"/>
      <x:c r="J430" s="33"/>
      <x:c r="K430" s="33"/>
      <x:c r="L430" s="33"/>
      <x:c r="M430" s="3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>
      <x:c r="A431" s="33"/>
      <x:c r="B431" s="33"/>
      <x:c r="C431" s="33"/>
      <x:c r="D431" s="33"/>
      <x:c r="E431" s="33"/>
      <x:c r="F431" s="33"/>
      <x:c r="G431" s="33"/>
      <x:c r="H431" s="33"/>
      <x:c r="I431" s="33"/>
      <x:c r="J431" s="33"/>
      <x:c r="K431" s="33"/>
      <x:c r="L431" s="33"/>
      <x:c r="M431" s="3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>
      <x:c r="A432" s="33"/>
      <x:c r="B432" s="33"/>
      <x:c r="C432" s="33"/>
      <x:c r="D432" s="33"/>
      <x:c r="E432" s="33"/>
      <x:c r="F432" s="33"/>
      <x:c r="G432" s="33"/>
      <x:c r="H432" s="33"/>
      <x:c r="I432" s="33"/>
      <x:c r="J432" s="33"/>
      <x:c r="K432" s="33"/>
      <x:c r="L432" s="33"/>
      <x:c r="M432" s="3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>
      <x:c r="A433" s="33"/>
      <x:c r="B433" s="33"/>
      <x:c r="C433" s="33"/>
      <x:c r="D433" s="33"/>
      <x:c r="E433" s="33"/>
      <x:c r="F433" s="33"/>
      <x:c r="G433" s="33"/>
      <x:c r="H433" s="33"/>
      <x:c r="I433" s="33"/>
      <x:c r="J433" s="33"/>
      <x:c r="K433" s="33"/>
      <x:c r="L433" s="33"/>
      <x:c r="M433" s="3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>
      <x:c r="A434" s="33"/>
      <x:c r="B434" s="33"/>
      <x:c r="C434" s="33"/>
      <x:c r="D434" s="33"/>
      <x:c r="E434" s="33"/>
      <x:c r="F434" s="33"/>
      <x:c r="G434" s="33"/>
      <x:c r="H434" s="33"/>
      <x:c r="I434" s="33"/>
      <x:c r="J434" s="33"/>
      <x:c r="K434" s="33"/>
      <x:c r="L434" s="33"/>
      <x:c r="M434" s="3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>
      <x:c r="A435" s="33"/>
      <x:c r="B435" s="33"/>
      <x:c r="C435" s="33"/>
      <x:c r="D435" s="33"/>
      <x:c r="E435" s="33"/>
      <x:c r="F435" s="33"/>
      <x:c r="G435" s="33"/>
      <x:c r="H435" s="33"/>
      <x:c r="I435" s="33"/>
      <x:c r="J435" s="33"/>
      <x:c r="K435" s="33"/>
      <x:c r="L435" s="33"/>
      <x:c r="M435" s="3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>
      <x:c r="A436" s="33"/>
      <x:c r="B436" s="33"/>
      <x:c r="C436" s="33"/>
      <x:c r="D436" s="33"/>
      <x:c r="E436" s="33"/>
      <x:c r="F436" s="33"/>
      <x:c r="G436" s="33"/>
      <x:c r="H436" s="33"/>
      <x:c r="I436" s="33"/>
      <x:c r="J436" s="33"/>
      <x:c r="K436" s="33"/>
      <x:c r="L436" s="33"/>
      <x:c r="M436" s="3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>
      <x:c r="A437" s="33"/>
      <x:c r="B437" s="33"/>
      <x:c r="C437" s="33"/>
      <x:c r="D437" s="33"/>
      <x:c r="E437" s="33"/>
      <x:c r="F437" s="33"/>
      <x:c r="G437" s="33"/>
      <x:c r="H437" s="33"/>
      <x:c r="I437" s="33"/>
      <x:c r="J437" s="33"/>
      <x:c r="K437" s="33"/>
      <x:c r="L437" s="33"/>
      <x:c r="M437" s="3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>
      <x:c r="A438" s="33"/>
      <x:c r="B438" s="33"/>
      <x:c r="C438" s="33"/>
      <x:c r="D438" s="33"/>
      <x:c r="E438" s="33"/>
      <x:c r="F438" s="33"/>
      <x:c r="G438" s="33"/>
      <x:c r="H438" s="33"/>
      <x:c r="I438" s="33"/>
      <x:c r="J438" s="33"/>
      <x:c r="K438" s="33"/>
      <x:c r="L438" s="33"/>
      <x:c r="M438" s="3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>
      <x:c r="A439" s="33"/>
      <x:c r="B439" s="33"/>
      <x:c r="C439" s="33"/>
      <x:c r="D439" s="33"/>
      <x:c r="E439" s="33"/>
      <x:c r="F439" s="33"/>
      <x:c r="G439" s="33"/>
      <x:c r="H439" s="33"/>
      <x:c r="I439" s="33"/>
      <x:c r="J439" s="33"/>
      <x:c r="K439" s="33"/>
      <x:c r="L439" s="33"/>
      <x:c r="M439" s="3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>
      <x:c r="A440" s="33"/>
      <x:c r="B440" s="33"/>
      <x:c r="C440" s="33"/>
      <x:c r="D440" s="33"/>
      <x:c r="E440" s="33"/>
      <x:c r="F440" s="33"/>
      <x:c r="G440" s="33"/>
      <x:c r="H440" s="33"/>
      <x:c r="I440" s="33"/>
      <x:c r="J440" s="33"/>
      <x:c r="K440" s="33"/>
      <x:c r="L440" s="33"/>
      <x:c r="M440" s="3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>
      <x:c r="A441" s="33"/>
      <x:c r="B441" s="33"/>
      <x:c r="C441" s="33"/>
      <x:c r="D441" s="33"/>
      <x:c r="E441" s="33"/>
      <x:c r="F441" s="33"/>
      <x:c r="G441" s="33"/>
      <x:c r="H441" s="33"/>
      <x:c r="I441" s="33"/>
      <x:c r="J441" s="33"/>
      <x:c r="K441" s="33"/>
      <x:c r="L441" s="33"/>
      <x:c r="M441" s="3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>
      <x:c r="A442" s="33"/>
      <x:c r="B442" s="33"/>
      <x:c r="C442" s="33"/>
      <x:c r="D442" s="33"/>
      <x:c r="E442" s="33"/>
      <x:c r="F442" s="33"/>
      <x:c r="G442" s="33"/>
      <x:c r="H442" s="33"/>
      <x:c r="I442" s="33"/>
      <x:c r="J442" s="33"/>
      <x:c r="K442" s="33"/>
      <x:c r="L442" s="33"/>
      <x:c r="M442" s="3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>
      <x:c r="A443" s="33"/>
      <x:c r="B443" s="33"/>
      <x:c r="C443" s="33"/>
      <x:c r="D443" s="33"/>
      <x:c r="E443" s="33"/>
      <x:c r="F443" s="33"/>
      <x:c r="G443" s="33"/>
      <x:c r="H443" s="33"/>
      <x:c r="I443" s="33"/>
      <x:c r="J443" s="33"/>
      <x:c r="K443" s="33"/>
      <x:c r="L443" s="33"/>
      <x:c r="M443" s="3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>
      <x:c r="A444" s="33"/>
      <x:c r="B444" s="33"/>
      <x:c r="C444" s="33"/>
      <x:c r="D444" s="33"/>
      <x:c r="E444" s="33"/>
      <x:c r="F444" s="33"/>
      <x:c r="G444" s="33"/>
      <x:c r="H444" s="33"/>
      <x:c r="I444" s="33"/>
      <x:c r="J444" s="33"/>
      <x:c r="K444" s="33"/>
      <x:c r="L444" s="33"/>
      <x:c r="M444" s="3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>
      <x:c r="A445" s="33"/>
      <x:c r="B445" s="33"/>
      <x:c r="C445" s="33"/>
      <x:c r="D445" s="33"/>
      <x:c r="E445" s="33"/>
      <x:c r="F445" s="33"/>
      <x:c r="G445" s="33"/>
      <x:c r="H445" s="33"/>
      <x:c r="I445" s="33"/>
      <x:c r="J445" s="33"/>
      <x:c r="K445" s="33"/>
      <x:c r="L445" s="33"/>
      <x:c r="M445" s="3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>
      <x:c r="A446" s="33"/>
      <x:c r="B446" s="33"/>
      <x:c r="C446" s="33"/>
      <x:c r="D446" s="33"/>
      <x:c r="E446" s="33"/>
      <x:c r="F446" s="33"/>
      <x:c r="G446" s="33"/>
      <x:c r="H446" s="33"/>
      <x:c r="I446" s="33"/>
      <x:c r="J446" s="33"/>
      <x:c r="K446" s="33"/>
      <x:c r="L446" s="33"/>
      <x:c r="M446" s="3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>
      <x:c r="A447" s="33"/>
      <x:c r="B447" s="33"/>
      <x:c r="C447" s="33"/>
      <x:c r="D447" s="33"/>
      <x:c r="E447" s="33"/>
      <x:c r="F447" s="33"/>
      <x:c r="G447" s="33"/>
      <x:c r="H447" s="33"/>
      <x:c r="I447" s="33"/>
      <x:c r="J447" s="33"/>
      <x:c r="K447" s="33"/>
      <x:c r="L447" s="33"/>
      <x:c r="M447" s="3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>
      <x:c r="A448" s="33"/>
      <x:c r="B448" s="33"/>
      <x:c r="C448" s="33"/>
      <x:c r="D448" s="33"/>
      <x:c r="E448" s="33"/>
      <x:c r="F448" s="33"/>
      <x:c r="G448" s="33"/>
      <x:c r="H448" s="33"/>
      <x:c r="I448" s="33"/>
      <x:c r="J448" s="33"/>
      <x:c r="K448" s="33"/>
      <x:c r="L448" s="33"/>
      <x:c r="M448" s="3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>
      <x:c r="A449" s="33"/>
      <x:c r="B449" s="33"/>
      <x:c r="C449" s="33"/>
      <x:c r="D449" s="33"/>
      <x:c r="E449" s="33"/>
      <x:c r="F449" s="33"/>
      <x:c r="G449" s="33"/>
      <x:c r="H449" s="33"/>
      <x:c r="I449" s="33"/>
      <x:c r="J449" s="33"/>
      <x:c r="K449" s="33"/>
      <x:c r="L449" s="33"/>
      <x:c r="M449" s="3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>
      <x:c r="A450" s="33"/>
      <x:c r="B450" s="33"/>
      <x:c r="C450" s="33"/>
      <x:c r="D450" s="33"/>
      <x:c r="E450" s="33"/>
      <x:c r="F450" s="33"/>
      <x:c r="G450" s="33"/>
      <x:c r="H450" s="33"/>
      <x:c r="I450" s="33"/>
      <x:c r="J450" s="33"/>
      <x:c r="K450" s="33"/>
      <x:c r="L450" s="33"/>
      <x:c r="M450" s="3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>
      <x:c r="A451" s="33"/>
      <x:c r="B451" s="33"/>
      <x:c r="C451" s="33"/>
      <x:c r="D451" s="33"/>
      <x:c r="E451" s="33"/>
      <x:c r="F451" s="33"/>
      <x:c r="G451" s="33"/>
      <x:c r="H451" s="33"/>
      <x:c r="I451" s="33"/>
      <x:c r="J451" s="33"/>
      <x:c r="K451" s="33"/>
      <x:c r="L451" s="33"/>
      <x:c r="M451" s="3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>
      <x:c r="A452" s="33"/>
      <x:c r="B452" s="33"/>
      <x:c r="C452" s="33"/>
      <x:c r="D452" s="33"/>
      <x:c r="E452" s="33"/>
      <x:c r="F452" s="33"/>
      <x:c r="G452" s="33"/>
      <x:c r="H452" s="33"/>
      <x:c r="I452" s="33"/>
      <x:c r="J452" s="33"/>
      <x:c r="K452" s="33"/>
      <x:c r="L452" s="33"/>
      <x:c r="M452" s="3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>
      <x:c r="A453" s="33"/>
      <x:c r="B453" s="33"/>
      <x:c r="C453" s="33"/>
      <x:c r="D453" s="33"/>
      <x:c r="E453" s="33"/>
      <x:c r="F453" s="33"/>
      <x:c r="G453" s="33"/>
      <x:c r="H453" s="33"/>
      <x:c r="I453" s="33"/>
      <x:c r="J453" s="33"/>
      <x:c r="K453" s="33"/>
      <x:c r="L453" s="33"/>
      <x:c r="M453" s="3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>
      <x:c r="A454" s="33"/>
      <x:c r="B454" s="33"/>
      <x:c r="C454" s="33"/>
      <x:c r="D454" s="33"/>
      <x:c r="E454" s="33"/>
      <x:c r="F454" s="33"/>
      <x:c r="G454" s="33"/>
      <x:c r="H454" s="33"/>
      <x:c r="I454" s="33"/>
      <x:c r="J454" s="33"/>
      <x:c r="K454" s="33"/>
      <x:c r="L454" s="33"/>
      <x:c r="M454" s="3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>
      <x:c r="A455" s="33"/>
      <x:c r="B455" s="33"/>
      <x:c r="C455" s="33"/>
      <x:c r="D455" s="33"/>
      <x:c r="E455" s="33"/>
      <x:c r="F455" s="33"/>
      <x:c r="G455" s="33"/>
      <x:c r="H455" s="33"/>
      <x:c r="I455" s="33"/>
      <x:c r="J455" s="33"/>
      <x:c r="K455" s="33"/>
      <x:c r="L455" s="33"/>
      <x:c r="M455" s="3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>
      <x:c r="A456" s="33"/>
      <x:c r="B456" s="33"/>
      <x:c r="C456" s="33"/>
      <x:c r="D456" s="33"/>
      <x:c r="E456" s="33"/>
      <x:c r="F456" s="33"/>
      <x:c r="G456" s="33"/>
      <x:c r="H456" s="33"/>
      <x:c r="I456" s="33"/>
      <x:c r="J456" s="33"/>
      <x:c r="K456" s="33"/>
      <x:c r="L456" s="33"/>
      <x:c r="M456" s="3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>
      <x:c r="A457" s="33"/>
      <x:c r="B457" s="33"/>
      <x:c r="C457" s="33"/>
      <x:c r="D457" s="33"/>
      <x:c r="E457" s="33"/>
      <x:c r="F457" s="33"/>
      <x:c r="G457" s="33"/>
      <x:c r="H457" s="33"/>
      <x:c r="I457" s="33"/>
      <x:c r="J457" s="33"/>
      <x:c r="K457" s="33"/>
      <x:c r="L457" s="33"/>
      <x:c r="M457" s="3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>
      <x:c r="A458" s="33"/>
      <x:c r="B458" s="33"/>
      <x:c r="C458" s="33"/>
      <x:c r="D458" s="33"/>
      <x:c r="E458" s="33"/>
      <x:c r="F458" s="33"/>
      <x:c r="G458" s="33"/>
      <x:c r="H458" s="33"/>
      <x:c r="I458" s="33"/>
      <x:c r="J458" s="33"/>
      <x:c r="K458" s="33"/>
      <x:c r="L458" s="33"/>
      <x:c r="M458" s="3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>
      <x:c r="A459" s="33"/>
      <x:c r="B459" s="33"/>
      <x:c r="C459" s="33"/>
      <x:c r="D459" s="33"/>
      <x:c r="E459" s="33"/>
      <x:c r="F459" s="33"/>
      <x:c r="G459" s="33"/>
      <x:c r="H459" s="33"/>
      <x:c r="I459" s="33"/>
      <x:c r="J459" s="33"/>
      <x:c r="K459" s="33"/>
      <x:c r="L459" s="33"/>
      <x:c r="M459" s="3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>
      <x:c r="A460" s="33"/>
      <x:c r="B460" s="33"/>
      <x:c r="C460" s="33"/>
      <x:c r="D460" s="33"/>
      <x:c r="E460" s="33"/>
      <x:c r="F460" s="33"/>
      <x:c r="G460" s="33"/>
      <x:c r="H460" s="33"/>
      <x:c r="I460" s="33"/>
      <x:c r="J460" s="33"/>
      <x:c r="K460" s="33"/>
      <x:c r="L460" s="33"/>
      <x:c r="M460" s="3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>
      <x:c r="A461" s="33"/>
      <x:c r="B461" s="33"/>
      <x:c r="C461" s="33"/>
      <x:c r="D461" s="33"/>
      <x:c r="E461" s="33"/>
      <x:c r="F461" s="33"/>
      <x:c r="G461" s="33"/>
      <x:c r="H461" s="33"/>
      <x:c r="I461" s="33"/>
      <x:c r="J461" s="33"/>
      <x:c r="K461" s="33"/>
      <x:c r="L461" s="33"/>
      <x:c r="M461" s="3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>
      <x:c r="A462" s="33"/>
      <x:c r="B462" s="33"/>
      <x:c r="C462" s="33"/>
      <x:c r="D462" s="33"/>
      <x:c r="E462" s="33"/>
      <x:c r="F462" s="33"/>
      <x:c r="G462" s="33"/>
      <x:c r="H462" s="33"/>
      <x:c r="I462" s="33"/>
      <x:c r="J462" s="33"/>
      <x:c r="K462" s="33"/>
      <x:c r="L462" s="33"/>
      <x:c r="M462" s="3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>
      <x:c r="A463" s="33"/>
      <x:c r="B463" s="33"/>
      <x:c r="C463" s="33"/>
      <x:c r="D463" s="33"/>
      <x:c r="E463" s="33"/>
      <x:c r="F463" s="33"/>
      <x:c r="G463" s="33"/>
      <x:c r="H463" s="33"/>
      <x:c r="I463" s="33"/>
      <x:c r="J463" s="33"/>
      <x:c r="K463" s="33"/>
      <x:c r="L463" s="33"/>
      <x:c r="M463" s="3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>
      <x:c r="A464" s="33"/>
      <x:c r="B464" s="33"/>
      <x:c r="C464" s="33"/>
      <x:c r="D464" s="33"/>
      <x:c r="E464" s="33"/>
      <x:c r="F464" s="33"/>
      <x:c r="G464" s="33"/>
      <x:c r="H464" s="33"/>
      <x:c r="I464" s="33"/>
      <x:c r="J464" s="33"/>
      <x:c r="K464" s="33"/>
      <x:c r="L464" s="33"/>
      <x:c r="M464" s="3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>
      <x:c r="A465" s="33"/>
      <x:c r="B465" s="33"/>
      <x:c r="C465" s="33"/>
      <x:c r="D465" s="33"/>
      <x:c r="E465" s="33"/>
      <x:c r="F465" s="33"/>
      <x:c r="G465" s="33"/>
      <x:c r="H465" s="33"/>
      <x:c r="I465" s="33"/>
      <x:c r="J465" s="33"/>
      <x:c r="K465" s="33"/>
      <x:c r="L465" s="33"/>
      <x:c r="M465" s="3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>
      <x:c r="A466" s="33"/>
      <x:c r="B466" s="33"/>
      <x:c r="C466" s="33"/>
      <x:c r="D466" s="33"/>
      <x:c r="E466" s="33"/>
      <x:c r="F466" s="33"/>
      <x:c r="G466" s="33"/>
      <x:c r="H466" s="33"/>
      <x:c r="I466" s="33"/>
      <x:c r="J466" s="33"/>
      <x:c r="K466" s="33"/>
      <x:c r="L466" s="33"/>
      <x:c r="M466" s="3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>
      <x:c r="A467" s="33"/>
      <x:c r="B467" s="33"/>
      <x:c r="C467" s="33"/>
      <x:c r="D467" s="33"/>
      <x:c r="E467" s="33"/>
      <x:c r="F467" s="33"/>
      <x:c r="G467" s="33"/>
      <x:c r="H467" s="33"/>
      <x:c r="I467" s="33"/>
      <x:c r="J467" s="33"/>
      <x:c r="K467" s="33"/>
      <x:c r="L467" s="33"/>
      <x:c r="M467" s="3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>
      <x:c r="A468" s="33"/>
      <x:c r="B468" s="33"/>
      <x:c r="C468" s="33"/>
      <x:c r="D468" s="33"/>
      <x:c r="E468" s="33"/>
      <x:c r="F468" s="33"/>
      <x:c r="G468" s="33"/>
      <x:c r="H468" s="33"/>
      <x:c r="I468" s="33"/>
      <x:c r="J468" s="33"/>
      <x:c r="K468" s="33"/>
      <x:c r="L468" s="33"/>
      <x:c r="M468" s="3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>
      <x:c r="A469" s="33"/>
      <x:c r="B469" s="33"/>
      <x:c r="C469" s="33"/>
      <x:c r="D469" s="33"/>
      <x:c r="E469" s="33"/>
      <x:c r="F469" s="33"/>
      <x:c r="G469" s="33"/>
      <x:c r="H469" s="33"/>
      <x:c r="I469" s="33"/>
      <x:c r="J469" s="33"/>
      <x:c r="K469" s="33"/>
      <x:c r="L469" s="33"/>
      <x:c r="M469" s="3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>
      <x:c r="A470" s="33"/>
      <x:c r="B470" s="33"/>
      <x:c r="C470" s="33"/>
      <x:c r="D470" s="33"/>
      <x:c r="E470" s="33"/>
      <x:c r="F470" s="33"/>
      <x:c r="G470" s="33"/>
      <x:c r="H470" s="33"/>
      <x:c r="I470" s="33"/>
      <x:c r="J470" s="33"/>
      <x:c r="K470" s="33"/>
      <x:c r="L470" s="33"/>
      <x:c r="M470" s="3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>
      <x:c r="A471" s="33"/>
      <x:c r="B471" s="33"/>
      <x:c r="C471" s="33"/>
      <x:c r="D471" s="33"/>
      <x:c r="E471" s="33"/>
      <x:c r="F471" s="33"/>
      <x:c r="G471" s="33"/>
      <x:c r="H471" s="33"/>
      <x:c r="I471" s="33"/>
      <x:c r="J471" s="33"/>
      <x:c r="K471" s="33"/>
      <x:c r="L471" s="33"/>
      <x:c r="M471" s="3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>
      <x:c r="A472" s="33"/>
      <x:c r="B472" s="33"/>
      <x:c r="C472" s="33"/>
      <x:c r="D472" s="33"/>
      <x:c r="E472" s="33"/>
      <x:c r="F472" s="33"/>
      <x:c r="G472" s="33"/>
      <x:c r="H472" s="33"/>
      <x:c r="I472" s="33"/>
      <x:c r="J472" s="33"/>
      <x:c r="K472" s="33"/>
      <x:c r="L472" s="33"/>
      <x:c r="M472" s="3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>
      <x:c r="A473" s="33"/>
      <x:c r="B473" s="33"/>
      <x:c r="C473" s="33"/>
      <x:c r="D473" s="33"/>
      <x:c r="E473" s="33"/>
      <x:c r="F473" s="33"/>
      <x:c r="G473" s="33"/>
      <x:c r="H473" s="33"/>
      <x:c r="I473" s="33"/>
      <x:c r="J473" s="33"/>
      <x:c r="K473" s="33"/>
      <x:c r="L473" s="33"/>
      <x:c r="M473" s="3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>
      <x:c r="A474" s="33"/>
      <x:c r="B474" s="33"/>
      <x:c r="C474" s="33"/>
      <x:c r="D474" s="33"/>
      <x:c r="E474" s="33"/>
      <x:c r="F474" s="33"/>
      <x:c r="G474" s="33"/>
      <x:c r="H474" s="33"/>
      <x:c r="I474" s="33"/>
      <x:c r="J474" s="33"/>
      <x:c r="K474" s="33"/>
      <x:c r="L474" s="33"/>
      <x:c r="M474" s="3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>
      <x:c r="A475" s="33"/>
      <x:c r="B475" s="33"/>
      <x:c r="C475" s="33"/>
      <x:c r="D475" s="33"/>
      <x:c r="E475" s="33"/>
      <x:c r="F475" s="33"/>
      <x:c r="G475" s="33"/>
      <x:c r="H475" s="33"/>
      <x:c r="I475" s="33"/>
      <x:c r="J475" s="33"/>
      <x:c r="K475" s="33"/>
      <x:c r="L475" s="33"/>
      <x:c r="M475" s="3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>
      <x:c r="A476" s="33"/>
      <x:c r="B476" s="33"/>
      <x:c r="C476" s="33"/>
      <x:c r="D476" s="33"/>
      <x:c r="E476" s="33"/>
      <x:c r="F476" s="33"/>
      <x:c r="G476" s="33"/>
      <x:c r="H476" s="33"/>
      <x:c r="I476" s="33"/>
      <x:c r="J476" s="33"/>
      <x:c r="K476" s="33"/>
      <x:c r="L476" s="33"/>
      <x:c r="M476" s="3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>
      <x:c r="A477" s="33"/>
      <x:c r="B477" s="33"/>
      <x:c r="C477" s="33"/>
      <x:c r="D477" s="33"/>
      <x:c r="E477" s="33"/>
      <x:c r="F477" s="33"/>
      <x:c r="G477" s="33"/>
      <x:c r="H477" s="33"/>
      <x:c r="I477" s="33"/>
      <x:c r="J477" s="33"/>
      <x:c r="K477" s="33"/>
      <x:c r="L477" s="33"/>
      <x:c r="M477" s="3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>
      <x:c r="A478" s="33"/>
      <x:c r="B478" s="33"/>
      <x:c r="C478" s="33"/>
      <x:c r="D478" s="33"/>
      <x:c r="E478" s="33"/>
      <x:c r="F478" s="33"/>
      <x:c r="G478" s="33"/>
      <x:c r="H478" s="33"/>
      <x:c r="I478" s="33"/>
      <x:c r="J478" s="33"/>
      <x:c r="K478" s="33"/>
      <x:c r="L478" s="33"/>
      <x:c r="M478" s="3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>
      <x:c r="A479" s="33"/>
      <x:c r="B479" s="33"/>
      <x:c r="C479" s="33"/>
      <x:c r="D479" s="33"/>
      <x:c r="E479" s="33"/>
      <x:c r="F479" s="33"/>
      <x:c r="G479" s="33"/>
      <x:c r="H479" s="33"/>
      <x:c r="I479" s="33"/>
      <x:c r="J479" s="33"/>
      <x:c r="K479" s="33"/>
      <x:c r="L479" s="33"/>
      <x:c r="M479" s="3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>
      <x:c r="A480" s="33"/>
      <x:c r="B480" s="33"/>
      <x:c r="C480" s="33"/>
      <x:c r="D480" s="33"/>
      <x:c r="E480" s="33"/>
      <x:c r="F480" s="33"/>
      <x:c r="G480" s="33"/>
      <x:c r="H480" s="33"/>
      <x:c r="I480" s="33"/>
      <x:c r="J480" s="33"/>
      <x:c r="K480" s="33"/>
      <x:c r="L480" s="33"/>
      <x:c r="M480" s="3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>
      <x:c r="A481" s="33"/>
      <x:c r="B481" s="33"/>
      <x:c r="C481" s="33"/>
      <x:c r="D481" s="33"/>
      <x:c r="E481" s="33"/>
      <x:c r="F481" s="33"/>
      <x:c r="G481" s="33"/>
      <x:c r="H481" s="33"/>
      <x:c r="I481" s="33"/>
      <x:c r="J481" s="33"/>
      <x:c r="K481" s="33"/>
      <x:c r="L481" s="33"/>
      <x:c r="M481" s="3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>
      <x:c r="A482" s="33"/>
      <x:c r="B482" s="33"/>
      <x:c r="C482" s="33"/>
      <x:c r="D482" s="33"/>
      <x:c r="E482" s="33"/>
      <x:c r="F482" s="33"/>
      <x:c r="G482" s="33"/>
      <x:c r="H482" s="33"/>
      <x:c r="I482" s="33"/>
      <x:c r="J482" s="33"/>
      <x:c r="K482" s="33"/>
      <x:c r="L482" s="33"/>
      <x:c r="M482" s="3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>
      <x:c r="A483" s="33"/>
      <x:c r="B483" s="33"/>
      <x:c r="C483" s="33"/>
      <x:c r="D483" s="33"/>
      <x:c r="E483" s="33"/>
      <x:c r="F483" s="33"/>
      <x:c r="G483" s="33"/>
      <x:c r="H483" s="33"/>
      <x:c r="I483" s="33"/>
      <x:c r="J483" s="33"/>
      <x:c r="K483" s="33"/>
      <x:c r="L483" s="33"/>
      <x:c r="M483" s="3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>
      <x:c r="A484" s="33"/>
      <x:c r="B484" s="33"/>
      <x:c r="C484" s="33"/>
      <x:c r="D484" s="33"/>
      <x:c r="E484" s="33"/>
      <x:c r="F484" s="33"/>
      <x:c r="G484" s="33"/>
      <x:c r="H484" s="33"/>
      <x:c r="I484" s="33"/>
      <x:c r="J484" s="33"/>
      <x:c r="K484" s="33"/>
      <x:c r="L484" s="33"/>
      <x:c r="M484" s="3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>
      <x:c r="A485" s="33"/>
      <x:c r="B485" s="33"/>
      <x:c r="C485" s="33"/>
      <x:c r="D485" s="33"/>
      <x:c r="E485" s="33"/>
      <x:c r="F485" s="33"/>
      <x:c r="G485" s="33"/>
      <x:c r="H485" s="33"/>
      <x:c r="I485" s="33"/>
      <x:c r="J485" s="33"/>
      <x:c r="K485" s="33"/>
      <x:c r="L485" s="33"/>
      <x:c r="M485" s="3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>
      <x:c r="A486" s="33"/>
      <x:c r="B486" s="33"/>
      <x:c r="C486" s="33"/>
      <x:c r="D486" s="33"/>
      <x:c r="E486" s="33"/>
      <x:c r="F486" s="33"/>
      <x:c r="G486" s="33"/>
      <x:c r="H486" s="33"/>
      <x:c r="I486" s="33"/>
      <x:c r="J486" s="33"/>
      <x:c r="K486" s="33"/>
      <x:c r="L486" s="33"/>
      <x:c r="M486" s="3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>
      <x:c r="A487" s="33"/>
      <x:c r="B487" s="33"/>
      <x:c r="C487" s="33"/>
      <x:c r="D487" s="33"/>
      <x:c r="E487" s="33"/>
      <x:c r="F487" s="33"/>
      <x:c r="G487" s="33"/>
      <x:c r="H487" s="33"/>
      <x:c r="I487" s="33"/>
      <x:c r="J487" s="33"/>
      <x:c r="K487" s="33"/>
      <x:c r="L487" s="33"/>
      <x:c r="M487" s="3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>
      <x:c r="A488" s="33"/>
      <x:c r="B488" s="33"/>
      <x:c r="C488" s="33"/>
      <x:c r="D488" s="33"/>
      <x:c r="E488" s="33"/>
      <x:c r="F488" s="33"/>
      <x:c r="G488" s="33"/>
      <x:c r="H488" s="33"/>
      <x:c r="I488" s="33"/>
      <x:c r="J488" s="33"/>
      <x:c r="K488" s="33"/>
      <x:c r="L488" s="33"/>
      <x:c r="M488" s="3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>
      <x:c r="A489" s="33"/>
      <x:c r="B489" s="33"/>
      <x:c r="C489" s="33"/>
      <x:c r="D489" s="33"/>
      <x:c r="E489" s="33"/>
      <x:c r="F489" s="33"/>
      <x:c r="G489" s="33"/>
      <x:c r="H489" s="33"/>
      <x:c r="I489" s="33"/>
      <x:c r="J489" s="33"/>
      <x:c r="K489" s="33"/>
      <x:c r="L489" s="33"/>
      <x:c r="M489" s="3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>
      <x:c r="A490" s="33"/>
      <x:c r="B490" s="33"/>
      <x:c r="C490" s="33"/>
      <x:c r="D490" s="33"/>
      <x:c r="E490" s="33"/>
      <x:c r="F490" s="33"/>
      <x:c r="G490" s="33"/>
      <x:c r="H490" s="33"/>
      <x:c r="I490" s="33"/>
      <x:c r="J490" s="33"/>
      <x:c r="K490" s="33"/>
      <x:c r="L490" s="33"/>
      <x:c r="M490" s="3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>
      <x:c r="A491" s="33"/>
      <x:c r="B491" s="33"/>
      <x:c r="C491" s="33"/>
      <x:c r="D491" s="33"/>
      <x:c r="E491" s="33"/>
      <x:c r="F491" s="33"/>
      <x:c r="G491" s="33"/>
      <x:c r="H491" s="33"/>
      <x:c r="I491" s="33"/>
      <x:c r="J491" s="33"/>
      <x:c r="K491" s="33"/>
      <x:c r="L491" s="33"/>
      <x:c r="M491" s="3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>
      <x:c r="A492" s="33"/>
      <x:c r="B492" s="33"/>
      <x:c r="C492" s="33"/>
      <x:c r="D492" s="33"/>
      <x:c r="E492" s="33"/>
      <x:c r="F492" s="33"/>
      <x:c r="G492" s="33"/>
      <x:c r="H492" s="33"/>
      <x:c r="I492" s="33"/>
      <x:c r="J492" s="33"/>
      <x:c r="K492" s="33"/>
      <x:c r="L492" s="33"/>
      <x:c r="M492" s="3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>
      <x:c r="A493" s="33"/>
      <x:c r="B493" s="33"/>
      <x:c r="C493" s="33"/>
      <x:c r="D493" s="33"/>
      <x:c r="E493" s="33"/>
      <x:c r="F493" s="33"/>
      <x:c r="G493" s="33"/>
      <x:c r="H493" s="33"/>
      <x:c r="I493" s="33"/>
      <x:c r="J493" s="33"/>
      <x:c r="K493" s="33"/>
      <x:c r="L493" s="33"/>
      <x:c r="M493" s="3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>
      <x:c r="A494" s="33"/>
      <x:c r="B494" s="33"/>
      <x:c r="C494" s="33"/>
      <x:c r="D494" s="33"/>
      <x:c r="E494" s="33"/>
      <x:c r="F494" s="33"/>
      <x:c r="G494" s="33"/>
      <x:c r="H494" s="33"/>
      <x:c r="I494" s="33"/>
      <x:c r="J494" s="33"/>
      <x:c r="K494" s="33"/>
      <x:c r="L494" s="33"/>
      <x:c r="M494" s="3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>
      <x:c r="A495" s="33"/>
      <x:c r="B495" s="33"/>
      <x:c r="C495" s="33"/>
      <x:c r="D495" s="33"/>
      <x:c r="E495" s="33"/>
      <x:c r="F495" s="33"/>
      <x:c r="G495" s="33"/>
      <x:c r="H495" s="33"/>
      <x:c r="I495" s="33"/>
      <x:c r="J495" s="33"/>
      <x:c r="K495" s="33"/>
      <x:c r="L495" s="33"/>
      <x:c r="M495" s="3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>
      <x:c r="A496" s="33"/>
      <x:c r="B496" s="33"/>
      <x:c r="C496" s="33"/>
      <x:c r="D496" s="33"/>
      <x:c r="E496" s="33"/>
      <x:c r="F496" s="33"/>
      <x:c r="G496" s="33"/>
      <x:c r="H496" s="33"/>
      <x:c r="I496" s="33"/>
      <x:c r="J496" s="33"/>
      <x:c r="K496" s="33"/>
      <x:c r="L496" s="33"/>
      <x:c r="M496" s="3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>
      <x:c r="A497" s="33"/>
      <x:c r="B497" s="33"/>
      <x:c r="C497" s="33"/>
      <x:c r="D497" s="33"/>
      <x:c r="E497" s="33"/>
      <x:c r="F497" s="33"/>
      <x:c r="G497" s="33"/>
      <x:c r="H497" s="33"/>
      <x:c r="I497" s="33"/>
      <x:c r="J497" s="33"/>
      <x:c r="K497" s="33"/>
      <x:c r="L497" s="33"/>
      <x:c r="M497" s="3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>
      <x:c r="A498" s="33"/>
      <x:c r="B498" s="33"/>
      <x:c r="C498" s="33"/>
      <x:c r="D498" s="33"/>
      <x:c r="E498" s="33"/>
      <x:c r="F498" s="33"/>
      <x:c r="G498" s="33"/>
      <x:c r="H498" s="33"/>
      <x:c r="I498" s="33"/>
      <x:c r="J498" s="33"/>
      <x:c r="K498" s="33"/>
      <x:c r="L498" s="33"/>
      <x:c r="M498" s="3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>
      <x:c r="A499" s="33"/>
      <x:c r="B499" s="33"/>
      <x:c r="C499" s="33"/>
      <x:c r="D499" s="33"/>
      <x:c r="E499" s="33"/>
      <x:c r="F499" s="33"/>
      <x:c r="G499" s="33"/>
      <x:c r="H499" s="33"/>
      <x:c r="I499" s="33"/>
      <x:c r="J499" s="33"/>
      <x:c r="K499" s="33"/>
      <x:c r="L499" s="33"/>
      <x:c r="M499" s="3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>
      <x:c r="A500" s="33"/>
      <x:c r="B500" s="33"/>
      <x:c r="C500" s="33"/>
      <x:c r="D500" s="33"/>
      <x:c r="E500" s="33"/>
      <x:c r="F500" s="33"/>
      <x:c r="G500" s="33"/>
      <x:c r="H500" s="33"/>
      <x:c r="I500" s="33"/>
      <x:c r="J500" s="33"/>
      <x:c r="K500" s="33"/>
      <x:c r="L500" s="33"/>
      <x:c r="M500" s="3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12" hidden="0" customWidth="1"/>
    <x:col min="5" max="5" width="12" hidden="0" customWidth="1"/>
    <x:col min="6" max="6" width="10" hidden="0" customWidth="1"/>
    <x:col min="7" max="7" width="16" hidden="0" customWidth="1"/>
    <x:col min="8" max="8" width="20" hidden="0" customWidth="1"/>
  </x:cols>
  <x:sheetData>
    <x:row r="1" ht="26" customHeight="1">
      <x:c r="A1" s="3" t="str">
        <x:v>06_Rui_ro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Mã dự án</x:v>
      </x:c>
      <x:c r="B3" s="9" t="str">
        <x:v>Nhóm</x:v>
      </x:c>
      <x:c r="C3" s="9" t="str">
        <x:v>Rủi ro/Vấn đề</x:v>
      </x:c>
      <x:c r="D3" s="9" t="str">
        <x:v>Khả năng</x:v>
      </x:c>
      <x:c r="E3" s="9" t="str">
        <x:v>Tác động</x:v>
      </x:c>
      <x:c r="F3" s="9" t="str">
        <x:v>Điểm</x:v>
      </x:c>
      <x:c r="G3" s="9" t="str">
        <x:v>Trạng thái</x:v>
      </x:c>
      <x:c r="H3" s="9" t="str">
        <x:v>Chủ sở hữu</x:v>
      </x:c>
    </x:row>
    <x:row r="4">
      <x:c r="A4" s="14" t="str">
        <x:v>DA01</x:v>
      </x:c>
      <x:c r="B4" s="14" t="str">
        <x:v>Pháp lý</x:v>
      </x:c>
      <x:c r="C4" s="14" t="str">
        <x:v>Quy hoạch 1/500</x:v>
      </x:c>
      <x:c r="D4" s="14" t="n">
        <x:v>5</x:v>
      </x:c>
      <x:c r="E4" s="14" t="n">
        <x:v>5</x:v>
      </x:c>
      <x:c r="F4" s="14" t="n">
        <x:v>25</x:v>
      </x:c>
      <x:c r="G4" s="14" t="str">
        <x:v>Mở</x:v>
      </x:c>
      <x:c r="H4" s="14" t="str">
        <x:v>Giám đốc dự án</x:v>
      </x:c>
    </x:row>
    <x:row r="5">
      <x:c r="A5" s="14" t="str">
        <x:v>DA02</x:v>
      </x:c>
      <x:c r="B5" s="14" t="str">
        <x:v>Pháp lý</x:v>
      </x:c>
      <x:c r="C5" s="14" t="str">
        <x:v>Nghĩa vụ tài chính đất</x:v>
      </x:c>
      <x:c r="D5" s="14" t="n">
        <x:v>5</x:v>
      </x:c>
      <x:c r="E5" s="14" t="n">
        <x:v>5</x:v>
      </x:c>
      <x:c r="F5" s="14" t="n">
        <x:v>25</x:v>
      </x:c>
      <x:c r="G5" s="14" t="str">
        <x:v>Mở</x:v>
      </x:c>
      <x:c r="H5" s="14" t="str">
        <x:v>Giám đốc dự án</x:v>
      </x:c>
    </x:row>
    <x:row r="6">
      <x:c r="A6" s="14" t="str">
        <x:v>DA03</x:v>
      </x:c>
      <x:c r="B6" s="14" t="str">
        <x:v>Pháp lý</x:v>
      </x:c>
      <x:c r="C6" s="14" t="str">
        <x:v>CAPEX vượt kế hoạch</x:v>
      </x:c>
      <x:c r="D6" s="14" t="n">
        <x:v>4</x:v>
      </x:c>
      <x:c r="E6" s="14" t="n">
        <x:v>5</x:v>
      </x:c>
      <x:c r="F6" s="14" t="n">
        <x:v>20</x:v>
      </x:c>
      <x:c r="G6" s="14" t="str">
        <x:v>Mở</x:v>
      </x:c>
      <x:c r="H6" s="14" t="str">
        <x:v>Giám đốc dự án</x:v>
      </x:c>
    </x:row>
    <x:row r="7">
      <x:c r="A7" s="14" t="str">
        <x:v>DA04</x:v>
      </x:c>
      <x:c r="B7" s="14" t="str">
        <x:v>Pháp lý</x:v>
      </x:c>
      <x:c r="C7" s="14" t="str">
        <x:v>Tốc độ hấp thụ</x:v>
      </x:c>
      <x:c r="D7" s="14" t="n">
        <x:v>4</x:v>
      </x:c>
      <x:c r="E7" s="14" t="n">
        <x:v>5</x:v>
      </x:c>
      <x:c r="F7" s="14" t="n">
        <x:v>20</x:v>
      </x:c>
      <x:c r="G7" s="14" t="str">
        <x:v>Mở</x:v>
      </x:c>
      <x:c r="H7" s="14" t="str">
        <x:v>Giám đốc dự án</x:v>
      </x:c>
    </x:row>
    <x:row r="8">
      <x:c r="A8" s="14" t="str">
        <x:v>DA05</x:v>
      </x:c>
      <x:c r="B8" s="14" t="str">
        <x:v>Pháp lý</x:v>
      </x:c>
      <x:c r="C8" s="14" t="str">
        <x:v>GCN cho khách hàng</x:v>
      </x:c>
      <x:c r="D8" s="14" t="n">
        <x:v>4</x:v>
      </x:c>
      <x:c r="E8" s="14" t="n">
        <x:v>3</x:v>
      </x:c>
      <x:c r="F8" s="14" t="n">
        <x:v>12</x:v>
      </x:c>
      <x:c r="G8" s="14" t="str">
        <x:v>Mở</x:v>
      </x:c>
      <x:c r="H8" s="14" t="str">
        <x:v>Giám đốc dự án</x:v>
      </x:c>
    </x:row>
    <x:row r="9">
      <x:c r="A9" s="14" t="str">
        <x:v>DA06</x:v>
      </x:c>
      <x:c r="B9" s="14" t="str">
        <x:v>Pháp lý</x:v>
      </x:c>
      <x:c r="C9" s="14" t="str">
        <x:v>Giá mua &amp; DD pháp lý</x:v>
      </x:c>
      <x:c r="D9" s="14" t="n">
        <x:v>5</x:v>
      </x:c>
      <x:c r="E9" s="14" t="n">
        <x:v>5</x:v>
      </x:c>
      <x:c r="F9" s="14" t="n">
        <x:v>25</x:v>
      </x:c>
      <x:c r="G9" s="14" t="str">
        <x:v>Mở</x:v>
      </x:c>
      <x:c r="H9" s="14" t="str">
        <x:v>Giám đốc dự án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20" hidden="0" customWidth="1"/>
    <x:col min="4" max="4" width="22" hidden="0" customWidth="1"/>
    <x:col min="5" max="5" width="14" hidden="0" customWidth="1"/>
    <x:col min="6" max="6" width="16" hidden="0" customWidth="1"/>
    <x:col min="7" max="7" width="18" hidden="0" customWidth="1"/>
    <x:col min="8" max="8" width="16" hidden="0" customWidth="1"/>
    <x:col min="9" max="9" width="34" hidden="0" customWidth="1"/>
  </x:cols>
  <x:sheetData>
    <x:row r="1" ht="26" customHeight="1">
      <x:c r="A1" s="3" t="str">
        <x:v>07_Hanh_dong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9" t="str">
        <x:v>Mã dự án</x:v>
      </x:c>
      <x:c r="B3" s="9" t="str">
        <x:v>Việc cần làm</x:v>
      </x:c>
      <x:c r="C3" s="9" t="str">
        <x:v>Chủ trì</x:v>
      </x:c>
      <x:c r="D3" s="9" t="str">
        <x:v>Phối hợp</x:v>
      </x:c>
      <x:c r="E3" s="9" t="str">
        <x:v>Ưu tiên</x:v>
      </x:c>
      <x:c r="F3" s="9" t="str">
        <x:v>Hạn xử lý</x:v>
      </x:c>
      <x:c r="G3" s="9" t="str">
        <x:v>Trạng thái</x:v>
      </x:c>
      <x:c r="H3" s="9" t="str">
        <x:v>Báo cáo TGĐ?</x:v>
      </x:c>
      <x:c r="I3" s="9" t="str">
        <x:v>Đầu ra cần chốt</x:v>
      </x:c>
    </x:row>
    <x:row r="4">
      <x:c r="A4" s="14" t="str">
        <x:v>DA01</x:v>
      </x:c>
      <x:c r="B4" s="14" t="str">
        <x:v>Xử lý: Quy hoạch 1/500</x:v>
      </x:c>
      <x:c r="C4" s="14" t="str">
        <x:v>Giám đốc dự án</x:v>
      </x:c>
      <x:c r="D4" s="14" t="str">
        <x:v>Pháp chế/Tài chính</x:v>
      </x:c>
      <x:c r="E4" s="14" t="str">
        <x:v>Rất cao</x:v>
      </x:c>
      <x:c r="F4" s="14" t="n">
        <x:v>46254</x:v>
      </x:c>
      <x:c r="G4" s="14" t="str">
        <x:v>Đang thực hiện</x:v>
      </x:c>
      <x:c r="H4" s="14" t="str">
        <x:v>Có</x:v>
      </x:c>
      <x:c r="I4" s="14" t="str">
        <x:v>Chốt đầu ra và cập nhật mốc khóa</x:v>
      </x:c>
    </x:row>
    <x:row r="5">
      <x:c r="A5" s="14" t="str">
        <x:v>DA02</x:v>
      </x:c>
      <x:c r="B5" s="14" t="str">
        <x:v>Xử lý: Nghĩa vụ tài chính đất</x:v>
      </x:c>
      <x:c r="C5" s="14" t="str">
        <x:v>Giám đốc dự án</x:v>
      </x:c>
      <x:c r="D5" s="14" t="str">
        <x:v>Pháp chế/Tài chính</x:v>
      </x:c>
      <x:c r="E5" s="14" t="str">
        <x:v>Rất cao</x:v>
      </x:c>
      <x:c r="F5" s="14" t="n">
        <x:v>46254</x:v>
      </x:c>
      <x:c r="G5" s="14" t="str">
        <x:v>Đang thực hiện</x:v>
      </x:c>
      <x:c r="H5" s="14" t="str">
        <x:v>Có</x:v>
      </x:c>
      <x:c r="I5" s="14" t="str">
        <x:v>Chốt đầu ra và cập nhật mốc khóa</x:v>
      </x:c>
    </x:row>
    <x:row r="6">
      <x:c r="A6" s="14" t="str">
        <x:v>DA03</x:v>
      </x:c>
      <x:c r="B6" s="14" t="str">
        <x:v>Xử lý: CAPEX vượt kế hoạch</x:v>
      </x:c>
      <x:c r="C6" s="14" t="str">
        <x:v>Giám đốc dự án</x:v>
      </x:c>
      <x:c r="D6" s="14" t="str">
        <x:v>Pháp chế/Tài chính</x:v>
      </x:c>
      <x:c r="E6" s="14" t="str">
        <x:v>Cao</x:v>
      </x:c>
      <x:c r="F6" s="14" t="n">
        <x:v>46254</x:v>
      </x:c>
      <x:c r="G6" s="14" t="str">
        <x:v>Đang thực hiện</x:v>
      </x:c>
      <x:c r="H6" s="14" t="str">
        <x:v>Có</x:v>
      </x:c>
      <x:c r="I6" s="14" t="str">
        <x:v>Chốt đầu ra và cập nhật mốc khóa</x:v>
      </x:c>
    </x:row>
    <x:row r="7">
      <x:c r="A7" s="14" t="str">
        <x:v>DA04</x:v>
      </x:c>
      <x:c r="B7" s="14" t="str">
        <x:v>Xử lý: Tốc độ hấp thụ</x:v>
      </x:c>
      <x:c r="C7" s="14" t="str">
        <x:v>Giám đốc dự án</x:v>
      </x:c>
      <x:c r="D7" s="14" t="str">
        <x:v>Pháp chế/Tài chính</x:v>
      </x:c>
      <x:c r="E7" s="14" t="str">
        <x:v>Cao</x:v>
      </x:c>
      <x:c r="F7" s="14" t="n">
        <x:v>46254</x:v>
      </x:c>
      <x:c r="G7" s="14" t="str">
        <x:v>Đang thực hiện</x:v>
      </x:c>
      <x:c r="H7" s="14" t="str">
        <x:v>Có</x:v>
      </x:c>
      <x:c r="I7" s="14" t="str">
        <x:v>Chốt đầu ra và cập nhật mốc khóa</x:v>
      </x:c>
    </x:row>
    <x:row r="8">
      <x:c r="A8" s="14" t="str">
        <x:v>DA05</x:v>
      </x:c>
      <x:c r="B8" s="14" t="str">
        <x:v>Xử lý: GCN cho khách hàng</x:v>
      </x:c>
      <x:c r="C8" s="14" t="str">
        <x:v>Giám đốc dự án</x:v>
      </x:c>
      <x:c r="D8" s="14" t="str">
        <x:v>Pháp chế/Tài chính</x:v>
      </x:c>
      <x:c r="E8" s="14" t="str">
        <x:v>Cao</x:v>
      </x:c>
      <x:c r="F8" s="14" t="n">
        <x:v>46254</x:v>
      </x:c>
      <x:c r="G8" s="14" t="str">
        <x:v>Đang thực hiện</x:v>
      </x:c>
      <x:c r="H8" s="14" t="str">
        <x:v>Có</x:v>
      </x:c>
      <x:c r="I8" s="14" t="str">
        <x:v>Chốt đầu ra và cập nhật mốc khóa</x:v>
      </x:c>
    </x:row>
    <x:row r="9">
      <x:c r="A9" s="14" t="str">
        <x:v>DA06</x:v>
      </x:c>
      <x:c r="B9" s="14" t="str">
        <x:v>Xử lý: Giá mua &amp; DD pháp lý</x:v>
      </x:c>
      <x:c r="C9" s="14" t="str">
        <x:v>Giám đốc dự án</x:v>
      </x:c>
      <x:c r="D9" s="14" t="str">
        <x:v>Pháp chế/Tài chính</x:v>
      </x:c>
      <x:c r="E9" s="14" t="str">
        <x:v>Rất cao</x:v>
      </x:c>
      <x:c r="F9" s="14" t="n">
        <x:v>46254</x:v>
      </x:c>
      <x:c r="G9" s="14" t="str">
        <x:v>Đang thực hiện</x:v>
      </x:c>
      <x:c r="H9" s="14" t="str">
        <x:v>Có</x:v>
      </x:c>
      <x:c r="I9" s="14" t="str">
        <x:v>Chốt đầu ra và cập nhật mốc khóa</x:v>
      </x:c>
    </x:row>
  </x:sheetData>
  <x:mergeCells>
    <x:mergeCell ref="A1:I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14" hidden="0" customWidth="1"/>
    <x:col min="8" max="8" width="18" hidden="0" customWidth="1"/>
    <x:col min="9" max="9" width="22" hidden="0" customWidth="1"/>
    <x:col min="10" max="10" width="18" hidden="0" customWidth="1"/>
    <x:col min="11" max="11" width="18" hidden="0" customWidth="1"/>
  </x:cols>
  <x:sheetData>
    <x:row r="1" ht="26" customHeight="1">
      <x:c r="A1" s="32" t="str">
        <x:v>08_Feasibility_MA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4" t="str">
        <x:v>Mã dự án</x:v>
      </x:c>
      <x:c r="B3" s="34" t="str">
        <x:v>Tên dự án</x:v>
      </x:c>
      <x:c r="C3" s="34" t="str">
        <x:v>GDV/Doanh thu (tỷ)</x:v>
      </x:c>
      <x:c r="D3" s="34" t="str">
        <x:v>Tổng chi phí (tỷ)</x:v>
      </x:c>
      <x:c r="E3" s="34" t="str">
        <x:v>Chi phí đất hiện tại</x:v>
      </x:c>
      <x:c r="F3" s="34" t="str">
        <x:v>Lợi nhuận phát triển</x:v>
      </x:c>
      <x:c r="G3" s="34" t="str">
        <x:v>Biên LN</x:v>
      </x:c>
      <x:c r="H3" s="34" t="str">
        <x:v>Hurdle Equity IRR</x:v>
      </x:c>
      <x:c r="I3" s="34" t="str">
        <x:v>Giá đất tối đa sơ bộ</x:v>
      </x:c>
      <x:c r="J3" s="34" t="str">
        <x:v>Dư địa giá đất</x:v>
      </x:c>
      <x:c r="K3" s="34" t="str">
        <x:v>Trạng thái</x:v>
      </x:c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5" t="str">
        <x:v>DA01</x:v>
      </x:c>
      <x:c r="B4" s="35" t="str">
        <x:v>Khu đô thị Tây Hà Nội</x:v>
      </x:c>
      <x:c r="C4" s="35" t="n">
        <x:v>9800</x:v>
      </x:c>
      <x:c r="D4" s="35" t="n">
        <x:v>6500</x:v>
      </x:c>
      <x:c r="E4" s="35" t="n">
        <x:v>1625</x:v>
      </x:c>
      <x:c r="F4" s="35" t="n">
        <x:v>3300</x:v>
      </x:c>
      <x:c r="G4" s="35" t="n">
        <x:v>0.336734693877551</x:v>
      </x:c>
      <x:c r="H4" s="35" t="n">
        <x:v>0.18</x:v>
      </x:c>
      <x:c r="I4" s="35" t="n">
        <x:v>3430.0847457627115</x:v>
      </x:c>
      <x:c r="J4" s="35" t="n">
        <x:v>1805.0847457627115</x:v>
      </x:c>
      <x:c r="K4" s="35" t="str">
        <x:v>Dự án hiện hữu</x:v>
      </x:c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5" t="str">
        <x:v>DA02</x:v>
      </x:c>
      <x:c r="B5" s="35" t="str">
        <x:v>Khu nhà ở Đông Anh</x:v>
      </x:c>
      <x:c r="C5" s="35" t="n">
        <x:v>11200</x:v>
      </x:c>
      <x:c r="D5" s="35" t="n">
        <x:v>7200</x:v>
      </x:c>
      <x:c r="E5" s="35" t="n">
        <x:v>1800</x:v>
      </x:c>
      <x:c r="F5" s="35" t="n">
        <x:v>4000</x:v>
      </x:c>
      <x:c r="G5" s="35" t="n">
        <x:v>0.35714285714285715</x:v>
      </x:c>
      <x:c r="H5" s="35" t="n">
        <x:v>0.18</x:v>
      </x:c>
      <x:c r="I5" s="35" t="n">
        <x:v>4091.5254237288136</x:v>
      </x:c>
      <x:c r="J5" s="35" t="n">
        <x:v>2291.5254237288136</x:v>
      </x:c>
      <x:c r="K5" s="35" t="str">
        <x:v>Dự án hiện hữu</x:v>
      </x:c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5" t="str">
        <x:v>DA03</x:v>
      </x:c>
      <x:c r="B6" s="35" t="str">
        <x:v>Khu đô thị Hưng Yên</x:v>
      </x:c>
      <x:c r="C6" s="35" t="n">
        <x:v>14800</x:v>
      </x:c>
      <x:c r="D6" s="35" t="n">
        <x:v>9800</x:v>
      </x:c>
      <x:c r="E6" s="35" t="n">
        <x:v>2450</x:v>
      </x:c>
      <x:c r="F6" s="35" t="n">
        <x:v>5000</x:v>
      </x:c>
      <x:c r="G6" s="35" t="n">
        <x:v>0.33783783783783783</x:v>
      </x:c>
      <x:c r="H6" s="35" t="n">
        <x:v>0.18</x:v>
      </x:c>
      <x:c r="I6" s="35" t="n">
        <x:v>5192.372881355934</x:v>
      </x:c>
      <x:c r="J6" s="35" t="n">
        <x:v>2742.3728813559337</x:v>
      </x:c>
      <x:c r="K6" s="35" t="str">
        <x:v>Dự án hiện hữu</x:v>
      </x:c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5" t="str">
        <x:v>DA04</x:v>
      </x:c>
      <x:c r="B7" s="35" t="str">
        <x:v>Tổ hợp Hải Phòng</x:v>
      </x:c>
      <x:c r="C7" s="35" t="n">
        <x:v>13200</x:v>
      </x:c>
      <x:c r="D7" s="35" t="n">
        <x:v>8400</x:v>
      </x:c>
      <x:c r="E7" s="35" t="n">
        <x:v>2100</x:v>
      </x:c>
      <x:c r="F7" s="35" t="n">
        <x:v>4800</x:v>
      </x:c>
      <x:c r="G7" s="35" t="n">
        <x:v>0.36363636363636365</x:v>
      </x:c>
      <x:c r="H7" s="35" t="n">
        <x:v>0.18</x:v>
      </x:c>
      <x:c r="I7" s="35" t="n">
        <x:v>4886.440677966102</x:v>
      </x:c>
      <x:c r="J7" s="35" t="n">
        <x:v>2786.440677966102</x:v>
      </x:c>
      <x:c r="K7" s="35" t="str">
        <x:v>Dự án hiện hữu</x:v>
      </x:c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5" t="str">
        <x:v>DA05</x:v>
      </x:c>
      <x:c r="B8" s="35" t="str">
        <x:v>Khu nghỉ dưỡng Quảng Ninh</x:v>
      </x:c>
      <x:c r="C8" s="35" t="n">
        <x:v>9400</x:v>
      </x:c>
      <x:c r="D8" s="35" t="n">
        <x:v>6200</x:v>
      </x:c>
      <x:c r="E8" s="35" t="n">
        <x:v>1550</x:v>
      </x:c>
      <x:c r="F8" s="35" t="n">
        <x:v>3200</x:v>
      </x:c>
      <x:c r="G8" s="35" t="n">
        <x:v>0.3404255319148936</x:v>
      </x:c>
      <x:c r="H8" s="35" t="n">
        <x:v>0.18</x:v>
      </x:c>
      <x:c r="I8" s="35" t="n">
        <x:v>3316.1016949152545</x:v>
      </x:c>
      <x:c r="J8" s="35" t="n">
        <x:v>1766.1016949152545</x:v>
      </x:c>
      <x:c r="K8" s="35" t="str">
        <x:v>Dự án hiện hữu</x:v>
      </x:c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5" t="str">
        <x:v>DA06</x:v>
      </x:c>
      <x:c r="B9" s="35" t="str">
        <x:v>Dự án M&amp;A Đà Nẵng</x:v>
      </x:c>
      <x:c r="C9" s="35" t="n">
        <x:v>7200</x:v>
      </x:c>
      <x:c r="D9" s="35" t="n">
        <x:v>4500</x:v>
      </x:c>
      <x:c r="E9" s="35" t="n">
        <x:v>1125</x:v>
      </x:c>
      <x:c r="F9" s="35" t="n">
        <x:v>2700</x:v>
      </x:c>
      <x:c r="G9" s="35" t="n">
        <x:v>0.375</x:v>
      </x:c>
      <x:c r="H9" s="35" t="n">
        <x:v>0.18</x:v>
      </x:c>
      <x:c r="I9" s="35" t="n">
        <x:v>2726.6949152542375</x:v>
      </x:c>
      <x:c r="J9" s="35" t="n">
        <x:v>1601.6949152542375</x:v>
      </x:c>
      <x:c r="K9" s="35" t="str">
        <x:v>Xem xét</x:v>
      </x:c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3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  <x:c r="M207" s="3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  <x:c r="M209" s="3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  <x:c r="M210" s="3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  <x:c r="M211" s="3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  <x:c r="M212" s="3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  <x:c r="M213" s="3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  <x:c r="M214" s="3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  <x:c r="M216" s="3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  <x:c r="M217" s="3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  <x:c r="M218" s="3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  <x:c r="M219" s="3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  <x:c r="M220" s="3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  <x:c r="M221" s="3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  <x:c r="M222" s="3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  <x:c r="M223" s="3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  <x:c r="M224" s="3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3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3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3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3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3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3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3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3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3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3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3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3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3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3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3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3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3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3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3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3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3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3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3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3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  <x:c r="L251" s="33"/>
      <x:c r="M251" s="3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33"/>
      <x:c r="K252" s="33"/>
      <x:c r="L252" s="33"/>
      <x:c r="M252" s="3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33"/>
      <x:c r="K253" s="33"/>
      <x:c r="L253" s="33"/>
      <x:c r="M253" s="3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33"/>
      <x:c r="K254" s="33"/>
      <x:c r="L254" s="33"/>
      <x:c r="M254" s="3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33"/>
      <x:c r="K255" s="33"/>
      <x:c r="L255" s="33"/>
      <x:c r="M255" s="3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33"/>
      <x:c r="K256" s="33"/>
      <x:c r="L256" s="33"/>
      <x:c r="M256" s="3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33"/>
      <x:c r="K257" s="33"/>
      <x:c r="L257" s="33"/>
      <x:c r="M257" s="3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33"/>
      <x:c r="K258" s="33"/>
      <x:c r="L258" s="33"/>
      <x:c r="M258" s="3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33"/>
      <x:c r="K259" s="33"/>
      <x:c r="L259" s="33"/>
      <x:c r="M259" s="3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33"/>
      <x:c r="K260" s="33"/>
      <x:c r="L260" s="33"/>
      <x:c r="M260" s="3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33"/>
      <x:c r="K261" s="33"/>
      <x:c r="L261" s="33"/>
      <x:c r="M261" s="3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33"/>
      <x:c r="K262" s="33"/>
      <x:c r="L262" s="33"/>
      <x:c r="M262" s="3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  <x:c r="L263" s="33"/>
      <x:c r="M263" s="3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33"/>
      <x:c r="K264" s="33"/>
      <x:c r="L264" s="33"/>
      <x:c r="M264" s="3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33"/>
      <x:c r="K265" s="33"/>
      <x:c r="L265" s="33"/>
      <x:c r="M265" s="3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33"/>
      <x:c r="K266" s="33"/>
      <x:c r="L266" s="33"/>
      <x:c r="M266" s="3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33"/>
      <x:c r="K267" s="33"/>
      <x:c r="L267" s="33"/>
      <x:c r="M267" s="3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33"/>
      <x:c r="K268" s="33"/>
      <x:c r="L268" s="33"/>
      <x:c r="M268" s="3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33"/>
      <x:c r="K269" s="33"/>
      <x:c r="L269" s="33"/>
      <x:c r="M269" s="3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33"/>
      <x:c r="K270" s="33"/>
      <x:c r="L270" s="33"/>
      <x:c r="M270" s="3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33"/>
      <x:c r="K271" s="33"/>
      <x:c r="L271" s="33"/>
      <x:c r="M271" s="3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33"/>
      <x:c r="K272" s="33"/>
      <x:c r="L272" s="33"/>
      <x:c r="M272" s="3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33"/>
      <x:c r="K273" s="33"/>
      <x:c r="L273" s="33"/>
      <x:c r="M273" s="3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33"/>
      <x:c r="K274" s="33"/>
      <x:c r="L274" s="33"/>
      <x:c r="M274" s="3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  <x:c r="L275" s="33"/>
      <x:c r="M275" s="3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33"/>
      <x:c r="K276" s="33"/>
      <x:c r="L276" s="33"/>
      <x:c r="M276" s="3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33"/>
      <x:c r="K277" s="33"/>
      <x:c r="L277" s="33"/>
      <x:c r="M277" s="3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33"/>
      <x:c r="K278" s="33"/>
      <x:c r="L278" s="33"/>
      <x:c r="M278" s="3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33"/>
      <x:c r="K279" s="33"/>
      <x:c r="L279" s="33"/>
      <x:c r="M279" s="3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33"/>
      <x:c r="K280" s="33"/>
      <x:c r="L280" s="33"/>
      <x:c r="M280" s="3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33"/>
      <x:c r="K281" s="33"/>
      <x:c r="L281" s="33"/>
      <x:c r="M281" s="3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33"/>
      <x:c r="K282" s="33"/>
      <x:c r="L282" s="33"/>
      <x:c r="M282" s="3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33"/>
      <x:c r="K283" s="33"/>
      <x:c r="L283" s="33"/>
      <x:c r="M283" s="3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33"/>
      <x:c r="K284" s="33"/>
      <x:c r="L284" s="33"/>
      <x:c r="M284" s="3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33"/>
      <x:c r="K285" s="33"/>
      <x:c r="L285" s="33"/>
      <x:c r="M285" s="3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33"/>
      <x:c r="K286" s="33"/>
      <x:c r="L286" s="33"/>
      <x:c r="M286" s="3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  <x:c r="M287" s="3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33"/>
      <x:c r="K288" s="33"/>
      <x:c r="L288" s="33"/>
      <x:c r="M288" s="3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33"/>
      <x:c r="K289" s="33"/>
      <x:c r="L289" s="33"/>
      <x:c r="M289" s="3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33"/>
      <x:c r="K290" s="33"/>
      <x:c r="L290" s="33"/>
      <x:c r="M290" s="3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33"/>
      <x:c r="K291" s="33"/>
      <x:c r="L291" s="33"/>
      <x:c r="M291" s="3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33"/>
      <x:c r="K292" s="33"/>
      <x:c r="L292" s="33"/>
      <x:c r="M292" s="3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33"/>
      <x:c r="K293" s="33"/>
      <x:c r="L293" s="33"/>
      <x:c r="M293" s="3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33"/>
      <x:c r="K294" s="33"/>
      <x:c r="L294" s="33"/>
      <x:c r="M294" s="3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33"/>
      <x:c r="K295" s="33"/>
      <x:c r="L295" s="33"/>
      <x:c r="M295" s="3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33"/>
      <x:c r="K296" s="33"/>
      <x:c r="L296" s="33"/>
      <x:c r="M296" s="3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33"/>
      <x:c r="K297" s="33"/>
      <x:c r="L297" s="33"/>
      <x:c r="M297" s="3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33"/>
      <x:c r="K298" s="33"/>
      <x:c r="L298" s="33"/>
      <x:c r="M298" s="3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  <x:c r="M299" s="3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33"/>
      <x:c r="K300" s="33"/>
      <x:c r="L300" s="33"/>
      <x:c r="M300" s="3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>
      <x:c r="A301" s="33"/>
      <x:c r="B301" s="33"/>
      <x:c r="C301" s="33"/>
      <x:c r="D301" s="33"/>
      <x:c r="E301" s="33"/>
      <x:c r="F301" s="33"/>
      <x:c r="G301" s="33"/>
      <x:c r="H301" s="33"/>
      <x:c r="I301" s="33"/>
      <x:c r="J301" s="33"/>
      <x:c r="K301" s="33"/>
      <x:c r="L301" s="33"/>
      <x:c r="M301" s="3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>
      <x:c r="A302" s="33"/>
      <x:c r="B302" s="33"/>
      <x:c r="C302" s="33"/>
      <x:c r="D302" s="33"/>
      <x:c r="E302" s="33"/>
      <x:c r="F302" s="33"/>
      <x:c r="G302" s="33"/>
      <x:c r="H302" s="33"/>
      <x:c r="I302" s="33"/>
      <x:c r="J302" s="33"/>
      <x:c r="K302" s="33"/>
      <x:c r="L302" s="33"/>
      <x:c r="M302" s="3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>
      <x:c r="A303" s="33"/>
      <x:c r="B303" s="33"/>
      <x:c r="C303" s="33"/>
      <x:c r="D303" s="33"/>
      <x:c r="E303" s="33"/>
      <x:c r="F303" s="33"/>
      <x:c r="G303" s="33"/>
      <x:c r="H303" s="33"/>
      <x:c r="I303" s="33"/>
      <x:c r="J303" s="33"/>
      <x:c r="K303" s="33"/>
      <x:c r="L303" s="33"/>
      <x:c r="M303" s="3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>
      <x:c r="A304" s="33"/>
      <x:c r="B304" s="33"/>
      <x:c r="C304" s="33"/>
      <x:c r="D304" s="33"/>
      <x:c r="E304" s="33"/>
      <x:c r="F304" s="33"/>
      <x:c r="G304" s="33"/>
      <x:c r="H304" s="33"/>
      <x:c r="I304" s="33"/>
      <x:c r="J304" s="33"/>
      <x:c r="K304" s="33"/>
      <x:c r="L304" s="33"/>
      <x:c r="M304" s="3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>
      <x:c r="A305" s="33"/>
      <x:c r="B305" s="33"/>
      <x:c r="C305" s="33"/>
      <x:c r="D305" s="33"/>
      <x:c r="E305" s="33"/>
      <x:c r="F305" s="33"/>
      <x:c r="G305" s="33"/>
      <x:c r="H305" s="33"/>
      <x:c r="I305" s="33"/>
      <x:c r="J305" s="33"/>
      <x:c r="K305" s="33"/>
      <x:c r="L305" s="33"/>
      <x:c r="M305" s="3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>
      <x:c r="A306" s="33"/>
      <x:c r="B306" s="33"/>
      <x:c r="C306" s="33"/>
      <x:c r="D306" s="33"/>
      <x:c r="E306" s="33"/>
      <x:c r="F306" s="33"/>
      <x:c r="G306" s="33"/>
      <x:c r="H306" s="33"/>
      <x:c r="I306" s="33"/>
      <x:c r="J306" s="33"/>
      <x:c r="K306" s="33"/>
      <x:c r="L306" s="33"/>
      <x:c r="M306" s="3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>
      <x:c r="A307" s="33"/>
      <x:c r="B307" s="33"/>
      <x:c r="C307" s="33"/>
      <x:c r="D307" s="33"/>
      <x:c r="E307" s="33"/>
      <x:c r="F307" s="33"/>
      <x:c r="G307" s="33"/>
      <x:c r="H307" s="33"/>
      <x:c r="I307" s="33"/>
      <x:c r="J307" s="33"/>
      <x:c r="K307" s="33"/>
      <x:c r="L307" s="33"/>
      <x:c r="M307" s="3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>
      <x:c r="A308" s="33"/>
      <x:c r="B308" s="33"/>
      <x:c r="C308" s="33"/>
      <x:c r="D308" s="33"/>
      <x:c r="E308" s="33"/>
      <x:c r="F308" s="33"/>
      <x:c r="G308" s="33"/>
      <x:c r="H308" s="33"/>
      <x:c r="I308" s="33"/>
      <x:c r="J308" s="33"/>
      <x:c r="K308" s="33"/>
      <x:c r="L308" s="33"/>
      <x:c r="M308" s="3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>
      <x:c r="A309" s="33"/>
      <x:c r="B309" s="33"/>
      <x:c r="C309" s="33"/>
      <x:c r="D309" s="33"/>
      <x:c r="E309" s="33"/>
      <x:c r="F309" s="33"/>
      <x:c r="G309" s="33"/>
      <x:c r="H309" s="33"/>
      <x:c r="I309" s="33"/>
      <x:c r="J309" s="33"/>
      <x:c r="K309" s="33"/>
      <x:c r="L309" s="33"/>
      <x:c r="M309" s="3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>
      <x:c r="A310" s="33"/>
      <x:c r="B310" s="33"/>
      <x:c r="C310" s="33"/>
      <x:c r="D310" s="33"/>
      <x:c r="E310" s="33"/>
      <x:c r="F310" s="33"/>
      <x:c r="G310" s="33"/>
      <x:c r="H310" s="33"/>
      <x:c r="I310" s="33"/>
      <x:c r="J310" s="33"/>
      <x:c r="K310" s="33"/>
      <x:c r="L310" s="33"/>
      <x:c r="M310" s="3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33"/>
      <x:c r="K311" s="33"/>
      <x:c r="L311" s="33"/>
      <x:c r="M311" s="3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>
      <x:c r="A312" s="33"/>
      <x:c r="B312" s="33"/>
      <x:c r="C312" s="33"/>
      <x:c r="D312" s="33"/>
      <x:c r="E312" s="33"/>
      <x:c r="F312" s="33"/>
      <x:c r="G312" s="33"/>
      <x:c r="H312" s="33"/>
      <x:c r="I312" s="33"/>
      <x:c r="J312" s="33"/>
      <x:c r="K312" s="33"/>
      <x:c r="L312" s="33"/>
      <x:c r="M312" s="3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>
      <x:c r="A313" s="33"/>
      <x:c r="B313" s="33"/>
      <x:c r="C313" s="33"/>
      <x:c r="D313" s="33"/>
      <x:c r="E313" s="33"/>
      <x:c r="F313" s="33"/>
      <x:c r="G313" s="33"/>
      <x:c r="H313" s="33"/>
      <x:c r="I313" s="33"/>
      <x:c r="J313" s="33"/>
      <x:c r="K313" s="33"/>
      <x:c r="L313" s="33"/>
      <x:c r="M313" s="3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>
      <x:c r="A314" s="33"/>
      <x:c r="B314" s="33"/>
      <x:c r="C314" s="33"/>
      <x:c r="D314" s="33"/>
      <x:c r="E314" s="33"/>
      <x:c r="F314" s="33"/>
      <x:c r="G314" s="33"/>
      <x:c r="H314" s="33"/>
      <x:c r="I314" s="33"/>
      <x:c r="J314" s="33"/>
      <x:c r="K314" s="33"/>
      <x:c r="L314" s="33"/>
      <x:c r="M314" s="3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>
      <x:c r="A315" s="33"/>
      <x:c r="B315" s="33"/>
      <x:c r="C315" s="33"/>
      <x:c r="D315" s="33"/>
      <x:c r="E315" s="33"/>
      <x:c r="F315" s="33"/>
      <x:c r="G315" s="33"/>
      <x:c r="H315" s="33"/>
      <x:c r="I315" s="33"/>
      <x:c r="J315" s="33"/>
      <x:c r="K315" s="33"/>
      <x:c r="L315" s="33"/>
      <x:c r="M315" s="3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>
      <x:c r="A316" s="33"/>
      <x:c r="B316" s="33"/>
      <x:c r="C316" s="33"/>
      <x:c r="D316" s="33"/>
      <x:c r="E316" s="33"/>
      <x:c r="F316" s="33"/>
      <x:c r="G316" s="33"/>
      <x:c r="H316" s="33"/>
      <x:c r="I316" s="33"/>
      <x:c r="J316" s="33"/>
      <x:c r="K316" s="33"/>
      <x:c r="L316" s="33"/>
      <x:c r="M316" s="3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>
      <x:c r="A317" s="33"/>
      <x:c r="B317" s="33"/>
      <x:c r="C317" s="33"/>
      <x:c r="D317" s="33"/>
      <x:c r="E317" s="33"/>
      <x:c r="F317" s="33"/>
      <x:c r="G317" s="33"/>
      <x:c r="H317" s="33"/>
      <x:c r="I317" s="33"/>
      <x:c r="J317" s="33"/>
      <x:c r="K317" s="33"/>
      <x:c r="L317" s="33"/>
      <x:c r="M317" s="3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>
      <x:c r="A318" s="33"/>
      <x:c r="B318" s="33"/>
      <x:c r="C318" s="33"/>
      <x:c r="D318" s="33"/>
      <x:c r="E318" s="33"/>
      <x:c r="F318" s="33"/>
      <x:c r="G318" s="33"/>
      <x:c r="H318" s="33"/>
      <x:c r="I318" s="33"/>
      <x:c r="J318" s="33"/>
      <x:c r="K318" s="33"/>
      <x:c r="L318" s="33"/>
      <x:c r="M318" s="3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>
      <x:c r="A319" s="33"/>
      <x:c r="B319" s="33"/>
      <x:c r="C319" s="33"/>
      <x:c r="D319" s="33"/>
      <x:c r="E319" s="33"/>
      <x:c r="F319" s="33"/>
      <x:c r="G319" s="33"/>
      <x:c r="H319" s="33"/>
      <x:c r="I319" s="33"/>
      <x:c r="J319" s="33"/>
      <x:c r="K319" s="33"/>
      <x:c r="L319" s="33"/>
      <x:c r="M319" s="3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>
      <x:c r="A320" s="33"/>
      <x:c r="B320" s="33"/>
      <x:c r="C320" s="33"/>
      <x:c r="D320" s="33"/>
      <x:c r="E320" s="33"/>
      <x:c r="F320" s="33"/>
      <x:c r="G320" s="33"/>
      <x:c r="H320" s="33"/>
      <x:c r="I320" s="33"/>
      <x:c r="J320" s="33"/>
      <x:c r="K320" s="33"/>
      <x:c r="L320" s="33"/>
      <x:c r="M320" s="3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>
      <x:c r="A321" s="33"/>
      <x:c r="B321" s="33"/>
      <x:c r="C321" s="33"/>
      <x:c r="D321" s="33"/>
      <x:c r="E321" s="33"/>
      <x:c r="F321" s="33"/>
      <x:c r="G321" s="33"/>
      <x:c r="H321" s="33"/>
      <x:c r="I321" s="33"/>
      <x:c r="J321" s="33"/>
      <x:c r="K321" s="33"/>
      <x:c r="L321" s="33"/>
      <x:c r="M321" s="3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>
      <x:c r="A322" s="33"/>
      <x:c r="B322" s="33"/>
      <x:c r="C322" s="33"/>
      <x:c r="D322" s="33"/>
      <x:c r="E322" s="33"/>
      <x:c r="F322" s="33"/>
      <x:c r="G322" s="33"/>
      <x:c r="H322" s="33"/>
      <x:c r="I322" s="33"/>
      <x:c r="J322" s="33"/>
      <x:c r="K322" s="33"/>
      <x:c r="L322" s="33"/>
      <x:c r="M322" s="3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33"/>
      <x:c r="K323" s="33"/>
      <x:c r="L323" s="33"/>
      <x:c r="M323" s="3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>
      <x:c r="A324" s="33"/>
      <x:c r="B324" s="33"/>
      <x:c r="C324" s="33"/>
      <x:c r="D324" s="33"/>
      <x:c r="E324" s="33"/>
      <x:c r="F324" s="33"/>
      <x:c r="G324" s="33"/>
      <x:c r="H324" s="33"/>
      <x:c r="I324" s="33"/>
      <x:c r="J324" s="33"/>
      <x:c r="K324" s="33"/>
      <x:c r="L324" s="33"/>
      <x:c r="M324" s="3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>
      <x:c r="A325" s="33"/>
      <x:c r="B325" s="33"/>
      <x:c r="C325" s="33"/>
      <x:c r="D325" s="33"/>
      <x:c r="E325" s="33"/>
      <x:c r="F325" s="33"/>
      <x:c r="G325" s="33"/>
      <x:c r="H325" s="33"/>
      <x:c r="I325" s="33"/>
      <x:c r="J325" s="33"/>
      <x:c r="K325" s="33"/>
      <x:c r="L325" s="33"/>
      <x:c r="M325" s="3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>
      <x:c r="A326" s="33"/>
      <x:c r="B326" s="33"/>
      <x:c r="C326" s="33"/>
      <x:c r="D326" s="33"/>
      <x:c r="E326" s="33"/>
      <x:c r="F326" s="33"/>
      <x:c r="G326" s="33"/>
      <x:c r="H326" s="33"/>
      <x:c r="I326" s="33"/>
      <x:c r="J326" s="33"/>
      <x:c r="K326" s="33"/>
      <x:c r="L326" s="33"/>
      <x:c r="M326" s="3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>
      <x:c r="A327" s="33"/>
      <x:c r="B327" s="33"/>
      <x:c r="C327" s="33"/>
      <x:c r="D327" s="33"/>
      <x:c r="E327" s="33"/>
      <x:c r="F327" s="33"/>
      <x:c r="G327" s="33"/>
      <x:c r="H327" s="33"/>
      <x:c r="I327" s="33"/>
      <x:c r="J327" s="33"/>
      <x:c r="K327" s="33"/>
      <x:c r="L327" s="33"/>
      <x:c r="M327" s="3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>
      <x:c r="A328" s="33"/>
      <x:c r="B328" s="33"/>
      <x:c r="C328" s="33"/>
      <x:c r="D328" s="33"/>
      <x:c r="E328" s="33"/>
      <x:c r="F328" s="33"/>
      <x:c r="G328" s="33"/>
      <x:c r="H328" s="33"/>
      <x:c r="I328" s="33"/>
      <x:c r="J328" s="33"/>
      <x:c r="K328" s="33"/>
      <x:c r="L328" s="33"/>
      <x:c r="M328" s="3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>
      <x:c r="A329" s="33"/>
      <x:c r="B329" s="33"/>
      <x:c r="C329" s="33"/>
      <x:c r="D329" s="33"/>
      <x:c r="E329" s="33"/>
      <x:c r="F329" s="33"/>
      <x:c r="G329" s="33"/>
      <x:c r="H329" s="33"/>
      <x:c r="I329" s="33"/>
      <x:c r="J329" s="33"/>
      <x:c r="K329" s="33"/>
      <x:c r="L329" s="33"/>
      <x:c r="M329" s="3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>
      <x:c r="A330" s="33"/>
      <x:c r="B330" s="33"/>
      <x:c r="C330" s="33"/>
      <x:c r="D330" s="33"/>
      <x:c r="E330" s="33"/>
      <x:c r="F330" s="33"/>
      <x:c r="G330" s="33"/>
      <x:c r="H330" s="33"/>
      <x:c r="I330" s="33"/>
      <x:c r="J330" s="33"/>
      <x:c r="K330" s="33"/>
      <x:c r="L330" s="33"/>
      <x:c r="M330" s="3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>
      <x:c r="A331" s="33"/>
      <x:c r="B331" s="33"/>
      <x:c r="C331" s="33"/>
      <x:c r="D331" s="33"/>
      <x:c r="E331" s="33"/>
      <x:c r="F331" s="33"/>
      <x:c r="G331" s="33"/>
      <x:c r="H331" s="33"/>
      <x:c r="I331" s="33"/>
      <x:c r="J331" s="33"/>
      <x:c r="K331" s="33"/>
      <x:c r="L331" s="33"/>
      <x:c r="M331" s="3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>
      <x:c r="A332" s="33"/>
      <x:c r="B332" s="33"/>
      <x:c r="C332" s="33"/>
      <x:c r="D332" s="33"/>
      <x:c r="E332" s="33"/>
      <x:c r="F332" s="33"/>
      <x:c r="G332" s="33"/>
      <x:c r="H332" s="33"/>
      <x:c r="I332" s="33"/>
      <x:c r="J332" s="33"/>
      <x:c r="K332" s="33"/>
      <x:c r="L332" s="33"/>
      <x:c r="M332" s="3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>
      <x:c r="A333" s="33"/>
      <x:c r="B333" s="33"/>
      <x:c r="C333" s="33"/>
      <x:c r="D333" s="33"/>
      <x:c r="E333" s="33"/>
      <x:c r="F333" s="33"/>
      <x:c r="G333" s="33"/>
      <x:c r="H333" s="33"/>
      <x:c r="I333" s="33"/>
      <x:c r="J333" s="33"/>
      <x:c r="K333" s="33"/>
      <x:c r="L333" s="33"/>
      <x:c r="M333" s="3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>
      <x:c r="A334" s="33"/>
      <x:c r="B334" s="33"/>
      <x:c r="C334" s="33"/>
      <x:c r="D334" s="33"/>
      <x:c r="E334" s="33"/>
      <x:c r="F334" s="33"/>
      <x:c r="G334" s="33"/>
      <x:c r="H334" s="33"/>
      <x:c r="I334" s="33"/>
      <x:c r="J334" s="33"/>
      <x:c r="K334" s="33"/>
      <x:c r="L334" s="33"/>
      <x:c r="M334" s="3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33"/>
      <x:c r="K335" s="33"/>
      <x:c r="L335" s="33"/>
      <x:c r="M335" s="3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>
      <x:c r="A336" s="33"/>
      <x:c r="B336" s="33"/>
      <x:c r="C336" s="33"/>
      <x:c r="D336" s="33"/>
      <x:c r="E336" s="33"/>
      <x:c r="F336" s="33"/>
      <x:c r="G336" s="33"/>
      <x:c r="H336" s="33"/>
      <x:c r="I336" s="33"/>
      <x:c r="J336" s="33"/>
      <x:c r="K336" s="33"/>
      <x:c r="L336" s="33"/>
      <x:c r="M336" s="3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>
      <x:c r="A337" s="33"/>
      <x:c r="B337" s="33"/>
      <x:c r="C337" s="33"/>
      <x:c r="D337" s="33"/>
      <x:c r="E337" s="33"/>
      <x:c r="F337" s="33"/>
      <x:c r="G337" s="33"/>
      <x:c r="H337" s="33"/>
      <x:c r="I337" s="33"/>
      <x:c r="J337" s="33"/>
      <x:c r="K337" s="33"/>
      <x:c r="L337" s="33"/>
      <x:c r="M337" s="3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>
      <x:c r="A338" s="33"/>
      <x:c r="B338" s="33"/>
      <x:c r="C338" s="33"/>
      <x:c r="D338" s="33"/>
      <x:c r="E338" s="33"/>
      <x:c r="F338" s="33"/>
      <x:c r="G338" s="33"/>
      <x:c r="H338" s="33"/>
      <x:c r="I338" s="33"/>
      <x:c r="J338" s="33"/>
      <x:c r="K338" s="33"/>
      <x:c r="L338" s="33"/>
      <x:c r="M338" s="3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>
      <x:c r="A339" s="33"/>
      <x:c r="B339" s="33"/>
      <x:c r="C339" s="33"/>
      <x:c r="D339" s="33"/>
      <x:c r="E339" s="33"/>
      <x:c r="F339" s="33"/>
      <x:c r="G339" s="33"/>
      <x:c r="H339" s="33"/>
      <x:c r="I339" s="33"/>
      <x:c r="J339" s="33"/>
      <x:c r="K339" s="33"/>
      <x:c r="L339" s="33"/>
      <x:c r="M339" s="3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>
      <x:c r="A340" s="33"/>
      <x:c r="B340" s="33"/>
      <x:c r="C340" s="33"/>
      <x:c r="D340" s="33"/>
      <x:c r="E340" s="33"/>
      <x:c r="F340" s="33"/>
      <x:c r="G340" s="33"/>
      <x:c r="H340" s="33"/>
      <x:c r="I340" s="33"/>
      <x:c r="J340" s="33"/>
      <x:c r="K340" s="33"/>
      <x:c r="L340" s="33"/>
      <x:c r="M340" s="3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>
      <x:c r="A341" s="33"/>
      <x:c r="B341" s="33"/>
      <x:c r="C341" s="33"/>
      <x:c r="D341" s="33"/>
      <x:c r="E341" s="33"/>
      <x:c r="F341" s="33"/>
      <x:c r="G341" s="33"/>
      <x:c r="H341" s="33"/>
      <x:c r="I341" s="33"/>
      <x:c r="J341" s="33"/>
      <x:c r="K341" s="33"/>
      <x:c r="L341" s="33"/>
      <x:c r="M341" s="3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>
      <x:c r="A342" s="33"/>
      <x:c r="B342" s="33"/>
      <x:c r="C342" s="33"/>
      <x:c r="D342" s="33"/>
      <x:c r="E342" s="33"/>
      <x:c r="F342" s="33"/>
      <x:c r="G342" s="33"/>
      <x:c r="H342" s="33"/>
      <x:c r="I342" s="33"/>
      <x:c r="J342" s="33"/>
      <x:c r="K342" s="33"/>
      <x:c r="L342" s="33"/>
      <x:c r="M342" s="3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>
      <x:c r="A343" s="33"/>
      <x:c r="B343" s="33"/>
      <x:c r="C343" s="33"/>
      <x:c r="D343" s="33"/>
      <x:c r="E343" s="33"/>
      <x:c r="F343" s="33"/>
      <x:c r="G343" s="33"/>
      <x:c r="H343" s="33"/>
      <x:c r="I343" s="33"/>
      <x:c r="J343" s="33"/>
      <x:c r="K343" s="33"/>
      <x:c r="L343" s="33"/>
      <x:c r="M343" s="3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>
      <x:c r="A344" s="33"/>
      <x:c r="B344" s="33"/>
      <x:c r="C344" s="33"/>
      <x:c r="D344" s="33"/>
      <x:c r="E344" s="33"/>
      <x:c r="F344" s="33"/>
      <x:c r="G344" s="33"/>
      <x:c r="H344" s="33"/>
      <x:c r="I344" s="33"/>
      <x:c r="J344" s="33"/>
      <x:c r="K344" s="33"/>
      <x:c r="L344" s="33"/>
      <x:c r="M344" s="3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>
      <x:c r="A345" s="33"/>
      <x:c r="B345" s="33"/>
      <x:c r="C345" s="33"/>
      <x:c r="D345" s="33"/>
      <x:c r="E345" s="33"/>
      <x:c r="F345" s="33"/>
      <x:c r="G345" s="33"/>
      <x:c r="H345" s="33"/>
      <x:c r="I345" s="33"/>
      <x:c r="J345" s="33"/>
      <x:c r="K345" s="33"/>
      <x:c r="L345" s="33"/>
      <x:c r="M345" s="3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>
      <x:c r="A346" s="33"/>
      <x:c r="B346" s="33"/>
      <x:c r="C346" s="33"/>
      <x:c r="D346" s="33"/>
      <x:c r="E346" s="33"/>
      <x:c r="F346" s="33"/>
      <x:c r="G346" s="33"/>
      <x:c r="H346" s="33"/>
      <x:c r="I346" s="33"/>
      <x:c r="J346" s="33"/>
      <x:c r="K346" s="33"/>
      <x:c r="L346" s="33"/>
      <x:c r="M346" s="3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33"/>
      <x:c r="K347" s="33"/>
      <x:c r="L347" s="33"/>
      <x:c r="M347" s="3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>
      <x:c r="A348" s="33"/>
      <x:c r="B348" s="33"/>
      <x:c r="C348" s="33"/>
      <x:c r="D348" s="33"/>
      <x:c r="E348" s="33"/>
      <x:c r="F348" s="33"/>
      <x:c r="G348" s="33"/>
      <x:c r="H348" s="33"/>
      <x:c r="I348" s="33"/>
      <x:c r="J348" s="33"/>
      <x:c r="K348" s="33"/>
      <x:c r="L348" s="33"/>
      <x:c r="M348" s="3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>
      <x:c r="A349" s="33"/>
      <x:c r="B349" s="33"/>
      <x:c r="C349" s="33"/>
      <x:c r="D349" s="33"/>
      <x:c r="E349" s="33"/>
      <x:c r="F349" s="33"/>
      <x:c r="G349" s="33"/>
      <x:c r="H349" s="33"/>
      <x:c r="I349" s="33"/>
      <x:c r="J349" s="33"/>
      <x:c r="K349" s="33"/>
      <x:c r="L349" s="33"/>
      <x:c r="M349" s="3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>
      <x:c r="A350" s="33"/>
      <x:c r="B350" s="33"/>
      <x:c r="C350" s="33"/>
      <x:c r="D350" s="33"/>
      <x:c r="E350" s="33"/>
      <x:c r="F350" s="33"/>
      <x:c r="G350" s="33"/>
      <x:c r="H350" s="33"/>
      <x:c r="I350" s="33"/>
      <x:c r="J350" s="33"/>
      <x:c r="K350" s="33"/>
      <x:c r="L350" s="33"/>
      <x:c r="M350" s="3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>
      <x:c r="A351" s="33"/>
      <x:c r="B351" s="33"/>
      <x:c r="C351" s="33"/>
      <x:c r="D351" s="33"/>
      <x:c r="E351" s="33"/>
      <x:c r="F351" s="33"/>
      <x:c r="G351" s="33"/>
      <x:c r="H351" s="33"/>
      <x:c r="I351" s="33"/>
      <x:c r="J351" s="33"/>
      <x:c r="K351" s="33"/>
      <x:c r="L351" s="33"/>
      <x:c r="M351" s="3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>
      <x:c r="A352" s="33"/>
      <x:c r="B352" s="33"/>
      <x:c r="C352" s="33"/>
      <x:c r="D352" s="33"/>
      <x:c r="E352" s="33"/>
      <x:c r="F352" s="33"/>
      <x:c r="G352" s="33"/>
      <x:c r="H352" s="33"/>
      <x:c r="I352" s="33"/>
      <x:c r="J352" s="33"/>
      <x:c r="K352" s="33"/>
      <x:c r="L352" s="33"/>
      <x:c r="M352" s="3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>
      <x:c r="A353" s="33"/>
      <x:c r="B353" s="33"/>
      <x:c r="C353" s="33"/>
      <x:c r="D353" s="33"/>
      <x:c r="E353" s="33"/>
      <x:c r="F353" s="33"/>
      <x:c r="G353" s="33"/>
      <x:c r="H353" s="33"/>
      <x:c r="I353" s="33"/>
      <x:c r="J353" s="33"/>
      <x:c r="K353" s="33"/>
      <x:c r="L353" s="33"/>
      <x:c r="M353" s="3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>
      <x:c r="A354" s="33"/>
      <x:c r="B354" s="33"/>
      <x:c r="C354" s="33"/>
      <x:c r="D354" s="33"/>
      <x:c r="E354" s="33"/>
      <x:c r="F354" s="33"/>
      <x:c r="G354" s="33"/>
      <x:c r="H354" s="33"/>
      <x:c r="I354" s="33"/>
      <x:c r="J354" s="33"/>
      <x:c r="K354" s="33"/>
      <x:c r="L354" s="33"/>
      <x:c r="M354" s="3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>
      <x:c r="A355" s="33"/>
      <x:c r="B355" s="33"/>
      <x:c r="C355" s="33"/>
      <x:c r="D355" s="33"/>
      <x:c r="E355" s="33"/>
      <x:c r="F355" s="33"/>
      <x:c r="G355" s="33"/>
      <x:c r="H355" s="33"/>
      <x:c r="I355" s="33"/>
      <x:c r="J355" s="33"/>
      <x:c r="K355" s="33"/>
      <x:c r="L355" s="33"/>
      <x:c r="M355" s="3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>
      <x:c r="A356" s="33"/>
      <x:c r="B356" s="33"/>
      <x:c r="C356" s="33"/>
      <x:c r="D356" s="33"/>
      <x:c r="E356" s="33"/>
      <x:c r="F356" s="33"/>
      <x:c r="G356" s="33"/>
      <x:c r="H356" s="33"/>
      <x:c r="I356" s="33"/>
      <x:c r="J356" s="33"/>
      <x:c r="K356" s="33"/>
      <x:c r="L356" s="33"/>
      <x:c r="M356" s="3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>
      <x:c r="A357" s="33"/>
      <x:c r="B357" s="33"/>
      <x:c r="C357" s="33"/>
      <x:c r="D357" s="33"/>
      <x:c r="E357" s="33"/>
      <x:c r="F357" s="33"/>
      <x:c r="G357" s="33"/>
      <x:c r="H357" s="33"/>
      <x:c r="I357" s="33"/>
      <x:c r="J357" s="33"/>
      <x:c r="K357" s="33"/>
      <x:c r="L357" s="33"/>
      <x:c r="M357" s="3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>
      <x:c r="A358" s="33"/>
      <x:c r="B358" s="33"/>
      <x:c r="C358" s="33"/>
      <x:c r="D358" s="33"/>
      <x:c r="E358" s="33"/>
      <x:c r="F358" s="33"/>
      <x:c r="G358" s="33"/>
      <x:c r="H358" s="33"/>
      <x:c r="I358" s="33"/>
      <x:c r="J358" s="33"/>
      <x:c r="K358" s="33"/>
      <x:c r="L358" s="33"/>
      <x:c r="M358" s="3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>
      <x:c r="A359" s="33"/>
      <x:c r="B359" s="33"/>
      <x:c r="C359" s="33"/>
      <x:c r="D359" s="33"/>
      <x:c r="E359" s="33"/>
      <x:c r="F359" s="33"/>
      <x:c r="G359" s="33"/>
      <x:c r="H359" s="33"/>
      <x:c r="I359" s="33"/>
      <x:c r="J359" s="33"/>
      <x:c r="K359" s="33"/>
      <x:c r="L359" s="33"/>
      <x:c r="M359" s="3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33"/>
      <x:c r="K360" s="33"/>
      <x:c r="L360" s="33"/>
      <x:c r="M360" s="3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>
      <x:c r="A361" s="33"/>
      <x:c r="B361" s="33"/>
      <x:c r="C361" s="33"/>
      <x:c r="D361" s="33"/>
      <x:c r="E361" s="33"/>
      <x:c r="F361" s="33"/>
      <x:c r="G361" s="33"/>
      <x:c r="H361" s="33"/>
      <x:c r="I361" s="33"/>
      <x:c r="J361" s="33"/>
      <x:c r="K361" s="33"/>
      <x:c r="L361" s="33"/>
      <x:c r="M361" s="3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>
      <x:c r="A362" s="33"/>
      <x:c r="B362" s="33"/>
      <x:c r="C362" s="33"/>
      <x:c r="D362" s="33"/>
      <x:c r="E362" s="33"/>
      <x:c r="F362" s="33"/>
      <x:c r="G362" s="33"/>
      <x:c r="H362" s="33"/>
      <x:c r="I362" s="33"/>
      <x:c r="J362" s="33"/>
      <x:c r="K362" s="33"/>
      <x:c r="L362" s="33"/>
      <x:c r="M362" s="3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>
      <x:c r="A363" s="33"/>
      <x:c r="B363" s="33"/>
      <x:c r="C363" s="33"/>
      <x:c r="D363" s="33"/>
      <x:c r="E363" s="33"/>
      <x:c r="F363" s="33"/>
      <x:c r="G363" s="33"/>
      <x:c r="H363" s="33"/>
      <x:c r="I363" s="33"/>
      <x:c r="J363" s="33"/>
      <x:c r="K363" s="33"/>
      <x:c r="L363" s="33"/>
      <x:c r="M363" s="3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>
      <x:c r="A364" s="33"/>
      <x:c r="B364" s="33"/>
      <x:c r="C364" s="33"/>
      <x:c r="D364" s="33"/>
      <x:c r="E364" s="33"/>
      <x:c r="F364" s="33"/>
      <x:c r="G364" s="33"/>
      <x:c r="H364" s="33"/>
      <x:c r="I364" s="33"/>
      <x:c r="J364" s="33"/>
      <x:c r="K364" s="33"/>
      <x:c r="L364" s="33"/>
      <x:c r="M364" s="3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>
      <x:c r="A365" s="33"/>
      <x:c r="B365" s="33"/>
      <x:c r="C365" s="33"/>
      <x:c r="D365" s="33"/>
      <x:c r="E365" s="33"/>
      <x:c r="F365" s="33"/>
      <x:c r="G365" s="33"/>
      <x:c r="H365" s="33"/>
      <x:c r="I365" s="33"/>
      <x:c r="J365" s="33"/>
      <x:c r="K365" s="33"/>
      <x:c r="L365" s="33"/>
      <x:c r="M365" s="3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>
      <x:c r="A366" s="33"/>
      <x:c r="B366" s="33"/>
      <x:c r="C366" s="33"/>
      <x:c r="D366" s="33"/>
      <x:c r="E366" s="33"/>
      <x:c r="F366" s="33"/>
      <x:c r="G366" s="33"/>
      <x:c r="H366" s="33"/>
      <x:c r="I366" s="33"/>
      <x:c r="J366" s="33"/>
      <x:c r="K366" s="33"/>
      <x:c r="L366" s="33"/>
      <x:c r="M366" s="3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>
      <x:c r="A367" s="33"/>
      <x:c r="B367" s="33"/>
      <x:c r="C367" s="33"/>
      <x:c r="D367" s="33"/>
      <x:c r="E367" s="33"/>
      <x:c r="F367" s="33"/>
      <x:c r="G367" s="33"/>
      <x:c r="H367" s="33"/>
      <x:c r="I367" s="33"/>
      <x:c r="J367" s="33"/>
      <x:c r="K367" s="33"/>
      <x:c r="L367" s="33"/>
      <x:c r="M367" s="3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>
      <x:c r="A368" s="33"/>
      <x:c r="B368" s="33"/>
      <x:c r="C368" s="33"/>
      <x:c r="D368" s="33"/>
      <x:c r="E368" s="33"/>
      <x:c r="F368" s="33"/>
      <x:c r="G368" s="33"/>
      <x:c r="H368" s="33"/>
      <x:c r="I368" s="33"/>
      <x:c r="J368" s="33"/>
      <x:c r="K368" s="33"/>
      <x:c r="L368" s="33"/>
      <x:c r="M368" s="3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>
      <x:c r="A369" s="33"/>
      <x:c r="B369" s="33"/>
      <x:c r="C369" s="33"/>
      <x:c r="D369" s="33"/>
      <x:c r="E369" s="33"/>
      <x:c r="F369" s="33"/>
      <x:c r="G369" s="33"/>
      <x:c r="H369" s="33"/>
      <x:c r="I369" s="33"/>
      <x:c r="J369" s="33"/>
      <x:c r="K369" s="33"/>
      <x:c r="L369" s="33"/>
      <x:c r="M369" s="3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>
      <x:c r="A370" s="33"/>
      <x:c r="B370" s="33"/>
      <x:c r="C370" s="33"/>
      <x:c r="D370" s="33"/>
      <x:c r="E370" s="33"/>
      <x:c r="F370" s="33"/>
      <x:c r="G370" s="33"/>
      <x:c r="H370" s="33"/>
      <x:c r="I370" s="33"/>
      <x:c r="J370" s="33"/>
      <x:c r="K370" s="33"/>
      <x:c r="L370" s="33"/>
      <x:c r="M370" s="3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>
      <x:c r="A371" s="33"/>
      <x:c r="B371" s="33"/>
      <x:c r="C371" s="33"/>
      <x:c r="D371" s="33"/>
      <x:c r="E371" s="33"/>
      <x:c r="F371" s="33"/>
      <x:c r="G371" s="33"/>
      <x:c r="H371" s="33"/>
      <x:c r="I371" s="33"/>
      <x:c r="J371" s="33"/>
      <x:c r="K371" s="33"/>
      <x:c r="L371" s="33"/>
      <x:c r="M371" s="3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>
      <x:c r="A372" s="33"/>
      <x:c r="B372" s="33"/>
      <x:c r="C372" s="33"/>
      <x:c r="D372" s="33"/>
      <x:c r="E372" s="33"/>
      <x:c r="F372" s="33"/>
      <x:c r="G372" s="33"/>
      <x:c r="H372" s="33"/>
      <x:c r="I372" s="33"/>
      <x:c r="J372" s="33"/>
      <x:c r="K372" s="33"/>
      <x:c r="L372" s="33"/>
      <x:c r="M372" s="3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33"/>
      <x:c r="K373" s="33"/>
      <x:c r="L373" s="33"/>
      <x:c r="M373" s="3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>
      <x:c r="A374" s="33"/>
      <x:c r="B374" s="33"/>
      <x:c r="C374" s="33"/>
      <x:c r="D374" s="33"/>
      <x:c r="E374" s="33"/>
      <x:c r="F374" s="33"/>
      <x:c r="G374" s="33"/>
      <x:c r="H374" s="33"/>
      <x:c r="I374" s="33"/>
      <x:c r="J374" s="33"/>
      <x:c r="K374" s="33"/>
      <x:c r="L374" s="33"/>
      <x:c r="M374" s="3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>
      <x:c r="A375" s="33"/>
      <x:c r="B375" s="33"/>
      <x:c r="C375" s="33"/>
      <x:c r="D375" s="33"/>
      <x:c r="E375" s="33"/>
      <x:c r="F375" s="33"/>
      <x:c r="G375" s="33"/>
      <x:c r="H375" s="33"/>
      <x:c r="I375" s="33"/>
      <x:c r="J375" s="33"/>
      <x:c r="K375" s="33"/>
      <x:c r="L375" s="33"/>
      <x:c r="M375" s="3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>
      <x:c r="A376" s="33"/>
      <x:c r="B376" s="33"/>
      <x:c r="C376" s="33"/>
      <x:c r="D376" s="33"/>
      <x:c r="E376" s="33"/>
      <x:c r="F376" s="33"/>
      <x:c r="G376" s="33"/>
      <x:c r="H376" s="33"/>
      <x:c r="I376" s="33"/>
      <x:c r="J376" s="33"/>
      <x:c r="K376" s="33"/>
      <x:c r="L376" s="33"/>
      <x:c r="M376" s="3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>
      <x:c r="A377" s="33"/>
      <x:c r="B377" s="33"/>
      <x:c r="C377" s="33"/>
      <x:c r="D377" s="33"/>
      <x:c r="E377" s="33"/>
      <x:c r="F377" s="33"/>
      <x:c r="G377" s="33"/>
      <x:c r="H377" s="33"/>
      <x:c r="I377" s="33"/>
      <x:c r="J377" s="33"/>
      <x:c r="K377" s="33"/>
      <x:c r="L377" s="33"/>
      <x:c r="M377" s="3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>
      <x:c r="A378" s="33"/>
      <x:c r="B378" s="33"/>
      <x:c r="C378" s="33"/>
      <x:c r="D378" s="33"/>
      <x:c r="E378" s="33"/>
      <x:c r="F378" s="33"/>
      <x:c r="G378" s="33"/>
      <x:c r="H378" s="33"/>
      <x:c r="I378" s="33"/>
      <x:c r="J378" s="33"/>
      <x:c r="K378" s="33"/>
      <x:c r="L378" s="33"/>
      <x:c r="M378" s="3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>
      <x:c r="A379" s="33"/>
      <x:c r="B379" s="33"/>
      <x:c r="C379" s="33"/>
      <x:c r="D379" s="33"/>
      <x:c r="E379" s="33"/>
      <x:c r="F379" s="33"/>
      <x:c r="G379" s="33"/>
      <x:c r="H379" s="33"/>
      <x:c r="I379" s="33"/>
      <x:c r="J379" s="33"/>
      <x:c r="K379" s="33"/>
      <x:c r="L379" s="33"/>
      <x:c r="M379" s="3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>
      <x:c r="A380" s="33"/>
      <x:c r="B380" s="33"/>
      <x:c r="C380" s="33"/>
      <x:c r="D380" s="33"/>
      <x:c r="E380" s="33"/>
      <x:c r="F380" s="33"/>
      <x:c r="G380" s="33"/>
      <x:c r="H380" s="33"/>
      <x:c r="I380" s="33"/>
      <x:c r="J380" s="33"/>
      <x:c r="K380" s="33"/>
      <x:c r="L380" s="33"/>
      <x:c r="M380" s="3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>
      <x:c r="A381" s="33"/>
      <x:c r="B381" s="33"/>
      <x:c r="C381" s="33"/>
      <x:c r="D381" s="33"/>
      <x:c r="E381" s="33"/>
      <x:c r="F381" s="33"/>
      <x:c r="G381" s="33"/>
      <x:c r="H381" s="33"/>
      <x:c r="I381" s="33"/>
      <x:c r="J381" s="33"/>
      <x:c r="K381" s="33"/>
      <x:c r="L381" s="33"/>
      <x:c r="M381" s="3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>
      <x:c r="A382" s="33"/>
      <x:c r="B382" s="33"/>
      <x:c r="C382" s="33"/>
      <x:c r="D382" s="33"/>
      <x:c r="E382" s="33"/>
      <x:c r="F382" s="33"/>
      <x:c r="G382" s="33"/>
      <x:c r="H382" s="33"/>
      <x:c r="I382" s="33"/>
      <x:c r="J382" s="33"/>
      <x:c r="K382" s="33"/>
      <x:c r="L382" s="33"/>
      <x:c r="M382" s="3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>
      <x:c r="A383" s="33"/>
      <x:c r="B383" s="33"/>
      <x:c r="C383" s="33"/>
      <x:c r="D383" s="33"/>
      <x:c r="E383" s="33"/>
      <x:c r="F383" s="33"/>
      <x:c r="G383" s="33"/>
      <x:c r="H383" s="33"/>
      <x:c r="I383" s="33"/>
      <x:c r="J383" s="33"/>
      <x:c r="K383" s="33"/>
      <x:c r="L383" s="33"/>
      <x:c r="M383" s="3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>
      <x:c r="A384" s="33"/>
      <x:c r="B384" s="33"/>
      <x:c r="C384" s="33"/>
      <x:c r="D384" s="33"/>
      <x:c r="E384" s="33"/>
      <x:c r="F384" s="33"/>
      <x:c r="G384" s="33"/>
      <x:c r="H384" s="33"/>
      <x:c r="I384" s="33"/>
      <x:c r="J384" s="33"/>
      <x:c r="K384" s="33"/>
      <x:c r="L384" s="33"/>
      <x:c r="M384" s="3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33"/>
      <x:c r="K385" s="33"/>
      <x:c r="L385" s="33"/>
      <x:c r="M385" s="3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>
      <x:c r="A386" s="33"/>
      <x:c r="B386" s="33"/>
      <x:c r="C386" s="33"/>
      <x:c r="D386" s="33"/>
      <x:c r="E386" s="33"/>
      <x:c r="F386" s="33"/>
      <x:c r="G386" s="33"/>
      <x:c r="H386" s="33"/>
      <x:c r="I386" s="33"/>
      <x:c r="J386" s="33"/>
      <x:c r="K386" s="33"/>
      <x:c r="L386" s="33"/>
      <x:c r="M386" s="3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>
      <x:c r="A387" s="33"/>
      <x:c r="B387" s="33"/>
      <x:c r="C387" s="33"/>
      <x:c r="D387" s="33"/>
      <x:c r="E387" s="33"/>
      <x:c r="F387" s="33"/>
      <x:c r="G387" s="33"/>
      <x:c r="H387" s="33"/>
      <x:c r="I387" s="33"/>
      <x:c r="J387" s="33"/>
      <x:c r="K387" s="33"/>
      <x:c r="L387" s="33"/>
      <x:c r="M387" s="3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>
      <x:c r="A388" s="33"/>
      <x:c r="B388" s="33"/>
      <x:c r="C388" s="33"/>
      <x:c r="D388" s="33"/>
      <x:c r="E388" s="33"/>
      <x:c r="F388" s="33"/>
      <x:c r="G388" s="33"/>
      <x:c r="H388" s="33"/>
      <x:c r="I388" s="33"/>
      <x:c r="J388" s="33"/>
      <x:c r="K388" s="33"/>
      <x:c r="L388" s="33"/>
      <x:c r="M388" s="3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>
      <x:c r="A389" s="33"/>
      <x:c r="B389" s="33"/>
      <x:c r="C389" s="33"/>
      <x:c r="D389" s="33"/>
      <x:c r="E389" s="33"/>
      <x:c r="F389" s="33"/>
      <x:c r="G389" s="33"/>
      <x:c r="H389" s="33"/>
      <x:c r="I389" s="33"/>
      <x:c r="J389" s="33"/>
      <x:c r="K389" s="33"/>
      <x:c r="L389" s="33"/>
      <x:c r="M389" s="3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>
      <x:c r="A390" s="33"/>
      <x:c r="B390" s="33"/>
      <x:c r="C390" s="33"/>
      <x:c r="D390" s="33"/>
      <x:c r="E390" s="33"/>
      <x:c r="F390" s="33"/>
      <x:c r="G390" s="33"/>
      <x:c r="H390" s="33"/>
      <x:c r="I390" s="33"/>
      <x:c r="J390" s="33"/>
      <x:c r="K390" s="33"/>
      <x:c r="L390" s="33"/>
      <x:c r="M390" s="3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>
      <x:c r="A391" s="33"/>
      <x:c r="B391" s="33"/>
      <x:c r="C391" s="33"/>
      <x:c r="D391" s="33"/>
      <x:c r="E391" s="33"/>
      <x:c r="F391" s="33"/>
      <x:c r="G391" s="33"/>
      <x:c r="H391" s="33"/>
      <x:c r="I391" s="33"/>
      <x:c r="J391" s="33"/>
      <x:c r="K391" s="33"/>
      <x:c r="L391" s="33"/>
      <x:c r="M391" s="3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>
      <x:c r="A392" s="33"/>
      <x:c r="B392" s="33"/>
      <x:c r="C392" s="33"/>
      <x:c r="D392" s="33"/>
      <x:c r="E392" s="33"/>
      <x:c r="F392" s="33"/>
      <x:c r="G392" s="33"/>
      <x:c r="H392" s="33"/>
      <x:c r="I392" s="33"/>
      <x:c r="J392" s="33"/>
      <x:c r="K392" s="33"/>
      <x:c r="L392" s="33"/>
      <x:c r="M392" s="3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>
      <x:c r="A393" s="33"/>
      <x:c r="B393" s="33"/>
      <x:c r="C393" s="33"/>
      <x:c r="D393" s="33"/>
      <x:c r="E393" s="33"/>
      <x:c r="F393" s="33"/>
      <x:c r="G393" s="33"/>
      <x:c r="H393" s="33"/>
      <x:c r="I393" s="33"/>
      <x:c r="J393" s="33"/>
      <x:c r="K393" s="33"/>
      <x:c r="L393" s="33"/>
      <x:c r="M393" s="3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>
      <x:c r="A394" s="33"/>
      <x:c r="B394" s="33"/>
      <x:c r="C394" s="33"/>
      <x:c r="D394" s="33"/>
      <x:c r="E394" s="33"/>
      <x:c r="F394" s="33"/>
      <x:c r="G394" s="33"/>
      <x:c r="H394" s="33"/>
      <x:c r="I394" s="33"/>
      <x:c r="J394" s="33"/>
      <x:c r="K394" s="33"/>
      <x:c r="L394" s="33"/>
      <x:c r="M394" s="3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>
      <x:c r="A395" s="33"/>
      <x:c r="B395" s="33"/>
      <x:c r="C395" s="33"/>
      <x:c r="D395" s="33"/>
      <x:c r="E395" s="33"/>
      <x:c r="F395" s="33"/>
      <x:c r="G395" s="33"/>
      <x:c r="H395" s="33"/>
      <x:c r="I395" s="33"/>
      <x:c r="J395" s="33"/>
      <x:c r="K395" s="33"/>
      <x:c r="L395" s="33"/>
      <x:c r="M395" s="3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>
      <x:c r="A396" s="33"/>
      <x:c r="B396" s="33"/>
      <x:c r="C396" s="33"/>
      <x:c r="D396" s="33"/>
      <x:c r="E396" s="33"/>
      <x:c r="F396" s="33"/>
      <x:c r="G396" s="33"/>
      <x:c r="H396" s="33"/>
      <x:c r="I396" s="33"/>
      <x:c r="J396" s="33"/>
      <x:c r="K396" s="33"/>
      <x:c r="L396" s="33"/>
      <x:c r="M396" s="3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>
      <x:c r="A397" s="33"/>
      <x:c r="B397" s="33"/>
      <x:c r="C397" s="33"/>
      <x:c r="D397" s="33"/>
      <x:c r="E397" s="33"/>
      <x:c r="F397" s="33"/>
      <x:c r="G397" s="33"/>
      <x:c r="H397" s="33"/>
      <x:c r="I397" s="33"/>
      <x:c r="J397" s="33"/>
      <x:c r="K397" s="33"/>
      <x:c r="L397" s="33"/>
      <x:c r="M397" s="3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>
      <x:c r="A398" s="33"/>
      <x:c r="B398" s="33"/>
      <x:c r="C398" s="33"/>
      <x:c r="D398" s="33"/>
      <x:c r="E398" s="33"/>
      <x:c r="F398" s="33"/>
      <x:c r="G398" s="33"/>
      <x:c r="H398" s="33"/>
      <x:c r="I398" s="33"/>
      <x:c r="J398" s="33"/>
      <x:c r="K398" s="33"/>
      <x:c r="L398" s="33"/>
      <x:c r="M398" s="3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>
      <x:c r="A399" s="33"/>
      <x:c r="B399" s="33"/>
      <x:c r="C399" s="33"/>
      <x:c r="D399" s="33"/>
      <x:c r="E399" s="33"/>
      <x:c r="F399" s="33"/>
      <x:c r="G399" s="33"/>
      <x:c r="H399" s="33"/>
      <x:c r="I399" s="33"/>
      <x:c r="J399" s="33"/>
      <x:c r="K399" s="33"/>
      <x:c r="L399" s="33"/>
      <x:c r="M399" s="3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>
      <x:c r="A400" s="33"/>
      <x:c r="B400" s="33"/>
      <x:c r="C400" s="33"/>
      <x:c r="D400" s="33"/>
      <x:c r="E400" s="33"/>
      <x:c r="F400" s="33"/>
      <x:c r="G400" s="33"/>
      <x:c r="H400" s="33"/>
      <x:c r="I400" s="33"/>
      <x:c r="J400" s="33"/>
      <x:c r="K400" s="33"/>
      <x:c r="L400" s="33"/>
      <x:c r="M400" s="3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>
      <x:c r="A401" s="33"/>
      <x:c r="B401" s="33"/>
      <x:c r="C401" s="33"/>
      <x:c r="D401" s="33"/>
      <x:c r="E401" s="33"/>
      <x:c r="F401" s="33"/>
      <x:c r="G401" s="33"/>
      <x:c r="H401" s="33"/>
      <x:c r="I401" s="33"/>
      <x:c r="J401" s="33"/>
      <x:c r="K401" s="33"/>
      <x:c r="L401" s="33"/>
      <x:c r="M401" s="3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>
      <x:c r="A402" s="33"/>
      <x:c r="B402" s="33"/>
      <x:c r="C402" s="33"/>
      <x:c r="D402" s="33"/>
      <x:c r="E402" s="33"/>
      <x:c r="F402" s="33"/>
      <x:c r="G402" s="33"/>
      <x:c r="H402" s="33"/>
      <x:c r="I402" s="33"/>
      <x:c r="J402" s="33"/>
      <x:c r="K402" s="33"/>
      <x:c r="L402" s="33"/>
      <x:c r="M402" s="3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>
      <x:c r="A403" s="33"/>
      <x:c r="B403" s="33"/>
      <x:c r="C403" s="33"/>
      <x:c r="D403" s="33"/>
      <x:c r="E403" s="33"/>
      <x:c r="F403" s="33"/>
      <x:c r="G403" s="33"/>
      <x:c r="H403" s="33"/>
      <x:c r="I403" s="33"/>
      <x:c r="J403" s="33"/>
      <x:c r="K403" s="33"/>
      <x:c r="L403" s="33"/>
      <x:c r="M403" s="3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>
      <x:c r="A404" s="33"/>
      <x:c r="B404" s="33"/>
      <x:c r="C404" s="33"/>
      <x:c r="D404" s="33"/>
      <x:c r="E404" s="33"/>
      <x:c r="F404" s="33"/>
      <x:c r="G404" s="33"/>
      <x:c r="H404" s="33"/>
      <x:c r="I404" s="33"/>
      <x:c r="J404" s="33"/>
      <x:c r="K404" s="33"/>
      <x:c r="L404" s="33"/>
      <x:c r="M404" s="3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>
      <x:c r="A405" s="33"/>
      <x:c r="B405" s="33"/>
      <x:c r="C405" s="33"/>
      <x:c r="D405" s="33"/>
      <x:c r="E405" s="33"/>
      <x:c r="F405" s="33"/>
      <x:c r="G405" s="33"/>
      <x:c r="H405" s="33"/>
      <x:c r="I405" s="33"/>
      <x:c r="J405" s="33"/>
      <x:c r="K405" s="33"/>
      <x:c r="L405" s="33"/>
      <x:c r="M405" s="3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>
      <x:c r="A406" s="33"/>
      <x:c r="B406" s="33"/>
      <x:c r="C406" s="33"/>
      <x:c r="D406" s="33"/>
      <x:c r="E406" s="33"/>
      <x:c r="F406" s="33"/>
      <x:c r="G406" s="33"/>
      <x:c r="H406" s="33"/>
      <x:c r="I406" s="33"/>
      <x:c r="J406" s="33"/>
      <x:c r="K406" s="33"/>
      <x:c r="L406" s="33"/>
      <x:c r="M406" s="3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>
      <x:c r="A407" s="33"/>
      <x:c r="B407" s="33"/>
      <x:c r="C407" s="33"/>
      <x:c r="D407" s="33"/>
      <x:c r="E407" s="33"/>
      <x:c r="F407" s="33"/>
      <x:c r="G407" s="33"/>
      <x:c r="H407" s="33"/>
      <x:c r="I407" s="33"/>
      <x:c r="J407" s="33"/>
      <x:c r="K407" s="33"/>
      <x:c r="L407" s="33"/>
      <x:c r="M407" s="3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>
      <x:c r="A408" s="33"/>
      <x:c r="B408" s="33"/>
      <x:c r="C408" s="33"/>
      <x:c r="D408" s="33"/>
      <x:c r="E408" s="33"/>
      <x:c r="F408" s="33"/>
      <x:c r="G408" s="33"/>
      <x:c r="H408" s="33"/>
      <x:c r="I408" s="33"/>
      <x:c r="J408" s="33"/>
      <x:c r="K408" s="33"/>
      <x:c r="L408" s="33"/>
      <x:c r="M408" s="3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>
      <x:c r="A409" s="33"/>
      <x:c r="B409" s="33"/>
      <x:c r="C409" s="33"/>
      <x:c r="D409" s="33"/>
      <x:c r="E409" s="33"/>
      <x:c r="F409" s="33"/>
      <x:c r="G409" s="33"/>
      <x:c r="H409" s="33"/>
      <x:c r="I409" s="33"/>
      <x:c r="J409" s="33"/>
      <x:c r="K409" s="33"/>
      <x:c r="L409" s="33"/>
      <x:c r="M409" s="3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>
      <x:c r="A410" s="33"/>
      <x:c r="B410" s="33"/>
      <x:c r="C410" s="33"/>
      <x:c r="D410" s="33"/>
      <x:c r="E410" s="33"/>
      <x:c r="F410" s="33"/>
      <x:c r="G410" s="33"/>
      <x:c r="H410" s="33"/>
      <x:c r="I410" s="33"/>
      <x:c r="J410" s="33"/>
      <x:c r="K410" s="33"/>
      <x:c r="L410" s="33"/>
      <x:c r="M410" s="3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>
      <x:c r="A411" s="33"/>
      <x:c r="B411" s="33"/>
      <x:c r="C411" s="33"/>
      <x:c r="D411" s="33"/>
      <x:c r="E411" s="33"/>
      <x:c r="F411" s="33"/>
      <x:c r="G411" s="33"/>
      <x:c r="H411" s="33"/>
      <x:c r="I411" s="33"/>
      <x:c r="J411" s="33"/>
      <x:c r="K411" s="33"/>
      <x:c r="L411" s="33"/>
      <x:c r="M411" s="3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>
      <x:c r="A412" s="33"/>
      <x:c r="B412" s="33"/>
      <x:c r="C412" s="33"/>
      <x:c r="D412" s="33"/>
      <x:c r="E412" s="33"/>
      <x:c r="F412" s="33"/>
      <x:c r="G412" s="33"/>
      <x:c r="H412" s="33"/>
      <x:c r="I412" s="33"/>
      <x:c r="J412" s="33"/>
      <x:c r="K412" s="33"/>
      <x:c r="L412" s="33"/>
      <x:c r="M412" s="3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>
      <x:c r="A413" s="33"/>
      <x:c r="B413" s="33"/>
      <x:c r="C413" s="33"/>
      <x:c r="D413" s="33"/>
      <x:c r="E413" s="33"/>
      <x:c r="F413" s="33"/>
      <x:c r="G413" s="33"/>
      <x:c r="H413" s="33"/>
      <x:c r="I413" s="33"/>
      <x:c r="J413" s="33"/>
      <x:c r="K413" s="33"/>
      <x:c r="L413" s="33"/>
      <x:c r="M413" s="3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>
      <x:c r="A414" s="33"/>
      <x:c r="B414" s="33"/>
      <x:c r="C414" s="33"/>
      <x:c r="D414" s="33"/>
      <x:c r="E414" s="33"/>
      <x:c r="F414" s="33"/>
      <x:c r="G414" s="33"/>
      <x:c r="H414" s="33"/>
      <x:c r="I414" s="33"/>
      <x:c r="J414" s="33"/>
      <x:c r="K414" s="33"/>
      <x:c r="L414" s="33"/>
      <x:c r="M414" s="3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>
      <x:c r="A415" s="33"/>
      <x:c r="B415" s="33"/>
      <x:c r="C415" s="33"/>
      <x:c r="D415" s="33"/>
      <x:c r="E415" s="33"/>
      <x:c r="F415" s="33"/>
      <x:c r="G415" s="33"/>
      <x:c r="H415" s="33"/>
      <x:c r="I415" s="33"/>
      <x:c r="J415" s="33"/>
      <x:c r="K415" s="33"/>
      <x:c r="L415" s="33"/>
      <x:c r="M415" s="3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>
      <x:c r="A416" s="33"/>
      <x:c r="B416" s="33"/>
      <x:c r="C416" s="33"/>
      <x:c r="D416" s="33"/>
      <x:c r="E416" s="33"/>
      <x:c r="F416" s="33"/>
      <x:c r="G416" s="33"/>
      <x:c r="H416" s="33"/>
      <x:c r="I416" s="33"/>
      <x:c r="J416" s="33"/>
      <x:c r="K416" s="33"/>
      <x:c r="L416" s="33"/>
      <x:c r="M416" s="3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>
      <x:c r="A417" s="33"/>
      <x:c r="B417" s="33"/>
      <x:c r="C417" s="33"/>
      <x:c r="D417" s="33"/>
      <x:c r="E417" s="33"/>
      <x:c r="F417" s="33"/>
      <x:c r="G417" s="33"/>
      <x:c r="H417" s="33"/>
      <x:c r="I417" s="33"/>
      <x:c r="J417" s="33"/>
      <x:c r="K417" s="33"/>
      <x:c r="L417" s="33"/>
      <x:c r="M417" s="3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>
      <x:c r="A418" s="33"/>
      <x:c r="B418" s="33"/>
      <x:c r="C418" s="33"/>
      <x:c r="D418" s="33"/>
      <x:c r="E418" s="33"/>
      <x:c r="F418" s="33"/>
      <x:c r="G418" s="33"/>
      <x:c r="H418" s="33"/>
      <x:c r="I418" s="33"/>
      <x:c r="J418" s="33"/>
      <x:c r="K418" s="33"/>
      <x:c r="L418" s="33"/>
      <x:c r="M418" s="3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>
      <x:c r="A419" s="33"/>
      <x:c r="B419" s="33"/>
      <x:c r="C419" s="33"/>
      <x:c r="D419" s="33"/>
      <x:c r="E419" s="33"/>
      <x:c r="F419" s="33"/>
      <x:c r="G419" s="33"/>
      <x:c r="H419" s="33"/>
      <x:c r="I419" s="33"/>
      <x:c r="J419" s="33"/>
      <x:c r="K419" s="33"/>
      <x:c r="L419" s="33"/>
      <x:c r="M419" s="3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>
      <x:c r="A420" s="33"/>
      <x:c r="B420" s="33"/>
      <x:c r="C420" s="33"/>
      <x:c r="D420" s="33"/>
      <x:c r="E420" s="33"/>
      <x:c r="F420" s="33"/>
      <x:c r="G420" s="33"/>
      <x:c r="H420" s="33"/>
      <x:c r="I420" s="33"/>
      <x:c r="J420" s="33"/>
      <x:c r="K420" s="33"/>
      <x:c r="L420" s="33"/>
      <x:c r="M420" s="3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>
      <x:c r="A421" s="33"/>
      <x:c r="B421" s="33"/>
      <x:c r="C421" s="33"/>
      <x:c r="D421" s="33"/>
      <x:c r="E421" s="33"/>
      <x:c r="F421" s="33"/>
      <x:c r="G421" s="33"/>
      <x:c r="H421" s="33"/>
      <x:c r="I421" s="33"/>
      <x:c r="J421" s="33"/>
      <x:c r="K421" s="33"/>
      <x:c r="L421" s="33"/>
      <x:c r="M421" s="3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>
      <x:c r="A422" s="33"/>
      <x:c r="B422" s="33"/>
      <x:c r="C422" s="33"/>
      <x:c r="D422" s="33"/>
      <x:c r="E422" s="33"/>
      <x:c r="F422" s="33"/>
      <x:c r="G422" s="33"/>
      <x:c r="H422" s="33"/>
      <x:c r="I422" s="33"/>
      <x:c r="J422" s="33"/>
      <x:c r="K422" s="33"/>
      <x:c r="L422" s="33"/>
      <x:c r="M422" s="3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>
      <x:c r="A423" s="33"/>
      <x:c r="B423" s="33"/>
      <x:c r="C423" s="33"/>
      <x:c r="D423" s="33"/>
      <x:c r="E423" s="33"/>
      <x:c r="F423" s="33"/>
      <x:c r="G423" s="33"/>
      <x:c r="H423" s="33"/>
      <x:c r="I423" s="33"/>
      <x:c r="J423" s="33"/>
      <x:c r="K423" s="33"/>
      <x:c r="L423" s="33"/>
      <x:c r="M423" s="3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>
      <x:c r="A424" s="33"/>
      <x:c r="B424" s="33"/>
      <x:c r="C424" s="33"/>
      <x:c r="D424" s="33"/>
      <x:c r="E424" s="33"/>
      <x:c r="F424" s="33"/>
      <x:c r="G424" s="33"/>
      <x:c r="H424" s="33"/>
      <x:c r="I424" s="33"/>
      <x:c r="J424" s="33"/>
      <x:c r="K424" s="33"/>
      <x:c r="L424" s="33"/>
      <x:c r="M424" s="3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>
      <x:c r="A425" s="33"/>
      <x:c r="B425" s="33"/>
      <x:c r="C425" s="33"/>
      <x:c r="D425" s="33"/>
      <x:c r="E425" s="33"/>
      <x:c r="F425" s="33"/>
      <x:c r="G425" s="33"/>
      <x:c r="H425" s="33"/>
      <x:c r="I425" s="33"/>
      <x:c r="J425" s="33"/>
      <x:c r="K425" s="33"/>
      <x:c r="L425" s="33"/>
      <x:c r="M425" s="3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>
      <x:c r="A426" s="33"/>
      <x:c r="B426" s="33"/>
      <x:c r="C426" s="33"/>
      <x:c r="D426" s="33"/>
      <x:c r="E426" s="33"/>
      <x:c r="F426" s="33"/>
      <x:c r="G426" s="33"/>
      <x:c r="H426" s="33"/>
      <x:c r="I426" s="33"/>
      <x:c r="J426" s="33"/>
      <x:c r="K426" s="33"/>
      <x:c r="L426" s="33"/>
      <x:c r="M426" s="3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>
      <x:c r="A427" s="33"/>
      <x:c r="B427" s="33"/>
      <x:c r="C427" s="33"/>
      <x:c r="D427" s="33"/>
      <x:c r="E427" s="33"/>
      <x:c r="F427" s="33"/>
      <x:c r="G427" s="33"/>
      <x:c r="H427" s="33"/>
      <x:c r="I427" s="33"/>
      <x:c r="J427" s="33"/>
      <x:c r="K427" s="33"/>
      <x:c r="L427" s="33"/>
      <x:c r="M427" s="3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>
      <x:c r="A428" s="33"/>
      <x:c r="B428" s="33"/>
      <x:c r="C428" s="33"/>
      <x:c r="D428" s="33"/>
      <x:c r="E428" s="33"/>
      <x:c r="F428" s="33"/>
      <x:c r="G428" s="33"/>
      <x:c r="H428" s="33"/>
      <x:c r="I428" s="33"/>
      <x:c r="J428" s="33"/>
      <x:c r="K428" s="33"/>
      <x:c r="L428" s="33"/>
      <x:c r="M428" s="3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>
      <x:c r="A429" s="33"/>
      <x:c r="B429" s="33"/>
      <x:c r="C429" s="33"/>
      <x:c r="D429" s="33"/>
      <x:c r="E429" s="33"/>
      <x:c r="F429" s="33"/>
      <x:c r="G429" s="33"/>
      <x:c r="H429" s="33"/>
      <x:c r="I429" s="33"/>
      <x:c r="J429" s="33"/>
      <x:c r="K429" s="33"/>
      <x:c r="L429" s="33"/>
      <x:c r="M429" s="3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>
      <x:c r="A430" s="33"/>
      <x:c r="B430" s="33"/>
      <x:c r="C430" s="33"/>
      <x:c r="D430" s="33"/>
      <x:c r="E430" s="33"/>
      <x:c r="F430" s="33"/>
      <x:c r="G430" s="33"/>
      <x:c r="H430" s="33"/>
      <x:c r="I430" s="33"/>
      <x:c r="J430" s="33"/>
      <x:c r="K430" s="33"/>
      <x:c r="L430" s="33"/>
      <x:c r="M430" s="3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>
      <x:c r="A431" s="33"/>
      <x:c r="B431" s="33"/>
      <x:c r="C431" s="33"/>
      <x:c r="D431" s="33"/>
      <x:c r="E431" s="33"/>
      <x:c r="F431" s="33"/>
      <x:c r="G431" s="33"/>
      <x:c r="H431" s="33"/>
      <x:c r="I431" s="33"/>
      <x:c r="J431" s="33"/>
      <x:c r="K431" s="33"/>
      <x:c r="L431" s="33"/>
      <x:c r="M431" s="3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>
      <x:c r="A432" s="33"/>
      <x:c r="B432" s="33"/>
      <x:c r="C432" s="33"/>
      <x:c r="D432" s="33"/>
      <x:c r="E432" s="33"/>
      <x:c r="F432" s="33"/>
      <x:c r="G432" s="33"/>
      <x:c r="H432" s="33"/>
      <x:c r="I432" s="33"/>
      <x:c r="J432" s="33"/>
      <x:c r="K432" s="33"/>
      <x:c r="L432" s="33"/>
      <x:c r="M432" s="3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>
      <x:c r="A433" s="33"/>
      <x:c r="B433" s="33"/>
      <x:c r="C433" s="33"/>
      <x:c r="D433" s="33"/>
      <x:c r="E433" s="33"/>
      <x:c r="F433" s="33"/>
      <x:c r="G433" s="33"/>
      <x:c r="H433" s="33"/>
      <x:c r="I433" s="33"/>
      <x:c r="J433" s="33"/>
      <x:c r="K433" s="33"/>
      <x:c r="L433" s="33"/>
      <x:c r="M433" s="3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>
      <x:c r="A434" s="33"/>
      <x:c r="B434" s="33"/>
      <x:c r="C434" s="33"/>
      <x:c r="D434" s="33"/>
      <x:c r="E434" s="33"/>
      <x:c r="F434" s="33"/>
      <x:c r="G434" s="33"/>
      <x:c r="H434" s="33"/>
      <x:c r="I434" s="33"/>
      <x:c r="J434" s="33"/>
      <x:c r="K434" s="33"/>
      <x:c r="L434" s="33"/>
      <x:c r="M434" s="3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>
      <x:c r="A435" s="33"/>
      <x:c r="B435" s="33"/>
      <x:c r="C435" s="33"/>
      <x:c r="D435" s="33"/>
      <x:c r="E435" s="33"/>
      <x:c r="F435" s="33"/>
      <x:c r="G435" s="33"/>
      <x:c r="H435" s="33"/>
      <x:c r="I435" s="33"/>
      <x:c r="J435" s="33"/>
      <x:c r="K435" s="33"/>
      <x:c r="L435" s="33"/>
      <x:c r="M435" s="3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>
      <x:c r="A436" s="33"/>
      <x:c r="B436" s="33"/>
      <x:c r="C436" s="33"/>
      <x:c r="D436" s="33"/>
      <x:c r="E436" s="33"/>
      <x:c r="F436" s="33"/>
      <x:c r="G436" s="33"/>
      <x:c r="H436" s="33"/>
      <x:c r="I436" s="33"/>
      <x:c r="J436" s="33"/>
      <x:c r="K436" s="33"/>
      <x:c r="L436" s="33"/>
      <x:c r="M436" s="3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>
      <x:c r="A437" s="33"/>
      <x:c r="B437" s="33"/>
      <x:c r="C437" s="33"/>
      <x:c r="D437" s="33"/>
      <x:c r="E437" s="33"/>
      <x:c r="F437" s="33"/>
      <x:c r="G437" s="33"/>
      <x:c r="H437" s="33"/>
      <x:c r="I437" s="33"/>
      <x:c r="J437" s="33"/>
      <x:c r="K437" s="33"/>
      <x:c r="L437" s="33"/>
      <x:c r="M437" s="3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>
      <x:c r="A438" s="33"/>
      <x:c r="B438" s="33"/>
      <x:c r="C438" s="33"/>
      <x:c r="D438" s="33"/>
      <x:c r="E438" s="33"/>
      <x:c r="F438" s="33"/>
      <x:c r="G438" s="33"/>
      <x:c r="H438" s="33"/>
      <x:c r="I438" s="33"/>
      <x:c r="J438" s="33"/>
      <x:c r="K438" s="33"/>
      <x:c r="L438" s="33"/>
      <x:c r="M438" s="3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>
      <x:c r="A439" s="33"/>
      <x:c r="B439" s="33"/>
      <x:c r="C439" s="33"/>
      <x:c r="D439" s="33"/>
      <x:c r="E439" s="33"/>
      <x:c r="F439" s="33"/>
      <x:c r="G439" s="33"/>
      <x:c r="H439" s="33"/>
      <x:c r="I439" s="33"/>
      <x:c r="J439" s="33"/>
      <x:c r="K439" s="33"/>
      <x:c r="L439" s="33"/>
      <x:c r="M439" s="3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>
      <x:c r="A440" s="33"/>
      <x:c r="B440" s="33"/>
      <x:c r="C440" s="33"/>
      <x:c r="D440" s="33"/>
      <x:c r="E440" s="33"/>
      <x:c r="F440" s="33"/>
      <x:c r="G440" s="33"/>
      <x:c r="H440" s="33"/>
      <x:c r="I440" s="33"/>
      <x:c r="J440" s="33"/>
      <x:c r="K440" s="33"/>
      <x:c r="L440" s="33"/>
      <x:c r="M440" s="3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>
      <x:c r="A441" s="33"/>
      <x:c r="B441" s="33"/>
      <x:c r="C441" s="33"/>
      <x:c r="D441" s="33"/>
      <x:c r="E441" s="33"/>
      <x:c r="F441" s="33"/>
      <x:c r="G441" s="33"/>
      <x:c r="H441" s="33"/>
      <x:c r="I441" s="33"/>
      <x:c r="J441" s="33"/>
      <x:c r="K441" s="33"/>
      <x:c r="L441" s="33"/>
      <x:c r="M441" s="3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>
      <x:c r="A442" s="33"/>
      <x:c r="B442" s="33"/>
      <x:c r="C442" s="33"/>
      <x:c r="D442" s="33"/>
      <x:c r="E442" s="33"/>
      <x:c r="F442" s="33"/>
      <x:c r="G442" s="33"/>
      <x:c r="H442" s="33"/>
      <x:c r="I442" s="33"/>
      <x:c r="J442" s="33"/>
      <x:c r="K442" s="33"/>
      <x:c r="L442" s="33"/>
      <x:c r="M442" s="3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>
      <x:c r="A443" s="33"/>
      <x:c r="B443" s="33"/>
      <x:c r="C443" s="33"/>
      <x:c r="D443" s="33"/>
      <x:c r="E443" s="33"/>
      <x:c r="F443" s="33"/>
      <x:c r="G443" s="33"/>
      <x:c r="H443" s="33"/>
      <x:c r="I443" s="33"/>
      <x:c r="J443" s="33"/>
      <x:c r="K443" s="33"/>
      <x:c r="L443" s="33"/>
      <x:c r="M443" s="3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>
      <x:c r="A444" s="33"/>
      <x:c r="B444" s="33"/>
      <x:c r="C444" s="33"/>
      <x:c r="D444" s="33"/>
      <x:c r="E444" s="33"/>
      <x:c r="F444" s="33"/>
      <x:c r="G444" s="33"/>
      <x:c r="H444" s="33"/>
      <x:c r="I444" s="33"/>
      <x:c r="J444" s="33"/>
      <x:c r="K444" s="33"/>
      <x:c r="L444" s="33"/>
      <x:c r="M444" s="3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>
      <x:c r="A445" s="33"/>
      <x:c r="B445" s="33"/>
      <x:c r="C445" s="33"/>
      <x:c r="D445" s="33"/>
      <x:c r="E445" s="33"/>
      <x:c r="F445" s="33"/>
      <x:c r="G445" s="33"/>
      <x:c r="H445" s="33"/>
      <x:c r="I445" s="33"/>
      <x:c r="J445" s="33"/>
      <x:c r="K445" s="33"/>
      <x:c r="L445" s="33"/>
      <x:c r="M445" s="3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>
      <x:c r="A446" s="33"/>
      <x:c r="B446" s="33"/>
      <x:c r="C446" s="33"/>
      <x:c r="D446" s="33"/>
      <x:c r="E446" s="33"/>
      <x:c r="F446" s="33"/>
      <x:c r="G446" s="33"/>
      <x:c r="H446" s="33"/>
      <x:c r="I446" s="33"/>
      <x:c r="J446" s="33"/>
      <x:c r="K446" s="33"/>
      <x:c r="L446" s="33"/>
      <x:c r="M446" s="3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>
      <x:c r="A447" s="33"/>
      <x:c r="B447" s="33"/>
      <x:c r="C447" s="33"/>
      <x:c r="D447" s="33"/>
      <x:c r="E447" s="33"/>
      <x:c r="F447" s="33"/>
      <x:c r="G447" s="33"/>
      <x:c r="H447" s="33"/>
      <x:c r="I447" s="33"/>
      <x:c r="J447" s="33"/>
      <x:c r="K447" s="33"/>
      <x:c r="L447" s="33"/>
      <x:c r="M447" s="3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>
      <x:c r="A448" s="33"/>
      <x:c r="B448" s="33"/>
      <x:c r="C448" s="33"/>
      <x:c r="D448" s="33"/>
      <x:c r="E448" s="33"/>
      <x:c r="F448" s="33"/>
      <x:c r="G448" s="33"/>
      <x:c r="H448" s="33"/>
      <x:c r="I448" s="33"/>
      <x:c r="J448" s="33"/>
      <x:c r="K448" s="33"/>
      <x:c r="L448" s="33"/>
      <x:c r="M448" s="3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>
      <x:c r="A449" s="33"/>
      <x:c r="B449" s="33"/>
      <x:c r="C449" s="33"/>
      <x:c r="D449" s="33"/>
      <x:c r="E449" s="33"/>
      <x:c r="F449" s="33"/>
      <x:c r="G449" s="33"/>
      <x:c r="H449" s="33"/>
      <x:c r="I449" s="33"/>
      <x:c r="J449" s="33"/>
      <x:c r="K449" s="33"/>
      <x:c r="L449" s="33"/>
      <x:c r="M449" s="3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>
      <x:c r="A450" s="33"/>
      <x:c r="B450" s="33"/>
      <x:c r="C450" s="33"/>
      <x:c r="D450" s="33"/>
      <x:c r="E450" s="33"/>
      <x:c r="F450" s="33"/>
      <x:c r="G450" s="33"/>
      <x:c r="H450" s="33"/>
      <x:c r="I450" s="33"/>
      <x:c r="J450" s="33"/>
      <x:c r="K450" s="33"/>
      <x:c r="L450" s="33"/>
      <x:c r="M450" s="3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>
      <x:c r="A451" s="33"/>
      <x:c r="B451" s="33"/>
      <x:c r="C451" s="33"/>
      <x:c r="D451" s="33"/>
      <x:c r="E451" s="33"/>
      <x:c r="F451" s="33"/>
      <x:c r="G451" s="33"/>
      <x:c r="H451" s="33"/>
      <x:c r="I451" s="33"/>
      <x:c r="J451" s="33"/>
      <x:c r="K451" s="33"/>
      <x:c r="L451" s="33"/>
      <x:c r="M451" s="3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>
      <x:c r="A452" s="33"/>
      <x:c r="B452" s="33"/>
      <x:c r="C452" s="33"/>
      <x:c r="D452" s="33"/>
      <x:c r="E452" s="33"/>
      <x:c r="F452" s="33"/>
      <x:c r="G452" s="33"/>
      <x:c r="H452" s="33"/>
      <x:c r="I452" s="33"/>
      <x:c r="J452" s="33"/>
      <x:c r="K452" s="33"/>
      <x:c r="L452" s="33"/>
      <x:c r="M452" s="3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>
      <x:c r="A453" s="33"/>
      <x:c r="B453" s="33"/>
      <x:c r="C453" s="33"/>
      <x:c r="D453" s="33"/>
      <x:c r="E453" s="33"/>
      <x:c r="F453" s="33"/>
      <x:c r="G453" s="33"/>
      <x:c r="H453" s="33"/>
      <x:c r="I453" s="33"/>
      <x:c r="J453" s="33"/>
      <x:c r="K453" s="33"/>
      <x:c r="L453" s="33"/>
      <x:c r="M453" s="3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>
      <x:c r="A454" s="33"/>
      <x:c r="B454" s="33"/>
      <x:c r="C454" s="33"/>
      <x:c r="D454" s="33"/>
      <x:c r="E454" s="33"/>
      <x:c r="F454" s="33"/>
      <x:c r="G454" s="33"/>
      <x:c r="H454" s="33"/>
      <x:c r="I454" s="33"/>
      <x:c r="J454" s="33"/>
      <x:c r="K454" s="33"/>
      <x:c r="L454" s="33"/>
      <x:c r="M454" s="3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>
      <x:c r="A455" s="33"/>
      <x:c r="B455" s="33"/>
      <x:c r="C455" s="33"/>
      <x:c r="D455" s="33"/>
      <x:c r="E455" s="33"/>
      <x:c r="F455" s="33"/>
      <x:c r="G455" s="33"/>
      <x:c r="H455" s="33"/>
      <x:c r="I455" s="33"/>
      <x:c r="J455" s="33"/>
      <x:c r="K455" s="33"/>
      <x:c r="L455" s="33"/>
      <x:c r="M455" s="3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>
      <x:c r="A456" s="33"/>
      <x:c r="B456" s="33"/>
      <x:c r="C456" s="33"/>
      <x:c r="D456" s="33"/>
      <x:c r="E456" s="33"/>
      <x:c r="F456" s="33"/>
      <x:c r="G456" s="33"/>
      <x:c r="H456" s="33"/>
      <x:c r="I456" s="33"/>
      <x:c r="J456" s="33"/>
      <x:c r="K456" s="33"/>
      <x:c r="L456" s="33"/>
      <x:c r="M456" s="3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>
      <x:c r="A457" s="33"/>
      <x:c r="B457" s="33"/>
      <x:c r="C457" s="33"/>
      <x:c r="D457" s="33"/>
      <x:c r="E457" s="33"/>
      <x:c r="F457" s="33"/>
      <x:c r="G457" s="33"/>
      <x:c r="H457" s="33"/>
      <x:c r="I457" s="33"/>
      <x:c r="J457" s="33"/>
      <x:c r="K457" s="33"/>
      <x:c r="L457" s="33"/>
      <x:c r="M457" s="3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>
      <x:c r="A458" s="33"/>
      <x:c r="B458" s="33"/>
      <x:c r="C458" s="33"/>
      <x:c r="D458" s="33"/>
      <x:c r="E458" s="33"/>
      <x:c r="F458" s="33"/>
      <x:c r="G458" s="33"/>
      <x:c r="H458" s="33"/>
      <x:c r="I458" s="33"/>
      <x:c r="J458" s="33"/>
      <x:c r="K458" s="33"/>
      <x:c r="L458" s="33"/>
      <x:c r="M458" s="3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>
      <x:c r="A459" s="33"/>
      <x:c r="B459" s="33"/>
      <x:c r="C459" s="33"/>
      <x:c r="D459" s="33"/>
      <x:c r="E459" s="33"/>
      <x:c r="F459" s="33"/>
      <x:c r="G459" s="33"/>
      <x:c r="H459" s="33"/>
      <x:c r="I459" s="33"/>
      <x:c r="J459" s="33"/>
      <x:c r="K459" s="33"/>
      <x:c r="L459" s="33"/>
      <x:c r="M459" s="3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>
      <x:c r="A460" s="33"/>
      <x:c r="B460" s="33"/>
      <x:c r="C460" s="33"/>
      <x:c r="D460" s="33"/>
      <x:c r="E460" s="33"/>
      <x:c r="F460" s="33"/>
      <x:c r="G460" s="33"/>
      <x:c r="H460" s="33"/>
      <x:c r="I460" s="33"/>
      <x:c r="J460" s="33"/>
      <x:c r="K460" s="33"/>
      <x:c r="L460" s="33"/>
      <x:c r="M460" s="3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>
      <x:c r="A461" s="33"/>
      <x:c r="B461" s="33"/>
      <x:c r="C461" s="33"/>
      <x:c r="D461" s="33"/>
      <x:c r="E461" s="33"/>
      <x:c r="F461" s="33"/>
      <x:c r="G461" s="33"/>
      <x:c r="H461" s="33"/>
      <x:c r="I461" s="33"/>
      <x:c r="J461" s="33"/>
      <x:c r="K461" s="33"/>
      <x:c r="L461" s="33"/>
      <x:c r="M461" s="3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>
      <x:c r="A462" s="33"/>
      <x:c r="B462" s="33"/>
      <x:c r="C462" s="33"/>
      <x:c r="D462" s="33"/>
      <x:c r="E462" s="33"/>
      <x:c r="F462" s="33"/>
      <x:c r="G462" s="33"/>
      <x:c r="H462" s="33"/>
      <x:c r="I462" s="33"/>
      <x:c r="J462" s="33"/>
      <x:c r="K462" s="33"/>
      <x:c r="L462" s="33"/>
      <x:c r="M462" s="3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>
      <x:c r="A463" s="33"/>
      <x:c r="B463" s="33"/>
      <x:c r="C463" s="33"/>
      <x:c r="D463" s="33"/>
      <x:c r="E463" s="33"/>
      <x:c r="F463" s="33"/>
      <x:c r="G463" s="33"/>
      <x:c r="H463" s="33"/>
      <x:c r="I463" s="33"/>
      <x:c r="J463" s="33"/>
      <x:c r="K463" s="33"/>
      <x:c r="L463" s="33"/>
      <x:c r="M463" s="3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>
      <x:c r="A464" s="33"/>
      <x:c r="B464" s="33"/>
      <x:c r="C464" s="33"/>
      <x:c r="D464" s="33"/>
      <x:c r="E464" s="33"/>
      <x:c r="F464" s="33"/>
      <x:c r="G464" s="33"/>
      <x:c r="H464" s="33"/>
      <x:c r="I464" s="33"/>
      <x:c r="J464" s="33"/>
      <x:c r="K464" s="33"/>
      <x:c r="L464" s="33"/>
      <x:c r="M464" s="3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>
      <x:c r="A465" s="33"/>
      <x:c r="B465" s="33"/>
      <x:c r="C465" s="33"/>
      <x:c r="D465" s="33"/>
      <x:c r="E465" s="33"/>
      <x:c r="F465" s="33"/>
      <x:c r="G465" s="33"/>
      <x:c r="H465" s="33"/>
      <x:c r="I465" s="33"/>
      <x:c r="J465" s="33"/>
      <x:c r="K465" s="33"/>
      <x:c r="L465" s="33"/>
      <x:c r="M465" s="3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>
      <x:c r="A466" s="33"/>
      <x:c r="B466" s="33"/>
      <x:c r="C466" s="33"/>
      <x:c r="D466" s="33"/>
      <x:c r="E466" s="33"/>
      <x:c r="F466" s="33"/>
      <x:c r="G466" s="33"/>
      <x:c r="H466" s="33"/>
      <x:c r="I466" s="33"/>
      <x:c r="J466" s="33"/>
      <x:c r="K466" s="33"/>
      <x:c r="L466" s="33"/>
      <x:c r="M466" s="3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>
      <x:c r="A467" s="33"/>
      <x:c r="B467" s="33"/>
      <x:c r="C467" s="33"/>
      <x:c r="D467" s="33"/>
      <x:c r="E467" s="33"/>
      <x:c r="F467" s="33"/>
      <x:c r="G467" s="33"/>
      <x:c r="H467" s="33"/>
      <x:c r="I467" s="33"/>
      <x:c r="J467" s="33"/>
      <x:c r="K467" s="33"/>
      <x:c r="L467" s="33"/>
      <x:c r="M467" s="3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>
      <x:c r="A468" s="33"/>
      <x:c r="B468" s="33"/>
      <x:c r="C468" s="33"/>
      <x:c r="D468" s="33"/>
      <x:c r="E468" s="33"/>
      <x:c r="F468" s="33"/>
      <x:c r="G468" s="33"/>
      <x:c r="H468" s="33"/>
      <x:c r="I468" s="33"/>
      <x:c r="J468" s="33"/>
      <x:c r="K468" s="33"/>
      <x:c r="L468" s="33"/>
      <x:c r="M468" s="3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>
      <x:c r="A469" s="33"/>
      <x:c r="B469" s="33"/>
      <x:c r="C469" s="33"/>
      <x:c r="D469" s="33"/>
      <x:c r="E469" s="33"/>
      <x:c r="F469" s="33"/>
      <x:c r="G469" s="33"/>
      <x:c r="H469" s="33"/>
      <x:c r="I469" s="33"/>
      <x:c r="J469" s="33"/>
      <x:c r="K469" s="33"/>
      <x:c r="L469" s="33"/>
      <x:c r="M469" s="3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>
      <x:c r="A470" s="33"/>
      <x:c r="B470" s="33"/>
      <x:c r="C470" s="33"/>
      <x:c r="D470" s="33"/>
      <x:c r="E470" s="33"/>
      <x:c r="F470" s="33"/>
      <x:c r="G470" s="33"/>
      <x:c r="H470" s="33"/>
      <x:c r="I470" s="33"/>
      <x:c r="J470" s="33"/>
      <x:c r="K470" s="33"/>
      <x:c r="L470" s="33"/>
      <x:c r="M470" s="3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>
      <x:c r="A471" s="33"/>
      <x:c r="B471" s="33"/>
      <x:c r="C471" s="33"/>
      <x:c r="D471" s="33"/>
      <x:c r="E471" s="33"/>
      <x:c r="F471" s="33"/>
      <x:c r="G471" s="33"/>
      <x:c r="H471" s="33"/>
      <x:c r="I471" s="33"/>
      <x:c r="J471" s="33"/>
      <x:c r="K471" s="33"/>
      <x:c r="L471" s="33"/>
      <x:c r="M471" s="3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>
      <x:c r="A472" s="33"/>
      <x:c r="B472" s="33"/>
      <x:c r="C472" s="33"/>
      <x:c r="D472" s="33"/>
      <x:c r="E472" s="33"/>
      <x:c r="F472" s="33"/>
      <x:c r="G472" s="33"/>
      <x:c r="H472" s="33"/>
      <x:c r="I472" s="33"/>
      <x:c r="J472" s="33"/>
      <x:c r="K472" s="33"/>
      <x:c r="L472" s="33"/>
      <x:c r="M472" s="3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>
      <x:c r="A473" s="33"/>
      <x:c r="B473" s="33"/>
      <x:c r="C473" s="33"/>
      <x:c r="D473" s="33"/>
      <x:c r="E473" s="33"/>
      <x:c r="F473" s="33"/>
      <x:c r="G473" s="33"/>
      <x:c r="H473" s="33"/>
      <x:c r="I473" s="33"/>
      <x:c r="J473" s="33"/>
      <x:c r="K473" s="33"/>
      <x:c r="L473" s="33"/>
      <x:c r="M473" s="3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>
      <x:c r="A474" s="33"/>
      <x:c r="B474" s="33"/>
      <x:c r="C474" s="33"/>
      <x:c r="D474" s="33"/>
      <x:c r="E474" s="33"/>
      <x:c r="F474" s="33"/>
      <x:c r="G474" s="33"/>
      <x:c r="H474" s="33"/>
      <x:c r="I474" s="33"/>
      <x:c r="J474" s="33"/>
      <x:c r="K474" s="33"/>
      <x:c r="L474" s="33"/>
      <x:c r="M474" s="3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>
      <x:c r="A475" s="33"/>
      <x:c r="B475" s="33"/>
      <x:c r="C475" s="33"/>
      <x:c r="D475" s="33"/>
      <x:c r="E475" s="33"/>
      <x:c r="F475" s="33"/>
      <x:c r="G475" s="33"/>
      <x:c r="H475" s="33"/>
      <x:c r="I475" s="33"/>
      <x:c r="J475" s="33"/>
      <x:c r="K475" s="33"/>
      <x:c r="L475" s="33"/>
      <x:c r="M475" s="3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>
      <x:c r="A476" s="33"/>
      <x:c r="B476" s="33"/>
      <x:c r="C476" s="33"/>
      <x:c r="D476" s="33"/>
      <x:c r="E476" s="33"/>
      <x:c r="F476" s="33"/>
      <x:c r="G476" s="33"/>
      <x:c r="H476" s="33"/>
      <x:c r="I476" s="33"/>
      <x:c r="J476" s="33"/>
      <x:c r="K476" s="33"/>
      <x:c r="L476" s="33"/>
      <x:c r="M476" s="3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>
      <x:c r="A477" s="33"/>
      <x:c r="B477" s="33"/>
      <x:c r="C477" s="33"/>
      <x:c r="D477" s="33"/>
      <x:c r="E477" s="33"/>
      <x:c r="F477" s="33"/>
      <x:c r="G477" s="33"/>
      <x:c r="H477" s="33"/>
      <x:c r="I477" s="33"/>
      <x:c r="J477" s="33"/>
      <x:c r="K477" s="33"/>
      <x:c r="L477" s="33"/>
      <x:c r="M477" s="3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>
      <x:c r="A478" s="33"/>
      <x:c r="B478" s="33"/>
      <x:c r="C478" s="33"/>
      <x:c r="D478" s="33"/>
      <x:c r="E478" s="33"/>
      <x:c r="F478" s="33"/>
      <x:c r="G478" s="33"/>
      <x:c r="H478" s="33"/>
      <x:c r="I478" s="33"/>
      <x:c r="J478" s="33"/>
      <x:c r="K478" s="33"/>
      <x:c r="L478" s="33"/>
      <x:c r="M478" s="3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>
      <x:c r="A479" s="33"/>
      <x:c r="B479" s="33"/>
      <x:c r="C479" s="33"/>
      <x:c r="D479" s="33"/>
      <x:c r="E479" s="33"/>
      <x:c r="F479" s="33"/>
      <x:c r="G479" s="33"/>
      <x:c r="H479" s="33"/>
      <x:c r="I479" s="33"/>
      <x:c r="J479" s="33"/>
      <x:c r="K479" s="33"/>
      <x:c r="L479" s="33"/>
      <x:c r="M479" s="3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>
      <x:c r="A480" s="33"/>
      <x:c r="B480" s="33"/>
      <x:c r="C480" s="33"/>
      <x:c r="D480" s="33"/>
      <x:c r="E480" s="33"/>
      <x:c r="F480" s="33"/>
      <x:c r="G480" s="33"/>
      <x:c r="H480" s="33"/>
      <x:c r="I480" s="33"/>
      <x:c r="J480" s="33"/>
      <x:c r="K480" s="33"/>
      <x:c r="L480" s="33"/>
      <x:c r="M480" s="3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>
      <x:c r="A481" s="33"/>
      <x:c r="B481" s="33"/>
      <x:c r="C481" s="33"/>
      <x:c r="D481" s="33"/>
      <x:c r="E481" s="33"/>
      <x:c r="F481" s="33"/>
      <x:c r="G481" s="33"/>
      <x:c r="H481" s="33"/>
      <x:c r="I481" s="33"/>
      <x:c r="J481" s="33"/>
      <x:c r="K481" s="33"/>
      <x:c r="L481" s="33"/>
      <x:c r="M481" s="3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>
      <x:c r="A482" s="33"/>
      <x:c r="B482" s="33"/>
      <x:c r="C482" s="33"/>
      <x:c r="D482" s="33"/>
      <x:c r="E482" s="33"/>
      <x:c r="F482" s="33"/>
      <x:c r="G482" s="33"/>
      <x:c r="H482" s="33"/>
      <x:c r="I482" s="33"/>
      <x:c r="J482" s="33"/>
      <x:c r="K482" s="33"/>
      <x:c r="L482" s="33"/>
      <x:c r="M482" s="3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>
      <x:c r="A483" s="33"/>
      <x:c r="B483" s="33"/>
      <x:c r="C483" s="33"/>
      <x:c r="D483" s="33"/>
      <x:c r="E483" s="33"/>
      <x:c r="F483" s="33"/>
      <x:c r="G483" s="33"/>
      <x:c r="H483" s="33"/>
      <x:c r="I483" s="33"/>
      <x:c r="J483" s="33"/>
      <x:c r="K483" s="33"/>
      <x:c r="L483" s="33"/>
      <x:c r="M483" s="3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>
      <x:c r="A484" s="33"/>
      <x:c r="B484" s="33"/>
      <x:c r="C484" s="33"/>
      <x:c r="D484" s="33"/>
      <x:c r="E484" s="33"/>
      <x:c r="F484" s="33"/>
      <x:c r="G484" s="33"/>
      <x:c r="H484" s="33"/>
      <x:c r="I484" s="33"/>
      <x:c r="J484" s="33"/>
      <x:c r="K484" s="33"/>
      <x:c r="L484" s="33"/>
      <x:c r="M484" s="3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>
      <x:c r="A485" s="33"/>
      <x:c r="B485" s="33"/>
      <x:c r="C485" s="33"/>
      <x:c r="D485" s="33"/>
      <x:c r="E485" s="33"/>
      <x:c r="F485" s="33"/>
      <x:c r="G485" s="33"/>
      <x:c r="H485" s="33"/>
      <x:c r="I485" s="33"/>
      <x:c r="J485" s="33"/>
      <x:c r="K485" s="33"/>
      <x:c r="L485" s="33"/>
      <x:c r="M485" s="3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>
      <x:c r="A486" s="33"/>
      <x:c r="B486" s="33"/>
      <x:c r="C486" s="33"/>
      <x:c r="D486" s="33"/>
      <x:c r="E486" s="33"/>
      <x:c r="F486" s="33"/>
      <x:c r="G486" s="33"/>
      <x:c r="H486" s="33"/>
      <x:c r="I486" s="33"/>
      <x:c r="J486" s="33"/>
      <x:c r="K486" s="33"/>
      <x:c r="L486" s="33"/>
      <x:c r="M486" s="3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>
      <x:c r="A487" s="33"/>
      <x:c r="B487" s="33"/>
      <x:c r="C487" s="33"/>
      <x:c r="D487" s="33"/>
      <x:c r="E487" s="33"/>
      <x:c r="F487" s="33"/>
      <x:c r="G487" s="33"/>
      <x:c r="H487" s="33"/>
      <x:c r="I487" s="33"/>
      <x:c r="J487" s="33"/>
      <x:c r="K487" s="33"/>
      <x:c r="L487" s="33"/>
      <x:c r="M487" s="3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>
      <x:c r="A488" s="33"/>
      <x:c r="B488" s="33"/>
      <x:c r="C488" s="33"/>
      <x:c r="D488" s="33"/>
      <x:c r="E488" s="33"/>
      <x:c r="F488" s="33"/>
      <x:c r="G488" s="33"/>
      <x:c r="H488" s="33"/>
      <x:c r="I488" s="33"/>
      <x:c r="J488" s="33"/>
      <x:c r="K488" s="33"/>
      <x:c r="L488" s="33"/>
      <x:c r="M488" s="3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>
      <x:c r="A489" s="33"/>
      <x:c r="B489" s="33"/>
      <x:c r="C489" s="33"/>
      <x:c r="D489" s="33"/>
      <x:c r="E489" s="33"/>
      <x:c r="F489" s="33"/>
      <x:c r="G489" s="33"/>
      <x:c r="H489" s="33"/>
      <x:c r="I489" s="33"/>
      <x:c r="J489" s="33"/>
      <x:c r="K489" s="33"/>
      <x:c r="L489" s="33"/>
      <x:c r="M489" s="3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>
      <x:c r="A490" s="33"/>
      <x:c r="B490" s="33"/>
      <x:c r="C490" s="33"/>
      <x:c r="D490" s="33"/>
      <x:c r="E490" s="33"/>
      <x:c r="F490" s="33"/>
      <x:c r="G490" s="33"/>
      <x:c r="H490" s="33"/>
      <x:c r="I490" s="33"/>
      <x:c r="J490" s="33"/>
      <x:c r="K490" s="33"/>
      <x:c r="L490" s="33"/>
      <x:c r="M490" s="3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>
      <x:c r="A491" s="33"/>
      <x:c r="B491" s="33"/>
      <x:c r="C491" s="33"/>
      <x:c r="D491" s="33"/>
      <x:c r="E491" s="33"/>
      <x:c r="F491" s="33"/>
      <x:c r="G491" s="33"/>
      <x:c r="H491" s="33"/>
      <x:c r="I491" s="33"/>
      <x:c r="J491" s="33"/>
      <x:c r="K491" s="33"/>
      <x:c r="L491" s="33"/>
      <x:c r="M491" s="3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>
      <x:c r="A492" s="33"/>
      <x:c r="B492" s="33"/>
      <x:c r="C492" s="33"/>
      <x:c r="D492" s="33"/>
      <x:c r="E492" s="33"/>
      <x:c r="F492" s="33"/>
      <x:c r="G492" s="33"/>
      <x:c r="H492" s="33"/>
      <x:c r="I492" s="33"/>
      <x:c r="J492" s="33"/>
      <x:c r="K492" s="33"/>
      <x:c r="L492" s="33"/>
      <x:c r="M492" s="3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>
      <x:c r="A493" s="33"/>
      <x:c r="B493" s="33"/>
      <x:c r="C493" s="33"/>
      <x:c r="D493" s="33"/>
      <x:c r="E493" s="33"/>
      <x:c r="F493" s="33"/>
      <x:c r="G493" s="33"/>
      <x:c r="H493" s="33"/>
      <x:c r="I493" s="33"/>
      <x:c r="J493" s="33"/>
      <x:c r="K493" s="33"/>
      <x:c r="L493" s="33"/>
      <x:c r="M493" s="3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>
      <x:c r="A494" s="33"/>
      <x:c r="B494" s="33"/>
      <x:c r="C494" s="33"/>
      <x:c r="D494" s="33"/>
      <x:c r="E494" s="33"/>
      <x:c r="F494" s="33"/>
      <x:c r="G494" s="33"/>
      <x:c r="H494" s="33"/>
      <x:c r="I494" s="33"/>
      <x:c r="J494" s="33"/>
      <x:c r="K494" s="33"/>
      <x:c r="L494" s="33"/>
      <x:c r="M494" s="3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>
      <x:c r="A495" s="33"/>
      <x:c r="B495" s="33"/>
      <x:c r="C495" s="33"/>
      <x:c r="D495" s="33"/>
      <x:c r="E495" s="33"/>
      <x:c r="F495" s="33"/>
      <x:c r="G495" s="33"/>
      <x:c r="H495" s="33"/>
      <x:c r="I495" s="33"/>
      <x:c r="J495" s="33"/>
      <x:c r="K495" s="33"/>
      <x:c r="L495" s="33"/>
      <x:c r="M495" s="3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>
      <x:c r="A496" s="33"/>
      <x:c r="B496" s="33"/>
      <x:c r="C496" s="33"/>
      <x:c r="D496" s="33"/>
      <x:c r="E496" s="33"/>
      <x:c r="F496" s="33"/>
      <x:c r="G496" s="33"/>
      <x:c r="H496" s="33"/>
      <x:c r="I496" s="33"/>
      <x:c r="J496" s="33"/>
      <x:c r="K496" s="33"/>
      <x:c r="L496" s="33"/>
      <x:c r="M496" s="3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>
      <x:c r="A497" s="33"/>
      <x:c r="B497" s="33"/>
      <x:c r="C497" s="33"/>
      <x:c r="D497" s="33"/>
      <x:c r="E497" s="33"/>
      <x:c r="F497" s="33"/>
      <x:c r="G497" s="33"/>
      <x:c r="H497" s="33"/>
      <x:c r="I497" s="33"/>
      <x:c r="J497" s="33"/>
      <x:c r="K497" s="33"/>
      <x:c r="L497" s="33"/>
      <x:c r="M497" s="3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>
      <x:c r="A498" s="33"/>
      <x:c r="B498" s="33"/>
      <x:c r="C498" s="33"/>
      <x:c r="D498" s="33"/>
      <x:c r="E498" s="33"/>
      <x:c r="F498" s="33"/>
      <x:c r="G498" s="33"/>
      <x:c r="H498" s="33"/>
      <x:c r="I498" s="33"/>
      <x:c r="J498" s="33"/>
      <x:c r="K498" s="33"/>
      <x:c r="L498" s="33"/>
      <x:c r="M498" s="3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>
      <x:c r="A499" s="33"/>
      <x:c r="B499" s="33"/>
      <x:c r="C499" s="33"/>
      <x:c r="D499" s="33"/>
      <x:c r="E499" s="33"/>
      <x:c r="F499" s="33"/>
      <x:c r="G499" s="33"/>
      <x:c r="H499" s="33"/>
      <x:c r="I499" s="33"/>
      <x:c r="J499" s="33"/>
      <x:c r="K499" s="33"/>
      <x:c r="L499" s="33"/>
      <x:c r="M499" s="3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>
      <x:c r="A500" s="33"/>
      <x:c r="B500" s="33"/>
      <x:c r="C500" s="33"/>
      <x:c r="D500" s="33"/>
      <x:c r="E500" s="33"/>
      <x:c r="F500" s="33"/>
      <x:c r="G500" s="33"/>
      <x:c r="H500" s="33"/>
      <x:c r="I500" s="33"/>
      <x:c r="J500" s="33"/>
      <x:c r="K500" s="33"/>
      <x:c r="L500" s="33"/>
      <x:c r="M500" s="3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</x:cols>
  <x:sheetData>
    <x:row r="1" ht="26" customHeight="1">
      <x:c r="A1" s="32" t="str">
        <x:v>09_Dong_tien_24T</x:v>
      </x:c>
      <x:c r="B1" s="32"/>
      <x:c r="C1" s="32"/>
      <x:c r="D1" s="32"/>
      <x:c r="E1" s="32"/>
      <x:c r="F1" s="32"/>
      <x:c r="G1" s="32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4" t="str">
        <x:v>Mã dự án</x:v>
      </x:c>
      <x:c r="B3" s="34" t="str">
        <x:v>Tháng</x:v>
      </x:c>
      <x:c r="C3" s="34" t="str">
        <x:v>Thu khách hàng</x:v>
      </x:c>
      <x:c r="D3" s="34" t="str">
        <x:v>Giải ngân vay</x:v>
      </x:c>
      <x:c r="E3" s="34" t="str">
        <x:v>Chi dự án</x:v>
      </x:c>
      <x:c r="F3" s="34" t="str">
        <x:v>Lãi vay</x:v>
      </x:c>
      <x:c r="G3" s="34" t="str">
        <x:v>Dòng tiền thuần</x:v>
      </x:c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5" t="str">
        <x:v>DA01</x:v>
      </x:c>
      <x:c r="B4" s="40" t="n">
        <x:v>46266</x:v>
      </x:c>
      <x:c r="C4" s="35" t="n">
        <x:v>20.416666666666668</x:v>
      </x:c>
      <x:c r="D4" s="35" t="n">
        <x:v>14.145833333333332</x:v>
      </x:c>
      <x:c r="E4" s="35" t="n">
        <x:v>40.625</x:v>
      </x:c>
      <x:c r="F4" s="35" t="n">
        <x:v>0.11198784722222221</x:v>
      </x:c>
      <x:c r="G4" s="35" t="n">
        <x:v>-6.174487847222222</x:v>
      </x:c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5" t="str">
        <x:v>DA01</x:v>
      </x:c>
      <x:c r="B5" s="40" t="n">
        <x:v>46296</x:v>
      </x:c>
      <x:c r="C5" s="35" t="n">
        <x:v>20.416666666666668</x:v>
      </x:c>
      <x:c r="D5" s="35" t="n">
        <x:v>14.145833333333332</x:v>
      </x:c>
      <x:c r="E5" s="35" t="n">
        <x:v>40.625</x:v>
      </x:c>
      <x:c r="F5" s="35" t="n">
        <x:v>0.11198784722222221</x:v>
      </x:c>
      <x:c r="G5" s="35" t="n">
        <x:v>-6.174487847222222</x:v>
      </x:c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5" t="str">
        <x:v>DA01</x:v>
      </x:c>
      <x:c r="B6" s="40" t="n">
        <x:v>46326</x:v>
      </x:c>
      <x:c r="C6" s="35" t="n">
        <x:v>20.416666666666668</x:v>
      </x:c>
      <x:c r="D6" s="35" t="n">
        <x:v>14.145833333333332</x:v>
      </x:c>
      <x:c r="E6" s="35" t="n">
        <x:v>40.625</x:v>
      </x:c>
      <x:c r="F6" s="35" t="n">
        <x:v>0.11198784722222221</x:v>
      </x:c>
      <x:c r="G6" s="35" t="n">
        <x:v>-6.174487847222222</x:v>
      </x:c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5" t="str">
        <x:v>DA01</x:v>
      </x:c>
      <x:c r="B7" s="40" t="n">
        <x:v>46356</x:v>
      </x:c>
      <x:c r="C7" s="35" t="n">
        <x:v>20.416666666666668</x:v>
      </x:c>
      <x:c r="D7" s="35" t="n">
        <x:v>14.145833333333332</x:v>
      </x:c>
      <x:c r="E7" s="35" t="n">
        <x:v>40.625</x:v>
      </x:c>
      <x:c r="F7" s="35" t="n">
        <x:v>0.11198784722222221</x:v>
      </x:c>
      <x:c r="G7" s="35" t="n">
        <x:v>-6.174487847222222</x:v>
      </x:c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5" t="str">
        <x:v>DA01</x:v>
      </x:c>
      <x:c r="B8" s="40" t="n">
        <x:v>46386</x:v>
      </x:c>
      <x:c r="C8" s="35" t="n">
        <x:v>20.416666666666668</x:v>
      </x:c>
      <x:c r="D8" s="35" t="n">
        <x:v>14.145833333333332</x:v>
      </x:c>
      <x:c r="E8" s="35" t="n">
        <x:v>40.625</x:v>
      </x:c>
      <x:c r="F8" s="35" t="n">
        <x:v>0.11198784722222221</x:v>
      </x:c>
      <x:c r="G8" s="35" t="n">
        <x:v>-6.174487847222222</x:v>
      </x:c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5" t="str">
        <x:v>DA01</x:v>
      </x:c>
      <x:c r="B9" s="40" t="n">
        <x:v>46416</x:v>
      </x:c>
      <x:c r="C9" s="35" t="n">
        <x:v>20.416666666666668</x:v>
      </x:c>
      <x:c r="D9" s="35" t="n">
        <x:v>14.145833333333332</x:v>
      </x:c>
      <x:c r="E9" s="35" t="n">
        <x:v>40.625</x:v>
      </x:c>
      <x:c r="F9" s="35" t="n">
        <x:v>0.11198784722222221</x:v>
      </x:c>
      <x:c r="G9" s="35" t="n">
        <x:v>-6.174487847222222</x:v>
      </x:c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5" t="str">
        <x:v>DA01</x:v>
      </x:c>
      <x:c r="B10" s="40" t="n">
        <x:v>46446</x:v>
      </x:c>
      <x:c r="C10" s="35" t="n">
        <x:v>20.416666666666668</x:v>
      </x:c>
      <x:c r="D10" s="35" t="n">
        <x:v>14.145833333333332</x:v>
      </x:c>
      <x:c r="E10" s="35" t="n">
        <x:v>40.625</x:v>
      </x:c>
      <x:c r="F10" s="35" t="n">
        <x:v>0.11198784722222221</x:v>
      </x:c>
      <x:c r="G10" s="35" t="n">
        <x:v>-6.174487847222222</x:v>
      </x:c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5" t="str">
        <x:v>DA01</x:v>
      </x:c>
      <x:c r="B11" s="40" t="n">
        <x:v>46476</x:v>
      </x:c>
      <x:c r="C11" s="35" t="n">
        <x:v>20.416666666666668</x:v>
      </x:c>
      <x:c r="D11" s="35" t="n">
        <x:v>14.145833333333332</x:v>
      </x:c>
      <x:c r="E11" s="35" t="n">
        <x:v>40.625</x:v>
      </x:c>
      <x:c r="F11" s="35" t="n">
        <x:v>0.11198784722222221</x:v>
      </x:c>
      <x:c r="G11" s="35" t="n">
        <x:v>-6.174487847222222</x:v>
      </x:c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5" t="str">
        <x:v>DA01</x:v>
      </x:c>
      <x:c r="B12" s="40" t="n">
        <x:v>46506</x:v>
      </x:c>
      <x:c r="C12" s="35" t="n">
        <x:v>20.416666666666668</x:v>
      </x:c>
      <x:c r="D12" s="35" t="n">
        <x:v>14.145833333333332</x:v>
      </x:c>
      <x:c r="E12" s="35" t="n">
        <x:v>40.625</x:v>
      </x:c>
      <x:c r="F12" s="35" t="n">
        <x:v>0.11198784722222221</x:v>
      </x:c>
      <x:c r="G12" s="35" t="n">
        <x:v>-6.174487847222222</x:v>
      </x:c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5" t="str">
        <x:v>DA01</x:v>
      </x:c>
      <x:c r="B13" s="40" t="n">
        <x:v>46536</x:v>
      </x:c>
      <x:c r="C13" s="35" t="n">
        <x:v>20.416666666666668</x:v>
      </x:c>
      <x:c r="D13" s="35" t="n">
        <x:v>14.145833333333332</x:v>
      </x:c>
      <x:c r="E13" s="35" t="n">
        <x:v>40.625</x:v>
      </x:c>
      <x:c r="F13" s="35" t="n">
        <x:v>0.11198784722222221</x:v>
      </x:c>
      <x:c r="G13" s="35" t="n">
        <x:v>-6.174487847222222</x:v>
      </x:c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5" t="str">
        <x:v>DA01</x:v>
      </x:c>
      <x:c r="B14" s="40" t="n">
        <x:v>46566</x:v>
      </x:c>
      <x:c r="C14" s="35" t="n">
        <x:v>20.416666666666668</x:v>
      </x:c>
      <x:c r="D14" s="35" t="n">
        <x:v>14.145833333333332</x:v>
      </x:c>
      <x:c r="E14" s="35" t="n">
        <x:v>40.625</x:v>
      </x:c>
      <x:c r="F14" s="35" t="n">
        <x:v>0.11198784722222221</x:v>
      </x:c>
      <x:c r="G14" s="35" t="n">
        <x:v>-6.174487847222222</x:v>
      </x:c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5" t="str">
        <x:v>DA01</x:v>
      </x:c>
      <x:c r="B15" s="40" t="n">
        <x:v>46596</x:v>
      </x:c>
      <x:c r="C15" s="35" t="n">
        <x:v>20.416666666666668</x:v>
      </x:c>
      <x:c r="D15" s="35" t="n">
        <x:v>14.145833333333332</x:v>
      </x:c>
      <x:c r="E15" s="35" t="n">
        <x:v>40.625</x:v>
      </x:c>
      <x:c r="F15" s="35" t="n">
        <x:v>0.11198784722222221</x:v>
      </x:c>
      <x:c r="G15" s="35" t="n">
        <x:v>-6.174487847222222</x:v>
      </x:c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5" t="str">
        <x:v>DA01</x:v>
      </x:c>
      <x:c r="B16" s="40" t="n">
        <x:v>46626</x:v>
      </x:c>
      <x:c r="C16" s="35" t="n">
        <x:v>20.416666666666668</x:v>
      </x:c>
      <x:c r="D16" s="35" t="n">
        <x:v>14.145833333333332</x:v>
      </x:c>
      <x:c r="E16" s="35" t="n">
        <x:v>40.625</x:v>
      </x:c>
      <x:c r="F16" s="35" t="n">
        <x:v>0.11198784722222221</x:v>
      </x:c>
      <x:c r="G16" s="35" t="n">
        <x:v>-6.174487847222222</x:v>
      </x:c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5" t="str">
        <x:v>DA01</x:v>
      </x:c>
      <x:c r="B17" s="40" t="n">
        <x:v>46656</x:v>
      </x:c>
      <x:c r="C17" s="35" t="n">
        <x:v>20.416666666666668</x:v>
      </x:c>
      <x:c r="D17" s="35" t="n">
        <x:v>14.145833333333332</x:v>
      </x:c>
      <x:c r="E17" s="35" t="n">
        <x:v>40.625</x:v>
      </x:c>
      <x:c r="F17" s="35" t="n">
        <x:v>0.11198784722222221</x:v>
      </x:c>
      <x:c r="G17" s="35" t="n">
        <x:v>-6.174487847222222</x:v>
      </x:c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5" t="str">
        <x:v>DA01</x:v>
      </x:c>
      <x:c r="B18" s="40" t="n">
        <x:v>46686</x:v>
      </x:c>
      <x:c r="C18" s="35" t="n">
        <x:v>20.416666666666668</x:v>
      </x:c>
      <x:c r="D18" s="35" t="n">
        <x:v>14.145833333333332</x:v>
      </x:c>
      <x:c r="E18" s="35" t="n">
        <x:v>40.625</x:v>
      </x:c>
      <x:c r="F18" s="35" t="n">
        <x:v>0.11198784722222221</x:v>
      </x:c>
      <x:c r="G18" s="35" t="n">
        <x:v>-6.174487847222222</x:v>
      </x:c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5" t="str">
        <x:v>DA01</x:v>
      </x:c>
      <x:c r="B19" s="40" t="n">
        <x:v>46716</x:v>
      </x:c>
      <x:c r="C19" s="35" t="n">
        <x:v>20.416666666666668</x:v>
      </x:c>
      <x:c r="D19" s="35" t="n">
        <x:v>14.145833333333332</x:v>
      </x:c>
      <x:c r="E19" s="35" t="n">
        <x:v>40.625</x:v>
      </x:c>
      <x:c r="F19" s="35" t="n">
        <x:v>0.11198784722222221</x:v>
      </x:c>
      <x:c r="G19" s="35" t="n">
        <x:v>-6.174487847222222</x:v>
      </x:c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5" t="str">
        <x:v>DA01</x:v>
      </x:c>
      <x:c r="B20" s="40" t="n">
        <x:v>46746</x:v>
      </x:c>
      <x:c r="C20" s="35" t="n">
        <x:v>20.416666666666668</x:v>
      </x:c>
      <x:c r="D20" s="35" t="n">
        <x:v>14.145833333333332</x:v>
      </x:c>
      <x:c r="E20" s="35" t="n">
        <x:v>40.625</x:v>
      </x:c>
      <x:c r="F20" s="35" t="n">
        <x:v>0.11198784722222221</x:v>
      </x:c>
      <x:c r="G20" s="35" t="n">
        <x:v>-6.174487847222222</x:v>
      </x:c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5" t="str">
        <x:v>DA01</x:v>
      </x:c>
      <x:c r="B21" s="40" t="n">
        <x:v>46776</x:v>
      </x:c>
      <x:c r="C21" s="35" t="n">
        <x:v>20.416666666666668</x:v>
      </x:c>
      <x:c r="D21" s="35" t="n">
        <x:v>14.145833333333332</x:v>
      </x:c>
      <x:c r="E21" s="35" t="n">
        <x:v>40.625</x:v>
      </x:c>
      <x:c r="F21" s="35" t="n">
        <x:v>0.11198784722222221</x:v>
      </x:c>
      <x:c r="G21" s="35" t="n">
        <x:v>-6.174487847222222</x:v>
      </x:c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5" t="str">
        <x:v>DA01</x:v>
      </x:c>
      <x:c r="B22" s="40" t="n">
        <x:v>46806</x:v>
      </x:c>
      <x:c r="C22" s="35" t="n">
        <x:v>20.416666666666668</x:v>
      </x:c>
      <x:c r="D22" s="35" t="n">
        <x:v>14.145833333333332</x:v>
      </x:c>
      <x:c r="E22" s="35" t="n">
        <x:v>40.625</x:v>
      </x:c>
      <x:c r="F22" s="35" t="n">
        <x:v>0.11198784722222221</x:v>
      </x:c>
      <x:c r="G22" s="35" t="n">
        <x:v>-6.174487847222222</x:v>
      </x:c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5" t="str">
        <x:v>DA01</x:v>
      </x:c>
      <x:c r="B23" s="40" t="n">
        <x:v>46836</x:v>
      </x:c>
      <x:c r="C23" s="35" t="n">
        <x:v>20.416666666666668</x:v>
      </x:c>
      <x:c r="D23" s="35" t="n">
        <x:v>14.145833333333332</x:v>
      </x:c>
      <x:c r="E23" s="35" t="n">
        <x:v>40.625</x:v>
      </x:c>
      <x:c r="F23" s="35" t="n">
        <x:v>0.11198784722222221</x:v>
      </x:c>
      <x:c r="G23" s="35" t="n">
        <x:v>-6.174487847222222</x:v>
      </x:c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5" t="str">
        <x:v>DA01</x:v>
      </x:c>
      <x:c r="B24" s="40" t="n">
        <x:v>46866</x:v>
      </x:c>
      <x:c r="C24" s="35" t="n">
        <x:v>20.416666666666668</x:v>
      </x:c>
      <x:c r="D24" s="35" t="n">
        <x:v>14.145833333333332</x:v>
      </x:c>
      <x:c r="E24" s="35" t="n">
        <x:v>40.625</x:v>
      </x:c>
      <x:c r="F24" s="35" t="n">
        <x:v>0.11198784722222221</x:v>
      </x:c>
      <x:c r="G24" s="35" t="n">
        <x:v>-6.174487847222222</x:v>
      </x:c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5" t="str">
        <x:v>DA01</x:v>
      </x:c>
      <x:c r="B25" s="40" t="n">
        <x:v>46896</x:v>
      </x:c>
      <x:c r="C25" s="35" t="n">
        <x:v>20.416666666666668</x:v>
      </x:c>
      <x:c r="D25" s="35" t="n">
        <x:v>14.145833333333332</x:v>
      </x:c>
      <x:c r="E25" s="35" t="n">
        <x:v>40.625</x:v>
      </x:c>
      <x:c r="F25" s="35" t="n">
        <x:v>0.11198784722222221</x:v>
      </x:c>
      <x:c r="G25" s="35" t="n">
        <x:v>-6.174487847222222</x:v>
      </x:c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5" t="str">
        <x:v>DA01</x:v>
      </x:c>
      <x:c r="B26" s="40" t="n">
        <x:v>46926</x:v>
      </x:c>
      <x:c r="C26" s="35" t="n">
        <x:v>20.416666666666668</x:v>
      </x:c>
      <x:c r="D26" s="35" t="n">
        <x:v>14.145833333333332</x:v>
      </x:c>
      <x:c r="E26" s="35" t="n">
        <x:v>40.625</x:v>
      </x:c>
      <x:c r="F26" s="35" t="n">
        <x:v>0.11198784722222221</x:v>
      </x:c>
      <x:c r="G26" s="35" t="n">
        <x:v>-6.174487847222222</x:v>
      </x:c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5" t="str">
        <x:v>DA01</x:v>
      </x:c>
      <x:c r="B27" s="40" t="n">
        <x:v>46956</x:v>
      </x:c>
      <x:c r="C27" s="35" t="n">
        <x:v>20.416666666666668</x:v>
      </x:c>
      <x:c r="D27" s="35" t="n">
        <x:v>14.145833333333332</x:v>
      </x:c>
      <x:c r="E27" s="35" t="n">
        <x:v>40.625</x:v>
      </x:c>
      <x:c r="F27" s="35" t="n">
        <x:v>0.11198784722222221</x:v>
      </x:c>
      <x:c r="G27" s="35" t="n">
        <x:v>-6.174487847222222</x:v>
      </x:c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5" t="str">
        <x:v>DA02</x:v>
      </x:c>
      <x:c r="B28" s="40" t="n">
        <x:v>46266</x:v>
      </x:c>
      <x:c r="C28" s="35" t="n">
        <x:v>23.333333333333332</x:v>
      </x:c>
      <x:c r="D28" s="35" t="n">
        <x:v>15.166666666666666</x:v>
      </x:c>
      <x:c r="E28" s="35" t="n">
        <x:v>45</x:v>
      </x:c>
      <x:c r="F28" s="35" t="n">
        <x:v>0.12006944444444444</x:v>
      </x:c>
      <x:c r="G28" s="35" t="n">
        <x:v>-6.620069444444445</x:v>
      </x:c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5" t="str">
        <x:v>DA02</x:v>
      </x:c>
      <x:c r="B29" s="40" t="n">
        <x:v>46296</x:v>
      </x:c>
      <x:c r="C29" s="35" t="n">
        <x:v>23.333333333333332</x:v>
      </x:c>
      <x:c r="D29" s="35" t="n">
        <x:v>15.166666666666666</x:v>
      </x:c>
      <x:c r="E29" s="35" t="n">
        <x:v>45</x:v>
      </x:c>
      <x:c r="F29" s="35" t="n">
        <x:v>0.12006944444444444</x:v>
      </x:c>
      <x:c r="G29" s="35" t="n">
        <x:v>-6.620069444444445</x:v>
      </x:c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5" t="str">
        <x:v>DA02</x:v>
      </x:c>
      <x:c r="B30" s="40" t="n">
        <x:v>46326</x:v>
      </x:c>
      <x:c r="C30" s="35" t="n">
        <x:v>23.333333333333332</x:v>
      </x:c>
      <x:c r="D30" s="35" t="n">
        <x:v>15.166666666666666</x:v>
      </x:c>
      <x:c r="E30" s="35" t="n">
        <x:v>45</x:v>
      </x:c>
      <x:c r="F30" s="35" t="n">
        <x:v>0.12006944444444444</x:v>
      </x:c>
      <x:c r="G30" s="35" t="n">
        <x:v>-6.620069444444445</x:v>
      </x:c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5" t="str">
        <x:v>DA02</x:v>
      </x:c>
      <x:c r="B31" s="40" t="n">
        <x:v>46356</x:v>
      </x:c>
      <x:c r="C31" s="35" t="n">
        <x:v>23.333333333333332</x:v>
      </x:c>
      <x:c r="D31" s="35" t="n">
        <x:v>15.166666666666666</x:v>
      </x:c>
      <x:c r="E31" s="35" t="n">
        <x:v>45</x:v>
      </x:c>
      <x:c r="F31" s="35" t="n">
        <x:v>0.12006944444444444</x:v>
      </x:c>
      <x:c r="G31" s="35" t="n">
        <x:v>-6.620069444444445</x:v>
      </x:c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5" t="str">
        <x:v>DA02</x:v>
      </x:c>
      <x:c r="B32" s="40" t="n">
        <x:v>46386</x:v>
      </x:c>
      <x:c r="C32" s="35" t="n">
        <x:v>23.333333333333332</x:v>
      </x:c>
      <x:c r="D32" s="35" t="n">
        <x:v>15.166666666666666</x:v>
      </x:c>
      <x:c r="E32" s="35" t="n">
        <x:v>45</x:v>
      </x:c>
      <x:c r="F32" s="35" t="n">
        <x:v>0.12006944444444444</x:v>
      </x:c>
      <x:c r="G32" s="35" t="n">
        <x:v>-6.620069444444445</x:v>
      </x:c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5" t="str">
        <x:v>DA02</x:v>
      </x:c>
      <x:c r="B33" s="40" t="n">
        <x:v>46416</x:v>
      </x:c>
      <x:c r="C33" s="35" t="n">
        <x:v>23.333333333333332</x:v>
      </x:c>
      <x:c r="D33" s="35" t="n">
        <x:v>15.166666666666666</x:v>
      </x:c>
      <x:c r="E33" s="35" t="n">
        <x:v>45</x:v>
      </x:c>
      <x:c r="F33" s="35" t="n">
        <x:v>0.12006944444444444</x:v>
      </x:c>
      <x:c r="G33" s="35" t="n">
        <x:v>-6.620069444444445</x:v>
      </x:c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5" t="str">
        <x:v>DA02</x:v>
      </x:c>
      <x:c r="B34" s="40" t="n">
        <x:v>46446</x:v>
      </x:c>
      <x:c r="C34" s="35" t="n">
        <x:v>23.333333333333332</x:v>
      </x:c>
      <x:c r="D34" s="35" t="n">
        <x:v>15.166666666666666</x:v>
      </x:c>
      <x:c r="E34" s="35" t="n">
        <x:v>45</x:v>
      </x:c>
      <x:c r="F34" s="35" t="n">
        <x:v>0.12006944444444444</x:v>
      </x:c>
      <x:c r="G34" s="35" t="n">
        <x:v>-6.620069444444445</x:v>
      </x:c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5" t="str">
        <x:v>DA02</x:v>
      </x:c>
      <x:c r="B35" s="40" t="n">
        <x:v>46476</x:v>
      </x:c>
      <x:c r="C35" s="35" t="n">
        <x:v>23.333333333333332</x:v>
      </x:c>
      <x:c r="D35" s="35" t="n">
        <x:v>15.166666666666666</x:v>
      </x:c>
      <x:c r="E35" s="35" t="n">
        <x:v>45</x:v>
      </x:c>
      <x:c r="F35" s="35" t="n">
        <x:v>0.12006944444444444</x:v>
      </x:c>
      <x:c r="G35" s="35" t="n">
        <x:v>-6.620069444444445</x:v>
      </x:c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5" t="str">
        <x:v>DA02</x:v>
      </x:c>
      <x:c r="B36" s="40" t="n">
        <x:v>46506</x:v>
      </x:c>
      <x:c r="C36" s="35" t="n">
        <x:v>23.333333333333332</x:v>
      </x:c>
      <x:c r="D36" s="35" t="n">
        <x:v>15.166666666666666</x:v>
      </x:c>
      <x:c r="E36" s="35" t="n">
        <x:v>45</x:v>
      </x:c>
      <x:c r="F36" s="35" t="n">
        <x:v>0.12006944444444444</x:v>
      </x:c>
      <x:c r="G36" s="35" t="n">
        <x:v>-6.620069444444445</x:v>
      </x:c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5" t="str">
        <x:v>DA02</x:v>
      </x:c>
      <x:c r="B37" s="40" t="n">
        <x:v>46536</x:v>
      </x:c>
      <x:c r="C37" s="35" t="n">
        <x:v>23.333333333333332</x:v>
      </x:c>
      <x:c r="D37" s="35" t="n">
        <x:v>15.166666666666666</x:v>
      </x:c>
      <x:c r="E37" s="35" t="n">
        <x:v>45</x:v>
      </x:c>
      <x:c r="F37" s="35" t="n">
        <x:v>0.12006944444444444</x:v>
      </x:c>
      <x:c r="G37" s="35" t="n">
        <x:v>-6.620069444444445</x:v>
      </x:c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5" t="str">
        <x:v>DA02</x:v>
      </x:c>
      <x:c r="B38" s="40" t="n">
        <x:v>46566</x:v>
      </x:c>
      <x:c r="C38" s="35" t="n">
        <x:v>23.333333333333332</x:v>
      </x:c>
      <x:c r="D38" s="35" t="n">
        <x:v>15.166666666666666</x:v>
      </x:c>
      <x:c r="E38" s="35" t="n">
        <x:v>45</x:v>
      </x:c>
      <x:c r="F38" s="35" t="n">
        <x:v>0.12006944444444444</x:v>
      </x:c>
      <x:c r="G38" s="35" t="n">
        <x:v>-6.620069444444445</x:v>
      </x:c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5" t="str">
        <x:v>DA02</x:v>
      </x:c>
      <x:c r="B39" s="40" t="n">
        <x:v>46596</x:v>
      </x:c>
      <x:c r="C39" s="35" t="n">
        <x:v>23.333333333333332</x:v>
      </x:c>
      <x:c r="D39" s="35" t="n">
        <x:v>15.166666666666666</x:v>
      </x:c>
      <x:c r="E39" s="35" t="n">
        <x:v>45</x:v>
      </x:c>
      <x:c r="F39" s="35" t="n">
        <x:v>0.12006944444444444</x:v>
      </x:c>
      <x:c r="G39" s="35" t="n">
        <x:v>-6.620069444444445</x:v>
      </x:c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5" t="str">
        <x:v>DA02</x:v>
      </x:c>
      <x:c r="B40" s="40" t="n">
        <x:v>46626</x:v>
      </x:c>
      <x:c r="C40" s="35" t="n">
        <x:v>23.333333333333332</x:v>
      </x:c>
      <x:c r="D40" s="35" t="n">
        <x:v>15.166666666666666</x:v>
      </x:c>
      <x:c r="E40" s="35" t="n">
        <x:v>45</x:v>
      </x:c>
      <x:c r="F40" s="35" t="n">
        <x:v>0.12006944444444444</x:v>
      </x:c>
      <x:c r="G40" s="35" t="n">
        <x:v>-6.620069444444445</x:v>
      </x:c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5" t="str">
        <x:v>DA02</x:v>
      </x:c>
      <x:c r="B41" s="40" t="n">
        <x:v>46656</x:v>
      </x:c>
      <x:c r="C41" s="35" t="n">
        <x:v>23.333333333333332</x:v>
      </x:c>
      <x:c r="D41" s="35" t="n">
        <x:v>15.166666666666666</x:v>
      </x:c>
      <x:c r="E41" s="35" t="n">
        <x:v>45</x:v>
      </x:c>
      <x:c r="F41" s="35" t="n">
        <x:v>0.12006944444444444</x:v>
      </x:c>
      <x:c r="G41" s="35" t="n">
        <x:v>-6.620069444444445</x:v>
      </x:c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5" t="str">
        <x:v>DA02</x:v>
      </x:c>
      <x:c r="B42" s="40" t="n">
        <x:v>46686</x:v>
      </x:c>
      <x:c r="C42" s="35" t="n">
        <x:v>23.333333333333332</x:v>
      </x:c>
      <x:c r="D42" s="35" t="n">
        <x:v>15.166666666666666</x:v>
      </x:c>
      <x:c r="E42" s="35" t="n">
        <x:v>45</x:v>
      </x:c>
      <x:c r="F42" s="35" t="n">
        <x:v>0.12006944444444444</x:v>
      </x:c>
      <x:c r="G42" s="35" t="n">
        <x:v>-6.620069444444445</x:v>
      </x:c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5" t="str">
        <x:v>DA02</x:v>
      </x:c>
      <x:c r="B43" s="40" t="n">
        <x:v>46716</x:v>
      </x:c>
      <x:c r="C43" s="35" t="n">
        <x:v>23.333333333333332</x:v>
      </x:c>
      <x:c r="D43" s="35" t="n">
        <x:v>15.166666666666666</x:v>
      </x:c>
      <x:c r="E43" s="35" t="n">
        <x:v>45</x:v>
      </x:c>
      <x:c r="F43" s="35" t="n">
        <x:v>0.12006944444444444</x:v>
      </x:c>
      <x:c r="G43" s="35" t="n">
        <x:v>-6.620069444444445</x:v>
      </x:c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5" t="str">
        <x:v>DA02</x:v>
      </x:c>
      <x:c r="B44" s="40" t="n">
        <x:v>46746</x:v>
      </x:c>
      <x:c r="C44" s="35" t="n">
        <x:v>23.333333333333332</x:v>
      </x:c>
      <x:c r="D44" s="35" t="n">
        <x:v>15.166666666666666</x:v>
      </x:c>
      <x:c r="E44" s="35" t="n">
        <x:v>45</x:v>
      </x:c>
      <x:c r="F44" s="35" t="n">
        <x:v>0.12006944444444444</x:v>
      </x:c>
      <x:c r="G44" s="35" t="n">
        <x:v>-6.620069444444445</x:v>
      </x:c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5" t="str">
        <x:v>DA02</x:v>
      </x:c>
      <x:c r="B45" s="40" t="n">
        <x:v>46776</x:v>
      </x:c>
      <x:c r="C45" s="35" t="n">
        <x:v>23.333333333333332</x:v>
      </x:c>
      <x:c r="D45" s="35" t="n">
        <x:v>15.166666666666666</x:v>
      </x:c>
      <x:c r="E45" s="35" t="n">
        <x:v>45</x:v>
      </x:c>
      <x:c r="F45" s="35" t="n">
        <x:v>0.12006944444444444</x:v>
      </x:c>
      <x:c r="G45" s="35" t="n">
        <x:v>-6.620069444444445</x:v>
      </x:c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5" t="str">
        <x:v>DA02</x:v>
      </x:c>
      <x:c r="B46" s="40" t="n">
        <x:v>46806</x:v>
      </x:c>
      <x:c r="C46" s="35" t="n">
        <x:v>23.333333333333332</x:v>
      </x:c>
      <x:c r="D46" s="35" t="n">
        <x:v>15.166666666666666</x:v>
      </x:c>
      <x:c r="E46" s="35" t="n">
        <x:v>45</x:v>
      </x:c>
      <x:c r="F46" s="35" t="n">
        <x:v>0.12006944444444444</x:v>
      </x:c>
      <x:c r="G46" s="35" t="n">
        <x:v>-6.620069444444445</x:v>
      </x:c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5" t="str">
        <x:v>DA02</x:v>
      </x:c>
      <x:c r="B47" s="40" t="n">
        <x:v>46836</x:v>
      </x:c>
      <x:c r="C47" s="35" t="n">
        <x:v>23.333333333333332</x:v>
      </x:c>
      <x:c r="D47" s="35" t="n">
        <x:v>15.166666666666666</x:v>
      </x:c>
      <x:c r="E47" s="35" t="n">
        <x:v>45</x:v>
      </x:c>
      <x:c r="F47" s="35" t="n">
        <x:v>0.12006944444444444</x:v>
      </x:c>
      <x:c r="G47" s="35" t="n">
        <x:v>-6.620069444444445</x:v>
      </x:c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5" t="str">
        <x:v>DA02</x:v>
      </x:c>
      <x:c r="B48" s="40" t="n">
        <x:v>46866</x:v>
      </x:c>
      <x:c r="C48" s="35" t="n">
        <x:v>23.333333333333332</x:v>
      </x:c>
      <x:c r="D48" s="35" t="n">
        <x:v>15.166666666666666</x:v>
      </x:c>
      <x:c r="E48" s="35" t="n">
        <x:v>45</x:v>
      </x:c>
      <x:c r="F48" s="35" t="n">
        <x:v>0.12006944444444444</x:v>
      </x:c>
      <x:c r="G48" s="35" t="n">
        <x:v>-6.620069444444445</x:v>
      </x:c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5" t="str">
        <x:v>DA02</x:v>
      </x:c>
      <x:c r="B49" s="40" t="n">
        <x:v>46896</x:v>
      </x:c>
      <x:c r="C49" s="35" t="n">
        <x:v>23.333333333333332</x:v>
      </x:c>
      <x:c r="D49" s="35" t="n">
        <x:v>15.166666666666666</x:v>
      </x:c>
      <x:c r="E49" s="35" t="n">
        <x:v>45</x:v>
      </x:c>
      <x:c r="F49" s="35" t="n">
        <x:v>0.12006944444444444</x:v>
      </x:c>
      <x:c r="G49" s="35" t="n">
        <x:v>-6.620069444444445</x:v>
      </x:c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5" t="str">
        <x:v>DA02</x:v>
      </x:c>
      <x:c r="B50" s="40" t="n">
        <x:v>46926</x:v>
      </x:c>
      <x:c r="C50" s="35" t="n">
        <x:v>23.333333333333332</x:v>
      </x:c>
      <x:c r="D50" s="35" t="n">
        <x:v>15.166666666666666</x:v>
      </x:c>
      <x:c r="E50" s="35" t="n">
        <x:v>45</x:v>
      </x:c>
      <x:c r="F50" s="35" t="n">
        <x:v>0.12006944444444444</x:v>
      </x:c>
      <x:c r="G50" s="35" t="n">
        <x:v>-6.620069444444445</x:v>
      </x:c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5" t="str">
        <x:v>DA02</x:v>
      </x:c>
      <x:c r="B51" s="40" t="n">
        <x:v>46956</x:v>
      </x:c>
      <x:c r="C51" s="35" t="n">
        <x:v>23.333333333333332</x:v>
      </x:c>
      <x:c r="D51" s="35" t="n">
        <x:v>15.166666666666666</x:v>
      </x:c>
      <x:c r="E51" s="35" t="n">
        <x:v>45</x:v>
      </x:c>
      <x:c r="F51" s="35" t="n">
        <x:v>0.12006944444444444</x:v>
      </x:c>
      <x:c r="G51" s="35" t="n">
        <x:v>-6.620069444444445</x:v>
      </x:c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5" t="str">
        <x:v>DA03</x:v>
      </x:c>
      <x:c r="B52" s="40" t="n">
        <x:v>46266</x:v>
      </x:c>
      <x:c r="C52" s="35" t="n">
        <x:v>123.33333333333333</x:v>
      </x:c>
      <x:c r="D52" s="35" t="n">
        <x:v>70.875</x:v>
      </x:c>
      <x:c r="E52" s="35" t="n">
        <x:v>224.58333333333334</x:v>
      </x:c>
      <x:c r="F52" s="35" t="n">
        <x:v>0.5610937500000001</x:v>
      </x:c>
      <x:c r="G52" s="35" t="n">
        <x:v>-30.93609375000003</x:v>
      </x:c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5" t="str">
        <x:v>DA03</x:v>
      </x:c>
      <x:c r="B53" s="40" t="n">
        <x:v>46296</x:v>
      </x:c>
      <x:c r="C53" s="35" t="n">
        <x:v>123.33333333333333</x:v>
      </x:c>
      <x:c r="D53" s="35" t="n">
        <x:v>70.875</x:v>
      </x:c>
      <x:c r="E53" s="35" t="n">
        <x:v>224.58333333333334</x:v>
      </x:c>
      <x:c r="F53" s="35" t="n">
        <x:v>0.5610937500000001</x:v>
      </x:c>
      <x:c r="G53" s="35" t="n">
        <x:v>-30.93609375000003</x:v>
      </x:c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5" t="str">
        <x:v>DA03</x:v>
      </x:c>
      <x:c r="B54" s="40" t="n">
        <x:v>46326</x:v>
      </x:c>
      <x:c r="C54" s="35" t="n">
        <x:v>123.33333333333333</x:v>
      </x:c>
      <x:c r="D54" s="35" t="n">
        <x:v>70.875</x:v>
      </x:c>
      <x:c r="E54" s="35" t="n">
        <x:v>224.58333333333334</x:v>
      </x:c>
      <x:c r="F54" s="35" t="n">
        <x:v>0.5610937500000001</x:v>
      </x:c>
      <x:c r="G54" s="35" t="n">
        <x:v>-30.93609375000003</x:v>
      </x:c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5" t="str">
        <x:v>DA03</x:v>
      </x:c>
      <x:c r="B55" s="40" t="n">
        <x:v>46356</x:v>
      </x:c>
      <x:c r="C55" s="35" t="n">
        <x:v>123.33333333333333</x:v>
      </x:c>
      <x:c r="D55" s="35" t="n">
        <x:v>70.875</x:v>
      </x:c>
      <x:c r="E55" s="35" t="n">
        <x:v>224.58333333333334</x:v>
      </x:c>
      <x:c r="F55" s="35" t="n">
        <x:v>0.5610937500000001</x:v>
      </x:c>
      <x:c r="G55" s="35" t="n">
        <x:v>-30.93609375000003</x:v>
      </x:c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5" t="str">
        <x:v>DA03</x:v>
      </x:c>
      <x:c r="B56" s="40" t="n">
        <x:v>46386</x:v>
      </x:c>
      <x:c r="C56" s="35" t="n">
        <x:v>123.33333333333333</x:v>
      </x:c>
      <x:c r="D56" s="35" t="n">
        <x:v>70.875</x:v>
      </x:c>
      <x:c r="E56" s="35" t="n">
        <x:v>224.58333333333334</x:v>
      </x:c>
      <x:c r="F56" s="35" t="n">
        <x:v>0.5610937500000001</x:v>
      </x:c>
      <x:c r="G56" s="35" t="n">
        <x:v>-30.93609375000003</x:v>
      </x:c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5" t="str">
        <x:v>DA03</x:v>
      </x:c>
      <x:c r="B57" s="40" t="n">
        <x:v>46416</x:v>
      </x:c>
      <x:c r="C57" s="35" t="n">
        <x:v>123.33333333333333</x:v>
      </x:c>
      <x:c r="D57" s="35" t="n">
        <x:v>70.875</x:v>
      </x:c>
      <x:c r="E57" s="35" t="n">
        <x:v>224.58333333333334</x:v>
      </x:c>
      <x:c r="F57" s="35" t="n">
        <x:v>0.5610937500000001</x:v>
      </x:c>
      <x:c r="G57" s="35" t="n">
        <x:v>-30.93609375000003</x:v>
      </x:c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5" t="str">
        <x:v>DA03</x:v>
      </x:c>
      <x:c r="B58" s="40" t="n">
        <x:v>46446</x:v>
      </x:c>
      <x:c r="C58" s="35" t="n">
        <x:v>123.33333333333333</x:v>
      </x:c>
      <x:c r="D58" s="35" t="n">
        <x:v>70.875</x:v>
      </x:c>
      <x:c r="E58" s="35" t="n">
        <x:v>224.58333333333334</x:v>
      </x:c>
      <x:c r="F58" s="35" t="n">
        <x:v>0.5610937500000001</x:v>
      </x:c>
      <x:c r="G58" s="35" t="n">
        <x:v>-30.93609375000003</x:v>
      </x:c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5" t="str">
        <x:v>DA03</x:v>
      </x:c>
      <x:c r="B59" s="40" t="n">
        <x:v>46476</x:v>
      </x:c>
      <x:c r="C59" s="35" t="n">
        <x:v>123.33333333333333</x:v>
      </x:c>
      <x:c r="D59" s="35" t="n">
        <x:v>70.875</x:v>
      </x:c>
      <x:c r="E59" s="35" t="n">
        <x:v>224.58333333333334</x:v>
      </x:c>
      <x:c r="F59" s="35" t="n">
        <x:v>0.5610937500000001</x:v>
      </x:c>
      <x:c r="G59" s="35" t="n">
        <x:v>-30.93609375000003</x:v>
      </x:c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5" t="str">
        <x:v>DA03</x:v>
      </x:c>
      <x:c r="B60" s="40" t="n">
        <x:v>46506</x:v>
      </x:c>
      <x:c r="C60" s="35" t="n">
        <x:v>123.33333333333333</x:v>
      </x:c>
      <x:c r="D60" s="35" t="n">
        <x:v>70.875</x:v>
      </x:c>
      <x:c r="E60" s="35" t="n">
        <x:v>224.58333333333334</x:v>
      </x:c>
      <x:c r="F60" s="35" t="n">
        <x:v>0.5610937500000001</x:v>
      </x:c>
      <x:c r="G60" s="35" t="n">
        <x:v>-30.93609375000003</x:v>
      </x:c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5" t="str">
        <x:v>DA03</x:v>
      </x:c>
      <x:c r="B61" s="40" t="n">
        <x:v>46536</x:v>
      </x:c>
      <x:c r="C61" s="35" t="n">
        <x:v>123.33333333333333</x:v>
      </x:c>
      <x:c r="D61" s="35" t="n">
        <x:v>70.875</x:v>
      </x:c>
      <x:c r="E61" s="35" t="n">
        <x:v>224.58333333333334</x:v>
      </x:c>
      <x:c r="F61" s="35" t="n">
        <x:v>0.5610937500000001</x:v>
      </x:c>
      <x:c r="G61" s="35" t="n">
        <x:v>-30.93609375000003</x:v>
      </x:c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5" t="str">
        <x:v>DA03</x:v>
      </x:c>
      <x:c r="B62" s="40" t="n">
        <x:v>46566</x:v>
      </x:c>
      <x:c r="C62" s="35" t="n">
        <x:v>123.33333333333333</x:v>
      </x:c>
      <x:c r="D62" s="35" t="n">
        <x:v>70.875</x:v>
      </x:c>
      <x:c r="E62" s="35" t="n">
        <x:v>224.58333333333334</x:v>
      </x:c>
      <x:c r="F62" s="35" t="n">
        <x:v>0.5610937500000001</x:v>
      </x:c>
      <x:c r="G62" s="35" t="n">
        <x:v>-30.93609375000003</x:v>
      </x:c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5" t="str">
        <x:v>DA03</x:v>
      </x:c>
      <x:c r="B63" s="40" t="n">
        <x:v>46596</x:v>
      </x:c>
      <x:c r="C63" s="35" t="n">
        <x:v>123.33333333333333</x:v>
      </x:c>
      <x:c r="D63" s="35" t="n">
        <x:v>70.875</x:v>
      </x:c>
      <x:c r="E63" s="35" t="n">
        <x:v>224.58333333333334</x:v>
      </x:c>
      <x:c r="F63" s="35" t="n">
        <x:v>0.5610937500000001</x:v>
      </x:c>
      <x:c r="G63" s="35" t="n">
        <x:v>-30.93609375000003</x:v>
      </x:c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5" t="str">
        <x:v>DA03</x:v>
      </x:c>
      <x:c r="B64" s="40" t="n">
        <x:v>46626</x:v>
      </x:c>
      <x:c r="C64" s="35" t="n">
        <x:v>123.33333333333333</x:v>
      </x:c>
      <x:c r="D64" s="35" t="n">
        <x:v>70.875</x:v>
      </x:c>
      <x:c r="E64" s="35" t="n">
        <x:v>224.58333333333334</x:v>
      </x:c>
      <x:c r="F64" s="35" t="n">
        <x:v>0.5610937500000001</x:v>
      </x:c>
      <x:c r="G64" s="35" t="n">
        <x:v>-30.93609375000003</x:v>
      </x:c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5" t="str">
        <x:v>DA03</x:v>
      </x:c>
      <x:c r="B65" s="40" t="n">
        <x:v>46656</x:v>
      </x:c>
      <x:c r="C65" s="35" t="n">
        <x:v>123.33333333333333</x:v>
      </x:c>
      <x:c r="D65" s="35" t="n">
        <x:v>70.875</x:v>
      </x:c>
      <x:c r="E65" s="35" t="n">
        <x:v>224.58333333333334</x:v>
      </x:c>
      <x:c r="F65" s="35" t="n">
        <x:v>0.5610937500000001</x:v>
      </x:c>
      <x:c r="G65" s="35" t="n">
        <x:v>-30.93609375000003</x:v>
      </x:c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5" t="str">
        <x:v>DA03</x:v>
      </x:c>
      <x:c r="B66" s="40" t="n">
        <x:v>46686</x:v>
      </x:c>
      <x:c r="C66" s="35" t="n">
        <x:v>123.33333333333333</x:v>
      </x:c>
      <x:c r="D66" s="35" t="n">
        <x:v>70.875</x:v>
      </x:c>
      <x:c r="E66" s="35" t="n">
        <x:v>224.58333333333334</x:v>
      </x:c>
      <x:c r="F66" s="35" t="n">
        <x:v>0.5610937500000001</x:v>
      </x:c>
      <x:c r="G66" s="35" t="n">
        <x:v>-30.93609375000003</x:v>
      </x:c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5" t="str">
        <x:v>DA03</x:v>
      </x:c>
      <x:c r="B67" s="40" t="n">
        <x:v>46716</x:v>
      </x:c>
      <x:c r="C67" s="35" t="n">
        <x:v>123.33333333333333</x:v>
      </x:c>
      <x:c r="D67" s="35" t="n">
        <x:v>70.875</x:v>
      </x:c>
      <x:c r="E67" s="35" t="n">
        <x:v>224.58333333333334</x:v>
      </x:c>
      <x:c r="F67" s="35" t="n">
        <x:v>0.5610937500000001</x:v>
      </x:c>
      <x:c r="G67" s="35" t="n">
        <x:v>-30.93609375000003</x:v>
      </x:c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5" t="str">
        <x:v>DA03</x:v>
      </x:c>
      <x:c r="B68" s="40" t="n">
        <x:v>46746</x:v>
      </x:c>
      <x:c r="C68" s="35" t="n">
        <x:v>123.33333333333333</x:v>
      </x:c>
      <x:c r="D68" s="35" t="n">
        <x:v>70.875</x:v>
      </x:c>
      <x:c r="E68" s="35" t="n">
        <x:v>224.58333333333334</x:v>
      </x:c>
      <x:c r="F68" s="35" t="n">
        <x:v>0.5610937500000001</x:v>
      </x:c>
      <x:c r="G68" s="35" t="n">
        <x:v>-30.93609375000003</x:v>
      </x:c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5" t="str">
        <x:v>DA03</x:v>
      </x:c>
      <x:c r="B69" s="40" t="n">
        <x:v>46776</x:v>
      </x:c>
      <x:c r="C69" s="35" t="n">
        <x:v>123.33333333333333</x:v>
      </x:c>
      <x:c r="D69" s="35" t="n">
        <x:v>70.875</x:v>
      </x:c>
      <x:c r="E69" s="35" t="n">
        <x:v>224.58333333333334</x:v>
      </x:c>
      <x:c r="F69" s="35" t="n">
        <x:v>0.5610937500000001</x:v>
      </x:c>
      <x:c r="G69" s="35" t="n">
        <x:v>-30.93609375000003</x:v>
      </x:c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5" t="str">
        <x:v>DA03</x:v>
      </x:c>
      <x:c r="B70" s="40" t="n">
        <x:v>46806</x:v>
      </x:c>
      <x:c r="C70" s="35" t="n">
        <x:v>123.33333333333333</x:v>
      </x:c>
      <x:c r="D70" s="35" t="n">
        <x:v>70.875</x:v>
      </x:c>
      <x:c r="E70" s="35" t="n">
        <x:v>224.58333333333334</x:v>
      </x:c>
      <x:c r="F70" s="35" t="n">
        <x:v>0.5610937500000001</x:v>
      </x:c>
      <x:c r="G70" s="35" t="n">
        <x:v>-30.93609375000003</x:v>
      </x:c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5" t="str">
        <x:v>DA03</x:v>
      </x:c>
      <x:c r="B71" s="40" t="n">
        <x:v>46836</x:v>
      </x:c>
      <x:c r="C71" s="35" t="n">
        <x:v>123.33333333333333</x:v>
      </x:c>
      <x:c r="D71" s="35" t="n">
        <x:v>70.875</x:v>
      </x:c>
      <x:c r="E71" s="35" t="n">
        <x:v>224.58333333333334</x:v>
      </x:c>
      <x:c r="F71" s="35" t="n">
        <x:v>0.5610937500000001</x:v>
      </x:c>
      <x:c r="G71" s="35" t="n">
        <x:v>-30.93609375000003</x:v>
      </x:c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5" t="str">
        <x:v>DA03</x:v>
      </x:c>
      <x:c r="B72" s="40" t="n">
        <x:v>46866</x:v>
      </x:c>
      <x:c r="C72" s="35" t="n">
        <x:v>123.33333333333333</x:v>
      </x:c>
      <x:c r="D72" s="35" t="n">
        <x:v>70.875</x:v>
      </x:c>
      <x:c r="E72" s="35" t="n">
        <x:v>224.58333333333334</x:v>
      </x:c>
      <x:c r="F72" s="35" t="n">
        <x:v>0.5610937500000001</x:v>
      </x:c>
      <x:c r="G72" s="35" t="n">
        <x:v>-30.93609375000003</x:v>
      </x:c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5" t="str">
        <x:v>DA03</x:v>
      </x:c>
      <x:c r="B73" s="40" t="n">
        <x:v>46896</x:v>
      </x:c>
      <x:c r="C73" s="35" t="n">
        <x:v>123.33333333333333</x:v>
      </x:c>
      <x:c r="D73" s="35" t="n">
        <x:v>70.875</x:v>
      </x:c>
      <x:c r="E73" s="35" t="n">
        <x:v>224.58333333333334</x:v>
      </x:c>
      <x:c r="F73" s="35" t="n">
        <x:v>0.5610937500000001</x:v>
      </x:c>
      <x:c r="G73" s="35" t="n">
        <x:v>-30.93609375000003</x:v>
      </x:c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5" t="str">
        <x:v>DA03</x:v>
      </x:c>
      <x:c r="B74" s="40" t="n">
        <x:v>46926</x:v>
      </x:c>
      <x:c r="C74" s="35" t="n">
        <x:v>123.33333333333333</x:v>
      </x:c>
      <x:c r="D74" s="35" t="n">
        <x:v>70.875</x:v>
      </x:c>
      <x:c r="E74" s="35" t="n">
        <x:v>224.58333333333334</x:v>
      </x:c>
      <x:c r="F74" s="35" t="n">
        <x:v>0.5610937500000001</x:v>
      </x:c>
      <x:c r="G74" s="35" t="n">
        <x:v>-30.93609375000003</x:v>
      </x:c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5" t="str">
        <x:v>DA03</x:v>
      </x:c>
      <x:c r="B75" s="40" t="n">
        <x:v>46956</x:v>
      </x:c>
      <x:c r="C75" s="35" t="n">
        <x:v>123.33333333333333</x:v>
      </x:c>
      <x:c r="D75" s="35" t="n">
        <x:v>70.875</x:v>
      </x:c>
      <x:c r="E75" s="35" t="n">
        <x:v>224.58333333333334</x:v>
      </x:c>
      <x:c r="F75" s="35" t="n">
        <x:v>0.5610937500000001</x:v>
      </x:c>
      <x:c r="G75" s="35" t="n">
        <x:v>-30.93609375000003</x:v>
      </x:c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5" t="str">
        <x:v>DA04</x:v>
      </x:c>
      <x:c r="B76" s="40" t="n">
        <x:v>46266</x:v>
      </x:c>
      <x:c r="C76" s="35" t="n">
        <x:v>302.50000000000006</x:v>
      </x:c>
      <x:c r="D76" s="35" t="n">
        <x:v>0</x:v>
      </x:c>
      <x:c r="E76" s="35" t="n">
        <x:v>105</x:v>
      </x:c>
      <x:c r="F76" s="35" t="n">
        <x:v>0</x:v>
      </x:c>
      <x:c r="G76" s="35" t="n">
        <x:v>197.50000000000006</x:v>
      </x:c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5" t="str">
        <x:v>DA04</x:v>
      </x:c>
      <x:c r="B77" s="40" t="n">
        <x:v>46296</x:v>
      </x:c>
      <x:c r="C77" s="35" t="n">
        <x:v>302.50000000000006</x:v>
      </x:c>
      <x:c r="D77" s="35" t="n">
        <x:v>0</x:v>
      </x:c>
      <x:c r="E77" s="35" t="n">
        <x:v>105</x:v>
      </x:c>
      <x:c r="F77" s="35" t="n">
        <x:v>0</x:v>
      </x:c>
      <x:c r="G77" s="35" t="n">
        <x:v>197.50000000000006</x:v>
      </x:c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5" t="str">
        <x:v>DA04</x:v>
      </x:c>
      <x:c r="B78" s="40" t="n">
        <x:v>46326</x:v>
      </x:c>
      <x:c r="C78" s="35" t="n">
        <x:v>302.50000000000006</x:v>
      </x:c>
      <x:c r="D78" s="35" t="n">
        <x:v>0</x:v>
      </x:c>
      <x:c r="E78" s="35" t="n">
        <x:v>105</x:v>
      </x:c>
      <x:c r="F78" s="35" t="n">
        <x:v>0</x:v>
      </x:c>
      <x:c r="G78" s="35" t="n">
        <x:v>197.50000000000006</x:v>
      </x:c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5" t="str">
        <x:v>DA04</x:v>
      </x:c>
      <x:c r="B79" s="40" t="n">
        <x:v>46356</x:v>
      </x:c>
      <x:c r="C79" s="35" t="n">
        <x:v>302.50000000000006</x:v>
      </x:c>
      <x:c r="D79" s="35" t="n">
        <x:v>0</x:v>
      </x:c>
      <x:c r="E79" s="35" t="n">
        <x:v>105</x:v>
      </x:c>
      <x:c r="F79" s="35" t="n">
        <x:v>0</x:v>
      </x:c>
      <x:c r="G79" s="35" t="n">
        <x:v>197.50000000000006</x:v>
      </x:c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5" t="str">
        <x:v>DA04</x:v>
      </x:c>
      <x:c r="B80" s="40" t="n">
        <x:v>46386</x:v>
      </x:c>
      <x:c r="C80" s="35" t="n">
        <x:v>302.50000000000006</x:v>
      </x:c>
      <x:c r="D80" s="35" t="n">
        <x:v>0</x:v>
      </x:c>
      <x:c r="E80" s="35" t="n">
        <x:v>105</x:v>
      </x:c>
      <x:c r="F80" s="35" t="n">
        <x:v>0</x:v>
      </x:c>
      <x:c r="G80" s="35" t="n">
        <x:v>197.50000000000006</x:v>
      </x:c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5" t="str">
        <x:v>DA04</x:v>
      </x:c>
      <x:c r="B81" s="40" t="n">
        <x:v>46416</x:v>
      </x:c>
      <x:c r="C81" s="35" t="n">
        <x:v>302.50000000000006</x:v>
      </x:c>
      <x:c r="D81" s="35" t="n">
        <x:v>0</x:v>
      </x:c>
      <x:c r="E81" s="35" t="n">
        <x:v>105</x:v>
      </x:c>
      <x:c r="F81" s="35" t="n">
        <x:v>0</x:v>
      </x:c>
      <x:c r="G81" s="35" t="n">
        <x:v>197.50000000000006</x:v>
      </x:c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5" t="str">
        <x:v>DA04</x:v>
      </x:c>
      <x:c r="B82" s="40" t="n">
        <x:v>46446</x:v>
      </x:c>
      <x:c r="C82" s="35" t="n">
        <x:v>302.50000000000006</x:v>
      </x:c>
      <x:c r="D82" s="35" t="n">
        <x:v>0</x:v>
      </x:c>
      <x:c r="E82" s="35" t="n">
        <x:v>105</x:v>
      </x:c>
      <x:c r="F82" s="35" t="n">
        <x:v>0</x:v>
      </x:c>
      <x:c r="G82" s="35" t="n">
        <x:v>197.50000000000006</x:v>
      </x:c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5" t="str">
        <x:v>DA04</x:v>
      </x:c>
      <x:c r="B83" s="40" t="n">
        <x:v>46476</x:v>
      </x:c>
      <x:c r="C83" s="35" t="n">
        <x:v>302.50000000000006</x:v>
      </x:c>
      <x:c r="D83" s="35" t="n">
        <x:v>0</x:v>
      </x:c>
      <x:c r="E83" s="35" t="n">
        <x:v>105</x:v>
      </x:c>
      <x:c r="F83" s="35" t="n">
        <x:v>0</x:v>
      </x:c>
      <x:c r="G83" s="35" t="n">
        <x:v>197.50000000000006</x:v>
      </x:c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5" t="str">
        <x:v>DA04</x:v>
      </x:c>
      <x:c r="B84" s="40" t="n">
        <x:v>46506</x:v>
      </x:c>
      <x:c r="C84" s="35" t="n">
        <x:v>302.50000000000006</x:v>
      </x:c>
      <x:c r="D84" s="35" t="n">
        <x:v>0</x:v>
      </x:c>
      <x:c r="E84" s="35" t="n">
        <x:v>105</x:v>
      </x:c>
      <x:c r="F84" s="35" t="n">
        <x:v>0</x:v>
      </x:c>
      <x:c r="G84" s="35" t="n">
        <x:v>197.50000000000006</x:v>
      </x:c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5" t="str">
        <x:v>DA04</x:v>
      </x:c>
      <x:c r="B85" s="40" t="n">
        <x:v>46536</x:v>
      </x:c>
      <x:c r="C85" s="35" t="n">
        <x:v>302.50000000000006</x:v>
      </x:c>
      <x:c r="D85" s="35" t="n">
        <x:v>0</x:v>
      </x:c>
      <x:c r="E85" s="35" t="n">
        <x:v>105</x:v>
      </x:c>
      <x:c r="F85" s="35" t="n">
        <x:v>0</x:v>
      </x:c>
      <x:c r="G85" s="35" t="n">
        <x:v>197.50000000000006</x:v>
      </x:c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5" t="str">
        <x:v>DA04</x:v>
      </x:c>
      <x:c r="B86" s="40" t="n">
        <x:v>46566</x:v>
      </x:c>
      <x:c r="C86" s="35" t="n">
        <x:v>302.50000000000006</x:v>
      </x:c>
      <x:c r="D86" s="35" t="n">
        <x:v>0</x:v>
      </x:c>
      <x:c r="E86" s="35" t="n">
        <x:v>105</x:v>
      </x:c>
      <x:c r="F86" s="35" t="n">
        <x:v>0</x:v>
      </x:c>
      <x:c r="G86" s="35" t="n">
        <x:v>197.50000000000006</x:v>
      </x:c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5" t="str">
        <x:v>DA04</x:v>
      </x:c>
      <x:c r="B87" s="40" t="n">
        <x:v>46596</x:v>
      </x:c>
      <x:c r="C87" s="35" t="n">
        <x:v>302.50000000000006</x:v>
      </x:c>
      <x:c r="D87" s="35" t="n">
        <x:v>0</x:v>
      </x:c>
      <x:c r="E87" s="35" t="n">
        <x:v>105</x:v>
      </x:c>
      <x:c r="F87" s="35" t="n">
        <x:v>0</x:v>
      </x:c>
      <x:c r="G87" s="35" t="n">
        <x:v>197.50000000000006</x:v>
      </x:c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5" t="str">
        <x:v>DA04</x:v>
      </x:c>
      <x:c r="B88" s="40" t="n">
        <x:v>46626</x:v>
      </x:c>
      <x:c r="C88" s="35" t="n">
        <x:v>302.50000000000006</x:v>
      </x:c>
      <x:c r="D88" s="35" t="n">
        <x:v>0</x:v>
      </x:c>
      <x:c r="E88" s="35" t="n">
        <x:v>105</x:v>
      </x:c>
      <x:c r="F88" s="35" t="n">
        <x:v>0</x:v>
      </x:c>
      <x:c r="G88" s="35" t="n">
        <x:v>197.50000000000006</x:v>
      </x:c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5" t="str">
        <x:v>DA04</x:v>
      </x:c>
      <x:c r="B89" s="40" t="n">
        <x:v>46656</x:v>
      </x:c>
      <x:c r="C89" s="35" t="n">
        <x:v>302.50000000000006</x:v>
      </x:c>
      <x:c r="D89" s="35" t="n">
        <x:v>0</x:v>
      </x:c>
      <x:c r="E89" s="35" t="n">
        <x:v>105</x:v>
      </x:c>
      <x:c r="F89" s="35" t="n">
        <x:v>0</x:v>
      </x:c>
      <x:c r="G89" s="35" t="n">
        <x:v>197.50000000000006</x:v>
      </x:c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5" t="str">
        <x:v>DA04</x:v>
      </x:c>
      <x:c r="B90" s="40" t="n">
        <x:v>46686</x:v>
      </x:c>
      <x:c r="C90" s="35" t="n">
        <x:v>302.50000000000006</x:v>
      </x:c>
      <x:c r="D90" s="35" t="n">
        <x:v>0</x:v>
      </x:c>
      <x:c r="E90" s="35" t="n">
        <x:v>105</x:v>
      </x:c>
      <x:c r="F90" s="35" t="n">
        <x:v>0</x:v>
      </x:c>
      <x:c r="G90" s="35" t="n">
        <x:v>197.50000000000006</x:v>
      </x:c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5" t="str">
        <x:v>DA04</x:v>
      </x:c>
      <x:c r="B91" s="40" t="n">
        <x:v>46716</x:v>
      </x:c>
      <x:c r="C91" s="35" t="n">
        <x:v>302.50000000000006</x:v>
      </x:c>
      <x:c r="D91" s="35" t="n">
        <x:v>0</x:v>
      </x:c>
      <x:c r="E91" s="35" t="n">
        <x:v>105</x:v>
      </x:c>
      <x:c r="F91" s="35" t="n">
        <x:v>0</x:v>
      </x:c>
      <x:c r="G91" s="35" t="n">
        <x:v>197.50000000000006</x:v>
      </x:c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5" t="str">
        <x:v>DA04</x:v>
      </x:c>
      <x:c r="B92" s="40" t="n">
        <x:v>46746</x:v>
      </x:c>
      <x:c r="C92" s="35" t="n">
        <x:v>302.50000000000006</x:v>
      </x:c>
      <x:c r="D92" s="35" t="n">
        <x:v>0</x:v>
      </x:c>
      <x:c r="E92" s="35" t="n">
        <x:v>105</x:v>
      </x:c>
      <x:c r="F92" s="35" t="n">
        <x:v>0</x:v>
      </x:c>
      <x:c r="G92" s="35" t="n">
        <x:v>197.50000000000006</x:v>
      </x:c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5" t="str">
        <x:v>DA04</x:v>
      </x:c>
      <x:c r="B93" s="40" t="n">
        <x:v>46776</x:v>
      </x:c>
      <x:c r="C93" s="35" t="n">
        <x:v>302.50000000000006</x:v>
      </x:c>
      <x:c r="D93" s="35" t="n">
        <x:v>0</x:v>
      </x:c>
      <x:c r="E93" s="35" t="n">
        <x:v>105</x:v>
      </x:c>
      <x:c r="F93" s="35" t="n">
        <x:v>0</x:v>
      </x:c>
      <x:c r="G93" s="35" t="n">
        <x:v>197.50000000000006</x:v>
      </x:c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5" t="str">
        <x:v>DA04</x:v>
      </x:c>
      <x:c r="B94" s="40" t="n">
        <x:v>46806</x:v>
      </x:c>
      <x:c r="C94" s="35" t="n">
        <x:v>302.50000000000006</x:v>
      </x:c>
      <x:c r="D94" s="35" t="n">
        <x:v>0</x:v>
      </x:c>
      <x:c r="E94" s="35" t="n">
        <x:v>105</x:v>
      </x:c>
      <x:c r="F94" s="35" t="n">
        <x:v>0</x:v>
      </x:c>
      <x:c r="G94" s="35" t="n">
        <x:v>197.50000000000006</x:v>
      </x:c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5" t="str">
        <x:v>DA04</x:v>
      </x:c>
      <x:c r="B95" s="40" t="n">
        <x:v>46836</x:v>
      </x:c>
      <x:c r="C95" s="35" t="n">
        <x:v>302.50000000000006</x:v>
      </x:c>
      <x:c r="D95" s="35" t="n">
        <x:v>0</x:v>
      </x:c>
      <x:c r="E95" s="35" t="n">
        <x:v>105</x:v>
      </x:c>
      <x:c r="F95" s="35" t="n">
        <x:v>0</x:v>
      </x:c>
      <x:c r="G95" s="35" t="n">
        <x:v>197.50000000000006</x:v>
      </x:c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5" t="str">
        <x:v>DA04</x:v>
      </x:c>
      <x:c r="B96" s="40" t="n">
        <x:v>46866</x:v>
      </x:c>
      <x:c r="C96" s="35" t="n">
        <x:v>302.50000000000006</x:v>
      </x:c>
      <x:c r="D96" s="35" t="n">
        <x:v>0</x:v>
      </x:c>
      <x:c r="E96" s="35" t="n">
        <x:v>105</x:v>
      </x:c>
      <x:c r="F96" s="35" t="n">
        <x:v>0</x:v>
      </x:c>
      <x:c r="G96" s="35" t="n">
        <x:v>197.50000000000006</x:v>
      </x:c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5" t="str">
        <x:v>DA04</x:v>
      </x:c>
      <x:c r="B97" s="40" t="n">
        <x:v>46896</x:v>
      </x:c>
      <x:c r="C97" s="35" t="n">
        <x:v>302.50000000000006</x:v>
      </x:c>
      <x:c r="D97" s="35" t="n">
        <x:v>0</x:v>
      </x:c>
      <x:c r="E97" s="35" t="n">
        <x:v>105</x:v>
      </x:c>
      <x:c r="F97" s="35" t="n">
        <x:v>0</x:v>
      </x:c>
      <x:c r="G97" s="35" t="n">
        <x:v>197.50000000000006</x:v>
      </x:c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5" t="str">
        <x:v>DA04</x:v>
      </x:c>
      <x:c r="B98" s="40" t="n">
        <x:v>46926</x:v>
      </x:c>
      <x:c r="C98" s="35" t="n">
        <x:v>302.50000000000006</x:v>
      </x:c>
      <x:c r="D98" s="35" t="n">
        <x:v>0</x:v>
      </x:c>
      <x:c r="E98" s="35" t="n">
        <x:v>105</x:v>
      </x:c>
      <x:c r="F98" s="35" t="n">
        <x:v>0</x:v>
      </x:c>
      <x:c r="G98" s="35" t="n">
        <x:v>197.50000000000006</x:v>
      </x:c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5" t="str">
        <x:v>DA04</x:v>
      </x:c>
      <x:c r="B99" s="40" t="n">
        <x:v>46956</x:v>
      </x:c>
      <x:c r="C99" s="35" t="n">
        <x:v>302.50000000000006</x:v>
      </x:c>
      <x:c r="D99" s="35" t="n">
        <x:v>0</x:v>
      </x:c>
      <x:c r="E99" s="35" t="n">
        <x:v>105</x:v>
      </x:c>
      <x:c r="F99" s="35" t="n">
        <x:v>0</x:v>
      </x:c>
      <x:c r="G99" s="35" t="n">
        <x:v>197.50000000000006</x:v>
      </x:c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5" t="str">
        <x:v>DA05</x:v>
      </x:c>
      <x:c r="B100" s="40" t="n">
        <x:v>46266</x:v>
      </x:c>
      <x:c r="C100" s="35" t="n">
        <x:v>215.41666666666666</x:v>
      </x:c>
      <x:c r="D100" s="35" t="n">
        <x:v>0</x:v>
      </x:c>
      <x:c r="E100" s="35" t="n">
        <x:v>38.75</x:v>
      </x:c>
      <x:c r="F100" s="35" t="n">
        <x:v>0</x:v>
      </x:c>
      <x:c r="G100" s="35" t="n">
        <x:v>176.66666666666666</x:v>
      </x:c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5" t="str">
        <x:v>DA05</x:v>
      </x:c>
      <x:c r="B101" s="40" t="n">
        <x:v>46296</x:v>
      </x:c>
      <x:c r="C101" s="35" t="n">
        <x:v>215.41666666666666</x:v>
      </x:c>
      <x:c r="D101" s="35" t="n">
        <x:v>0</x:v>
      </x:c>
      <x:c r="E101" s="35" t="n">
        <x:v>38.75</x:v>
      </x:c>
      <x:c r="F101" s="35" t="n">
        <x:v>0</x:v>
      </x:c>
      <x:c r="G101" s="35" t="n">
        <x:v>176.66666666666666</x:v>
      </x:c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5" t="str">
        <x:v>DA05</x:v>
      </x:c>
      <x:c r="B102" s="40" t="n">
        <x:v>46326</x:v>
      </x:c>
      <x:c r="C102" s="35" t="n">
        <x:v>215.41666666666666</x:v>
      </x:c>
      <x:c r="D102" s="35" t="n">
        <x:v>0</x:v>
      </x:c>
      <x:c r="E102" s="35" t="n">
        <x:v>38.75</x:v>
      </x:c>
      <x:c r="F102" s="35" t="n">
        <x:v>0</x:v>
      </x:c>
      <x:c r="G102" s="35" t="n">
        <x:v>176.66666666666666</x:v>
      </x:c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5" t="str">
        <x:v>DA05</x:v>
      </x:c>
      <x:c r="B103" s="40" t="n">
        <x:v>46356</x:v>
      </x:c>
      <x:c r="C103" s="35" t="n">
        <x:v>215.41666666666666</x:v>
      </x:c>
      <x:c r="D103" s="35" t="n">
        <x:v>0</x:v>
      </x:c>
      <x:c r="E103" s="35" t="n">
        <x:v>38.75</x:v>
      </x:c>
      <x:c r="F103" s="35" t="n">
        <x:v>0</x:v>
      </x:c>
      <x:c r="G103" s="35" t="n">
        <x:v>176.66666666666666</x:v>
      </x:c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5" t="str">
        <x:v>DA05</x:v>
      </x:c>
      <x:c r="B104" s="40" t="n">
        <x:v>46386</x:v>
      </x:c>
      <x:c r="C104" s="35" t="n">
        <x:v>215.41666666666666</x:v>
      </x:c>
      <x:c r="D104" s="35" t="n">
        <x:v>0</x:v>
      </x:c>
      <x:c r="E104" s="35" t="n">
        <x:v>38.75</x:v>
      </x:c>
      <x:c r="F104" s="35" t="n">
        <x:v>0</x:v>
      </x:c>
      <x:c r="G104" s="35" t="n">
        <x:v>176.66666666666666</x:v>
      </x:c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5" t="str">
        <x:v>DA05</x:v>
      </x:c>
      <x:c r="B105" s="40" t="n">
        <x:v>46416</x:v>
      </x:c>
      <x:c r="C105" s="35" t="n">
        <x:v>215.41666666666666</x:v>
      </x:c>
      <x:c r="D105" s="35" t="n">
        <x:v>0</x:v>
      </x:c>
      <x:c r="E105" s="35" t="n">
        <x:v>38.75</x:v>
      </x:c>
      <x:c r="F105" s="35" t="n">
        <x:v>0</x:v>
      </x:c>
      <x:c r="G105" s="35" t="n">
        <x:v>176.66666666666666</x:v>
      </x:c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5" t="str">
        <x:v>DA05</x:v>
      </x:c>
      <x:c r="B106" s="40" t="n">
        <x:v>46446</x:v>
      </x:c>
      <x:c r="C106" s="35" t="n">
        <x:v>215.41666666666666</x:v>
      </x:c>
      <x:c r="D106" s="35" t="n">
        <x:v>0</x:v>
      </x:c>
      <x:c r="E106" s="35" t="n">
        <x:v>38.75</x:v>
      </x:c>
      <x:c r="F106" s="35" t="n">
        <x:v>0</x:v>
      </x:c>
      <x:c r="G106" s="35" t="n">
        <x:v>176.66666666666666</x:v>
      </x:c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5" t="str">
        <x:v>DA05</x:v>
      </x:c>
      <x:c r="B107" s="40" t="n">
        <x:v>46476</x:v>
      </x:c>
      <x:c r="C107" s="35" t="n">
        <x:v>215.41666666666666</x:v>
      </x:c>
      <x:c r="D107" s="35" t="n">
        <x:v>0</x:v>
      </x:c>
      <x:c r="E107" s="35" t="n">
        <x:v>38.75</x:v>
      </x:c>
      <x:c r="F107" s="35" t="n">
        <x:v>0</x:v>
      </x:c>
      <x:c r="G107" s="35" t="n">
        <x:v>176.66666666666666</x:v>
      </x:c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5" t="str">
        <x:v>DA05</x:v>
      </x:c>
      <x:c r="B108" s="40" t="n">
        <x:v>46506</x:v>
      </x:c>
      <x:c r="C108" s="35" t="n">
        <x:v>215.41666666666666</x:v>
      </x:c>
      <x:c r="D108" s="35" t="n">
        <x:v>0</x:v>
      </x:c>
      <x:c r="E108" s="35" t="n">
        <x:v>38.75</x:v>
      </x:c>
      <x:c r="F108" s="35" t="n">
        <x:v>0</x:v>
      </x:c>
      <x:c r="G108" s="35" t="n">
        <x:v>176.66666666666666</x:v>
      </x:c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5" t="str">
        <x:v>DA05</x:v>
      </x:c>
      <x:c r="B109" s="40" t="n">
        <x:v>46536</x:v>
      </x:c>
      <x:c r="C109" s="35" t="n">
        <x:v>215.41666666666666</x:v>
      </x:c>
      <x:c r="D109" s="35" t="n">
        <x:v>0</x:v>
      </x:c>
      <x:c r="E109" s="35" t="n">
        <x:v>38.75</x:v>
      </x:c>
      <x:c r="F109" s="35" t="n">
        <x:v>0</x:v>
      </x:c>
      <x:c r="G109" s="35" t="n">
        <x:v>176.66666666666666</x:v>
      </x:c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5" t="str">
        <x:v>DA05</x:v>
      </x:c>
      <x:c r="B110" s="40" t="n">
        <x:v>46566</x:v>
      </x:c>
      <x:c r="C110" s="35" t="n">
        <x:v>215.41666666666666</x:v>
      </x:c>
      <x:c r="D110" s="35" t="n">
        <x:v>0</x:v>
      </x:c>
      <x:c r="E110" s="35" t="n">
        <x:v>38.75</x:v>
      </x:c>
      <x:c r="F110" s="35" t="n">
        <x:v>0</x:v>
      </x:c>
      <x:c r="G110" s="35" t="n">
        <x:v>176.66666666666666</x:v>
      </x:c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5" t="str">
        <x:v>DA05</x:v>
      </x:c>
      <x:c r="B111" s="40" t="n">
        <x:v>46596</x:v>
      </x:c>
      <x:c r="C111" s="35" t="n">
        <x:v>215.41666666666666</x:v>
      </x:c>
      <x:c r="D111" s="35" t="n">
        <x:v>0</x:v>
      </x:c>
      <x:c r="E111" s="35" t="n">
        <x:v>38.75</x:v>
      </x:c>
      <x:c r="F111" s="35" t="n">
        <x:v>0</x:v>
      </x:c>
      <x:c r="G111" s="35" t="n">
        <x:v>176.66666666666666</x:v>
      </x:c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5" t="str">
        <x:v>DA05</x:v>
      </x:c>
      <x:c r="B112" s="40" t="n">
        <x:v>46626</x:v>
      </x:c>
      <x:c r="C112" s="35" t="n">
        <x:v>215.41666666666666</x:v>
      </x:c>
      <x:c r="D112" s="35" t="n">
        <x:v>0</x:v>
      </x:c>
      <x:c r="E112" s="35" t="n">
        <x:v>38.75</x:v>
      </x:c>
      <x:c r="F112" s="35" t="n">
        <x:v>0</x:v>
      </x:c>
      <x:c r="G112" s="35" t="n">
        <x:v>176.66666666666666</x:v>
      </x:c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5" t="str">
        <x:v>DA05</x:v>
      </x:c>
      <x:c r="B113" s="40" t="n">
        <x:v>46656</x:v>
      </x:c>
      <x:c r="C113" s="35" t="n">
        <x:v>215.41666666666666</x:v>
      </x:c>
      <x:c r="D113" s="35" t="n">
        <x:v>0</x:v>
      </x:c>
      <x:c r="E113" s="35" t="n">
        <x:v>38.75</x:v>
      </x:c>
      <x:c r="F113" s="35" t="n">
        <x:v>0</x:v>
      </x:c>
      <x:c r="G113" s="35" t="n">
        <x:v>176.66666666666666</x:v>
      </x:c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5" t="str">
        <x:v>DA05</x:v>
      </x:c>
      <x:c r="B114" s="40" t="n">
        <x:v>46686</x:v>
      </x:c>
      <x:c r="C114" s="35" t="n">
        <x:v>215.41666666666666</x:v>
      </x:c>
      <x:c r="D114" s="35" t="n">
        <x:v>0</x:v>
      </x:c>
      <x:c r="E114" s="35" t="n">
        <x:v>38.75</x:v>
      </x:c>
      <x:c r="F114" s="35" t="n">
        <x:v>0</x:v>
      </x:c>
      <x:c r="G114" s="35" t="n">
        <x:v>176.66666666666666</x:v>
      </x:c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5" t="str">
        <x:v>DA05</x:v>
      </x:c>
      <x:c r="B115" s="40" t="n">
        <x:v>46716</x:v>
      </x:c>
      <x:c r="C115" s="35" t="n">
        <x:v>215.41666666666666</x:v>
      </x:c>
      <x:c r="D115" s="35" t="n">
        <x:v>0</x:v>
      </x:c>
      <x:c r="E115" s="35" t="n">
        <x:v>38.75</x:v>
      </x:c>
      <x:c r="F115" s="35" t="n">
        <x:v>0</x:v>
      </x:c>
      <x:c r="G115" s="35" t="n">
        <x:v>176.66666666666666</x:v>
      </x:c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5" t="str">
        <x:v>DA05</x:v>
      </x:c>
      <x:c r="B116" s="40" t="n">
        <x:v>46746</x:v>
      </x:c>
      <x:c r="C116" s="35" t="n">
        <x:v>215.41666666666666</x:v>
      </x:c>
      <x:c r="D116" s="35" t="n">
        <x:v>0</x:v>
      </x:c>
      <x:c r="E116" s="35" t="n">
        <x:v>38.75</x:v>
      </x:c>
      <x:c r="F116" s="35" t="n">
        <x:v>0</x:v>
      </x:c>
      <x:c r="G116" s="35" t="n">
        <x:v>176.66666666666666</x:v>
      </x:c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5" t="str">
        <x:v>DA05</x:v>
      </x:c>
      <x:c r="B117" s="40" t="n">
        <x:v>46776</x:v>
      </x:c>
      <x:c r="C117" s="35" t="n">
        <x:v>215.41666666666666</x:v>
      </x:c>
      <x:c r="D117" s="35" t="n">
        <x:v>0</x:v>
      </x:c>
      <x:c r="E117" s="35" t="n">
        <x:v>38.75</x:v>
      </x:c>
      <x:c r="F117" s="35" t="n">
        <x:v>0</x:v>
      </x:c>
      <x:c r="G117" s="35" t="n">
        <x:v>176.66666666666666</x:v>
      </x:c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5" t="str">
        <x:v>DA05</x:v>
      </x:c>
      <x:c r="B118" s="40" t="n">
        <x:v>46806</x:v>
      </x:c>
      <x:c r="C118" s="35" t="n">
        <x:v>215.41666666666666</x:v>
      </x:c>
      <x:c r="D118" s="35" t="n">
        <x:v>0</x:v>
      </x:c>
      <x:c r="E118" s="35" t="n">
        <x:v>38.75</x:v>
      </x:c>
      <x:c r="F118" s="35" t="n">
        <x:v>0</x:v>
      </x:c>
      <x:c r="G118" s="35" t="n">
        <x:v>176.66666666666666</x:v>
      </x:c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5" t="str">
        <x:v>DA05</x:v>
      </x:c>
      <x:c r="B119" s="40" t="n">
        <x:v>46836</x:v>
      </x:c>
      <x:c r="C119" s="35" t="n">
        <x:v>215.41666666666666</x:v>
      </x:c>
      <x:c r="D119" s="35" t="n">
        <x:v>0</x:v>
      </x:c>
      <x:c r="E119" s="35" t="n">
        <x:v>38.75</x:v>
      </x:c>
      <x:c r="F119" s="35" t="n">
        <x:v>0</x:v>
      </x:c>
      <x:c r="G119" s="35" t="n">
        <x:v>176.66666666666666</x:v>
      </x:c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5" t="str">
        <x:v>DA05</x:v>
      </x:c>
      <x:c r="B120" s="40" t="n">
        <x:v>46866</x:v>
      </x:c>
      <x:c r="C120" s="35" t="n">
        <x:v>215.41666666666666</x:v>
      </x:c>
      <x:c r="D120" s="35" t="n">
        <x:v>0</x:v>
      </x:c>
      <x:c r="E120" s="35" t="n">
        <x:v>38.75</x:v>
      </x:c>
      <x:c r="F120" s="35" t="n">
        <x:v>0</x:v>
      </x:c>
      <x:c r="G120" s="35" t="n">
        <x:v>176.66666666666666</x:v>
      </x:c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5" t="str">
        <x:v>DA05</x:v>
      </x:c>
      <x:c r="B121" s="40" t="n">
        <x:v>46896</x:v>
      </x:c>
      <x:c r="C121" s="35" t="n">
        <x:v>215.41666666666666</x:v>
      </x:c>
      <x:c r="D121" s="35" t="n">
        <x:v>0</x:v>
      </x:c>
      <x:c r="E121" s="35" t="n">
        <x:v>38.75</x:v>
      </x:c>
      <x:c r="F121" s="35" t="n">
        <x:v>0</x:v>
      </x:c>
      <x:c r="G121" s="35" t="n">
        <x:v>176.66666666666666</x:v>
      </x:c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5" t="str">
        <x:v>DA05</x:v>
      </x:c>
      <x:c r="B122" s="40" t="n">
        <x:v>46926</x:v>
      </x:c>
      <x:c r="C122" s="35" t="n">
        <x:v>215.41666666666666</x:v>
      </x:c>
      <x:c r="D122" s="35" t="n">
        <x:v>0</x:v>
      </x:c>
      <x:c r="E122" s="35" t="n">
        <x:v>38.75</x:v>
      </x:c>
      <x:c r="F122" s="35" t="n">
        <x:v>0</x:v>
      </x:c>
      <x:c r="G122" s="35" t="n">
        <x:v>176.66666666666666</x:v>
      </x:c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5" t="str">
        <x:v>DA05</x:v>
      </x:c>
      <x:c r="B123" s="40" t="n">
        <x:v>46956</x:v>
      </x:c>
      <x:c r="C123" s="35" t="n">
        <x:v>215.41666666666666</x:v>
      </x:c>
      <x:c r="D123" s="35" t="n">
        <x:v>0</x:v>
      </x:c>
      <x:c r="E123" s="35" t="n">
        <x:v>38.75</x:v>
      </x:c>
      <x:c r="F123" s="35" t="n">
        <x:v>0</x:v>
      </x:c>
      <x:c r="G123" s="35" t="n">
        <x:v>176.66666666666666</x:v>
      </x:c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5" t="str">
        <x:v>DA06</x:v>
      </x:c>
      <x:c r="B124" s="40" t="n">
        <x:v>46266</x:v>
      </x:c>
      <x:c r="C124" s="35" t="n">
        <x:v>15</x:v>
      </x:c>
      <x:c r="D124" s="35" t="n">
        <x:v>9.1875</x:v>
      </x:c>
      <x:c r="E124" s="35" t="n">
        <x:v>28.125</x:v>
      </x:c>
      <x:c r="F124" s="35" t="n">
        <x:v>0.072734375</x:v>
      </x:c>
      <x:c r="G124" s="35" t="n">
        <x:v>-4.010234375</x:v>
      </x:c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5" t="str">
        <x:v>DA06</x:v>
      </x:c>
      <x:c r="B125" s="40" t="n">
        <x:v>46296</x:v>
      </x:c>
      <x:c r="C125" s="35" t="n">
        <x:v>15</x:v>
      </x:c>
      <x:c r="D125" s="35" t="n">
        <x:v>9.1875</x:v>
      </x:c>
      <x:c r="E125" s="35" t="n">
        <x:v>28.125</x:v>
      </x:c>
      <x:c r="F125" s="35" t="n">
        <x:v>0.072734375</x:v>
      </x:c>
      <x:c r="G125" s="35" t="n">
        <x:v>-4.010234375</x:v>
      </x:c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5" t="str">
        <x:v>DA06</x:v>
      </x:c>
      <x:c r="B126" s="40" t="n">
        <x:v>46326</x:v>
      </x:c>
      <x:c r="C126" s="35" t="n">
        <x:v>15</x:v>
      </x:c>
      <x:c r="D126" s="35" t="n">
        <x:v>9.1875</x:v>
      </x:c>
      <x:c r="E126" s="35" t="n">
        <x:v>28.125</x:v>
      </x:c>
      <x:c r="F126" s="35" t="n">
        <x:v>0.072734375</x:v>
      </x:c>
      <x:c r="G126" s="35" t="n">
        <x:v>-4.010234375</x:v>
      </x:c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5" t="str">
        <x:v>DA06</x:v>
      </x:c>
      <x:c r="B127" s="40" t="n">
        <x:v>46356</x:v>
      </x:c>
      <x:c r="C127" s="35" t="n">
        <x:v>15</x:v>
      </x:c>
      <x:c r="D127" s="35" t="n">
        <x:v>9.1875</x:v>
      </x:c>
      <x:c r="E127" s="35" t="n">
        <x:v>28.125</x:v>
      </x:c>
      <x:c r="F127" s="35" t="n">
        <x:v>0.072734375</x:v>
      </x:c>
      <x:c r="G127" s="35" t="n">
        <x:v>-4.010234375</x:v>
      </x:c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5" t="str">
        <x:v>DA06</x:v>
      </x:c>
      <x:c r="B128" s="40" t="n">
        <x:v>46386</x:v>
      </x:c>
      <x:c r="C128" s="35" t="n">
        <x:v>15</x:v>
      </x:c>
      <x:c r="D128" s="35" t="n">
        <x:v>9.1875</x:v>
      </x:c>
      <x:c r="E128" s="35" t="n">
        <x:v>28.125</x:v>
      </x:c>
      <x:c r="F128" s="35" t="n">
        <x:v>0.072734375</x:v>
      </x:c>
      <x:c r="G128" s="35" t="n">
        <x:v>-4.010234375</x:v>
      </x:c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5" t="str">
        <x:v>DA06</x:v>
      </x:c>
      <x:c r="B129" s="40" t="n">
        <x:v>46416</x:v>
      </x:c>
      <x:c r="C129" s="35" t="n">
        <x:v>15</x:v>
      </x:c>
      <x:c r="D129" s="35" t="n">
        <x:v>9.1875</x:v>
      </x:c>
      <x:c r="E129" s="35" t="n">
        <x:v>28.125</x:v>
      </x:c>
      <x:c r="F129" s="35" t="n">
        <x:v>0.072734375</x:v>
      </x:c>
      <x:c r="G129" s="35" t="n">
        <x:v>-4.010234375</x:v>
      </x:c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5" t="str">
        <x:v>DA06</x:v>
      </x:c>
      <x:c r="B130" s="40" t="n">
        <x:v>46446</x:v>
      </x:c>
      <x:c r="C130" s="35" t="n">
        <x:v>15</x:v>
      </x:c>
      <x:c r="D130" s="35" t="n">
        <x:v>9.1875</x:v>
      </x:c>
      <x:c r="E130" s="35" t="n">
        <x:v>28.125</x:v>
      </x:c>
      <x:c r="F130" s="35" t="n">
        <x:v>0.072734375</x:v>
      </x:c>
      <x:c r="G130" s="35" t="n">
        <x:v>-4.010234375</x:v>
      </x:c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5" t="str">
        <x:v>DA06</x:v>
      </x:c>
      <x:c r="B131" s="40" t="n">
        <x:v>46476</x:v>
      </x:c>
      <x:c r="C131" s="35" t="n">
        <x:v>15</x:v>
      </x:c>
      <x:c r="D131" s="35" t="n">
        <x:v>9.1875</x:v>
      </x:c>
      <x:c r="E131" s="35" t="n">
        <x:v>28.125</x:v>
      </x:c>
      <x:c r="F131" s="35" t="n">
        <x:v>0.072734375</x:v>
      </x:c>
      <x:c r="G131" s="35" t="n">
        <x:v>-4.010234375</x:v>
      </x:c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5" t="str">
        <x:v>DA06</x:v>
      </x:c>
      <x:c r="B132" s="40" t="n">
        <x:v>46506</x:v>
      </x:c>
      <x:c r="C132" s="35" t="n">
        <x:v>15</x:v>
      </x:c>
      <x:c r="D132" s="35" t="n">
        <x:v>9.1875</x:v>
      </x:c>
      <x:c r="E132" s="35" t="n">
        <x:v>28.125</x:v>
      </x:c>
      <x:c r="F132" s="35" t="n">
        <x:v>0.072734375</x:v>
      </x:c>
      <x:c r="G132" s="35" t="n">
        <x:v>-4.010234375</x:v>
      </x:c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5" t="str">
        <x:v>DA06</x:v>
      </x:c>
      <x:c r="B133" s="40" t="n">
        <x:v>46536</x:v>
      </x:c>
      <x:c r="C133" s="35" t="n">
        <x:v>15</x:v>
      </x:c>
      <x:c r="D133" s="35" t="n">
        <x:v>9.1875</x:v>
      </x:c>
      <x:c r="E133" s="35" t="n">
        <x:v>28.125</x:v>
      </x:c>
      <x:c r="F133" s="35" t="n">
        <x:v>0.072734375</x:v>
      </x:c>
      <x:c r="G133" s="35" t="n">
        <x:v>-4.010234375</x:v>
      </x:c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5" t="str">
        <x:v>DA06</x:v>
      </x:c>
      <x:c r="B134" s="40" t="n">
        <x:v>46566</x:v>
      </x:c>
      <x:c r="C134" s="35" t="n">
        <x:v>15</x:v>
      </x:c>
      <x:c r="D134" s="35" t="n">
        <x:v>9.1875</x:v>
      </x:c>
      <x:c r="E134" s="35" t="n">
        <x:v>28.125</x:v>
      </x:c>
      <x:c r="F134" s="35" t="n">
        <x:v>0.072734375</x:v>
      </x:c>
      <x:c r="G134" s="35" t="n">
        <x:v>-4.010234375</x:v>
      </x:c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5" t="str">
        <x:v>DA06</x:v>
      </x:c>
      <x:c r="B135" s="40" t="n">
        <x:v>46596</x:v>
      </x:c>
      <x:c r="C135" s="35" t="n">
        <x:v>15</x:v>
      </x:c>
      <x:c r="D135" s="35" t="n">
        <x:v>9.1875</x:v>
      </x:c>
      <x:c r="E135" s="35" t="n">
        <x:v>28.125</x:v>
      </x:c>
      <x:c r="F135" s="35" t="n">
        <x:v>0.072734375</x:v>
      </x:c>
      <x:c r="G135" s="35" t="n">
        <x:v>-4.010234375</x:v>
      </x:c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5" t="str">
        <x:v>DA06</x:v>
      </x:c>
      <x:c r="B136" s="40" t="n">
        <x:v>46626</x:v>
      </x:c>
      <x:c r="C136" s="35" t="n">
        <x:v>15</x:v>
      </x:c>
      <x:c r="D136" s="35" t="n">
        <x:v>9.1875</x:v>
      </x:c>
      <x:c r="E136" s="35" t="n">
        <x:v>28.125</x:v>
      </x:c>
      <x:c r="F136" s="35" t="n">
        <x:v>0.072734375</x:v>
      </x:c>
      <x:c r="G136" s="35" t="n">
        <x:v>-4.010234375</x:v>
      </x:c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5" t="str">
        <x:v>DA06</x:v>
      </x:c>
      <x:c r="B137" s="40" t="n">
        <x:v>46656</x:v>
      </x:c>
      <x:c r="C137" s="35" t="n">
        <x:v>15</x:v>
      </x:c>
      <x:c r="D137" s="35" t="n">
        <x:v>9.1875</x:v>
      </x:c>
      <x:c r="E137" s="35" t="n">
        <x:v>28.125</x:v>
      </x:c>
      <x:c r="F137" s="35" t="n">
        <x:v>0.072734375</x:v>
      </x:c>
      <x:c r="G137" s="35" t="n">
        <x:v>-4.010234375</x:v>
      </x:c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5" t="str">
        <x:v>DA06</x:v>
      </x:c>
      <x:c r="B138" s="40" t="n">
        <x:v>46686</x:v>
      </x:c>
      <x:c r="C138" s="35" t="n">
        <x:v>15</x:v>
      </x:c>
      <x:c r="D138" s="35" t="n">
        <x:v>9.1875</x:v>
      </x:c>
      <x:c r="E138" s="35" t="n">
        <x:v>28.125</x:v>
      </x:c>
      <x:c r="F138" s="35" t="n">
        <x:v>0.072734375</x:v>
      </x:c>
      <x:c r="G138" s="35" t="n">
        <x:v>-4.010234375</x:v>
      </x:c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5" t="str">
        <x:v>DA06</x:v>
      </x:c>
      <x:c r="B139" s="40" t="n">
        <x:v>46716</x:v>
      </x:c>
      <x:c r="C139" s="35" t="n">
        <x:v>15</x:v>
      </x:c>
      <x:c r="D139" s="35" t="n">
        <x:v>9.1875</x:v>
      </x:c>
      <x:c r="E139" s="35" t="n">
        <x:v>28.125</x:v>
      </x:c>
      <x:c r="F139" s="35" t="n">
        <x:v>0.072734375</x:v>
      </x:c>
      <x:c r="G139" s="35" t="n">
        <x:v>-4.010234375</x:v>
      </x:c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5" t="str">
        <x:v>DA06</x:v>
      </x:c>
      <x:c r="B140" s="40" t="n">
        <x:v>46746</x:v>
      </x:c>
      <x:c r="C140" s="35" t="n">
        <x:v>15</x:v>
      </x:c>
      <x:c r="D140" s="35" t="n">
        <x:v>9.1875</x:v>
      </x:c>
      <x:c r="E140" s="35" t="n">
        <x:v>28.125</x:v>
      </x:c>
      <x:c r="F140" s="35" t="n">
        <x:v>0.072734375</x:v>
      </x:c>
      <x:c r="G140" s="35" t="n">
        <x:v>-4.010234375</x:v>
      </x:c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5" t="str">
        <x:v>DA06</x:v>
      </x:c>
      <x:c r="B141" s="40" t="n">
        <x:v>46776</x:v>
      </x:c>
      <x:c r="C141" s="35" t="n">
        <x:v>15</x:v>
      </x:c>
      <x:c r="D141" s="35" t="n">
        <x:v>9.1875</x:v>
      </x:c>
      <x:c r="E141" s="35" t="n">
        <x:v>28.125</x:v>
      </x:c>
      <x:c r="F141" s="35" t="n">
        <x:v>0.072734375</x:v>
      </x:c>
      <x:c r="G141" s="35" t="n">
        <x:v>-4.010234375</x:v>
      </x:c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5" t="str">
        <x:v>DA06</x:v>
      </x:c>
      <x:c r="B142" s="40" t="n">
        <x:v>46806</x:v>
      </x:c>
      <x:c r="C142" s="35" t="n">
        <x:v>15</x:v>
      </x:c>
      <x:c r="D142" s="35" t="n">
        <x:v>9.1875</x:v>
      </x:c>
      <x:c r="E142" s="35" t="n">
        <x:v>28.125</x:v>
      </x:c>
      <x:c r="F142" s="35" t="n">
        <x:v>0.072734375</x:v>
      </x:c>
      <x:c r="G142" s="35" t="n">
        <x:v>-4.010234375</x:v>
      </x:c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5" t="str">
        <x:v>DA06</x:v>
      </x:c>
      <x:c r="B143" s="40" t="n">
        <x:v>46836</x:v>
      </x:c>
      <x:c r="C143" s="35" t="n">
        <x:v>15</x:v>
      </x:c>
      <x:c r="D143" s="35" t="n">
        <x:v>9.1875</x:v>
      </x:c>
      <x:c r="E143" s="35" t="n">
        <x:v>28.125</x:v>
      </x:c>
      <x:c r="F143" s="35" t="n">
        <x:v>0.072734375</x:v>
      </x:c>
      <x:c r="G143" s="35" t="n">
        <x:v>-4.010234375</x:v>
      </x:c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5" t="str">
        <x:v>DA06</x:v>
      </x:c>
      <x:c r="B144" s="40" t="n">
        <x:v>46866</x:v>
      </x:c>
      <x:c r="C144" s="35" t="n">
        <x:v>15</x:v>
      </x:c>
      <x:c r="D144" s="35" t="n">
        <x:v>9.1875</x:v>
      </x:c>
      <x:c r="E144" s="35" t="n">
        <x:v>28.125</x:v>
      </x:c>
      <x:c r="F144" s="35" t="n">
        <x:v>0.072734375</x:v>
      </x:c>
      <x:c r="G144" s="35" t="n">
        <x:v>-4.010234375</x:v>
      </x:c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5" t="str">
        <x:v>DA06</x:v>
      </x:c>
      <x:c r="B145" s="40" t="n">
        <x:v>46896</x:v>
      </x:c>
      <x:c r="C145" s="35" t="n">
        <x:v>15</x:v>
      </x:c>
      <x:c r="D145" s="35" t="n">
        <x:v>9.1875</x:v>
      </x:c>
      <x:c r="E145" s="35" t="n">
        <x:v>28.125</x:v>
      </x:c>
      <x:c r="F145" s="35" t="n">
        <x:v>0.072734375</x:v>
      </x:c>
      <x:c r="G145" s="35" t="n">
        <x:v>-4.010234375</x:v>
      </x:c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5" t="str">
        <x:v>DA06</x:v>
      </x:c>
      <x:c r="B146" s="40" t="n">
        <x:v>46926</x:v>
      </x:c>
      <x:c r="C146" s="35" t="n">
        <x:v>15</x:v>
      </x:c>
      <x:c r="D146" s="35" t="n">
        <x:v>9.1875</x:v>
      </x:c>
      <x:c r="E146" s="35" t="n">
        <x:v>28.125</x:v>
      </x:c>
      <x:c r="F146" s="35" t="n">
        <x:v>0.072734375</x:v>
      </x:c>
      <x:c r="G146" s="35" t="n">
        <x:v>-4.010234375</x:v>
      </x:c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5" t="str">
        <x:v>DA06</x:v>
      </x:c>
      <x:c r="B147" s="40" t="n">
        <x:v>46956</x:v>
      </x:c>
      <x:c r="C147" s="35" t="n">
        <x:v>15</x:v>
      </x:c>
      <x:c r="D147" s="35" t="n">
        <x:v>9.1875</x:v>
      </x:c>
      <x:c r="E147" s="35" t="n">
        <x:v>28.125</x:v>
      </x:c>
      <x:c r="F147" s="35" t="n">
        <x:v>0.072734375</x:v>
      </x:c>
      <x:c r="G147" s="35" t="n">
        <x:v>-4.010234375</x:v>
      </x:c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41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41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41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41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41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41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41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41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41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41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41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41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41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41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41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41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41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41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41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41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41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41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41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41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41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41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41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41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41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41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41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41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41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41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41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41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41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41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41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41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41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41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41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41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41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41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41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41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41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41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41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41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41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3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  <x:c r="M207" s="3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  <x:c r="M209" s="3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  <x:c r="M210" s="3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  <x:c r="M211" s="3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  <x:c r="M212" s="3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  <x:c r="M213" s="3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  <x:c r="M214" s="3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  <x:c r="M216" s="3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  <x:c r="M217" s="3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  <x:c r="M218" s="3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  <x:c r="M219" s="3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  <x:c r="M220" s="3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  <x:c r="M221" s="3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  <x:c r="M222" s="3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  <x:c r="M223" s="3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  <x:c r="M224" s="3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3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3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3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3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3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3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3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3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3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3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3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3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3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3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3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3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3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3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3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3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3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3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3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3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  <x:c r="L251" s="33"/>
      <x:c r="M251" s="3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33"/>
      <x:c r="K252" s="33"/>
      <x:c r="L252" s="33"/>
      <x:c r="M252" s="3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33"/>
      <x:c r="K253" s="33"/>
      <x:c r="L253" s="33"/>
      <x:c r="M253" s="3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33"/>
      <x:c r="K254" s="33"/>
      <x:c r="L254" s="33"/>
      <x:c r="M254" s="3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33"/>
      <x:c r="K255" s="33"/>
      <x:c r="L255" s="33"/>
      <x:c r="M255" s="3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33"/>
      <x:c r="K256" s="33"/>
      <x:c r="L256" s="33"/>
      <x:c r="M256" s="3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33"/>
      <x:c r="K257" s="33"/>
      <x:c r="L257" s="33"/>
      <x:c r="M257" s="3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33"/>
      <x:c r="K258" s="33"/>
      <x:c r="L258" s="33"/>
      <x:c r="M258" s="3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33"/>
      <x:c r="K259" s="33"/>
      <x:c r="L259" s="33"/>
      <x:c r="M259" s="3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33"/>
      <x:c r="K260" s="33"/>
      <x:c r="L260" s="33"/>
      <x:c r="M260" s="3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33"/>
      <x:c r="K261" s="33"/>
      <x:c r="L261" s="33"/>
      <x:c r="M261" s="3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33"/>
      <x:c r="K262" s="33"/>
      <x:c r="L262" s="33"/>
      <x:c r="M262" s="3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  <x:c r="L263" s="33"/>
      <x:c r="M263" s="3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33"/>
      <x:c r="K264" s="33"/>
      <x:c r="L264" s="33"/>
      <x:c r="M264" s="3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33"/>
      <x:c r="K265" s="33"/>
      <x:c r="L265" s="33"/>
      <x:c r="M265" s="3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33"/>
      <x:c r="K266" s="33"/>
      <x:c r="L266" s="33"/>
      <x:c r="M266" s="3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33"/>
      <x:c r="K267" s="33"/>
      <x:c r="L267" s="33"/>
      <x:c r="M267" s="3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33"/>
      <x:c r="K268" s="33"/>
      <x:c r="L268" s="33"/>
      <x:c r="M268" s="3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33"/>
      <x:c r="K269" s="33"/>
      <x:c r="L269" s="33"/>
      <x:c r="M269" s="3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33"/>
      <x:c r="K270" s="33"/>
      <x:c r="L270" s="33"/>
      <x:c r="M270" s="3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33"/>
      <x:c r="K271" s="33"/>
      <x:c r="L271" s="33"/>
      <x:c r="M271" s="3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33"/>
      <x:c r="K272" s="33"/>
      <x:c r="L272" s="33"/>
      <x:c r="M272" s="3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33"/>
      <x:c r="K273" s="33"/>
      <x:c r="L273" s="33"/>
      <x:c r="M273" s="3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33"/>
      <x:c r="K274" s="33"/>
      <x:c r="L274" s="33"/>
      <x:c r="M274" s="3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  <x:c r="L275" s="33"/>
      <x:c r="M275" s="3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33"/>
      <x:c r="K276" s="33"/>
      <x:c r="L276" s="33"/>
      <x:c r="M276" s="3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33"/>
      <x:c r="K277" s="33"/>
      <x:c r="L277" s="33"/>
      <x:c r="M277" s="3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33"/>
      <x:c r="K278" s="33"/>
      <x:c r="L278" s="33"/>
      <x:c r="M278" s="3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33"/>
      <x:c r="K279" s="33"/>
      <x:c r="L279" s="33"/>
      <x:c r="M279" s="3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33"/>
      <x:c r="K280" s="33"/>
      <x:c r="L280" s="33"/>
      <x:c r="M280" s="3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33"/>
      <x:c r="K281" s="33"/>
      <x:c r="L281" s="33"/>
      <x:c r="M281" s="3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33"/>
      <x:c r="K282" s="33"/>
      <x:c r="L282" s="33"/>
      <x:c r="M282" s="3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33"/>
      <x:c r="K283" s="33"/>
      <x:c r="L283" s="33"/>
      <x:c r="M283" s="3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33"/>
      <x:c r="K284" s="33"/>
      <x:c r="L284" s="33"/>
      <x:c r="M284" s="3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33"/>
      <x:c r="K285" s="33"/>
      <x:c r="L285" s="33"/>
      <x:c r="M285" s="3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33"/>
      <x:c r="K286" s="33"/>
      <x:c r="L286" s="33"/>
      <x:c r="M286" s="3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  <x:c r="M287" s="3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33"/>
      <x:c r="K288" s="33"/>
      <x:c r="L288" s="33"/>
      <x:c r="M288" s="3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33"/>
      <x:c r="K289" s="33"/>
      <x:c r="L289" s="33"/>
      <x:c r="M289" s="3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33"/>
      <x:c r="K290" s="33"/>
      <x:c r="L290" s="33"/>
      <x:c r="M290" s="3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33"/>
      <x:c r="K291" s="33"/>
      <x:c r="L291" s="33"/>
      <x:c r="M291" s="3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33"/>
      <x:c r="K292" s="33"/>
      <x:c r="L292" s="33"/>
      <x:c r="M292" s="3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33"/>
      <x:c r="K293" s="33"/>
      <x:c r="L293" s="33"/>
      <x:c r="M293" s="3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33"/>
      <x:c r="K294" s="33"/>
      <x:c r="L294" s="33"/>
      <x:c r="M294" s="3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33"/>
      <x:c r="K295" s="33"/>
      <x:c r="L295" s="33"/>
      <x:c r="M295" s="3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33"/>
      <x:c r="K296" s="33"/>
      <x:c r="L296" s="33"/>
      <x:c r="M296" s="3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33"/>
      <x:c r="K297" s="33"/>
      <x:c r="L297" s="33"/>
      <x:c r="M297" s="3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33"/>
      <x:c r="K298" s="33"/>
      <x:c r="L298" s="33"/>
      <x:c r="M298" s="3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  <x:c r="M299" s="3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33"/>
      <x:c r="K300" s="33"/>
      <x:c r="L300" s="33"/>
      <x:c r="M300" s="3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>
      <x:c r="A301" s="33"/>
      <x:c r="B301" s="33"/>
      <x:c r="C301" s="33"/>
      <x:c r="D301" s="33"/>
      <x:c r="E301" s="33"/>
      <x:c r="F301" s="33"/>
      <x:c r="G301" s="33"/>
      <x:c r="H301" s="33"/>
      <x:c r="I301" s="33"/>
      <x:c r="J301" s="33"/>
      <x:c r="K301" s="33"/>
      <x:c r="L301" s="33"/>
      <x:c r="M301" s="3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>
      <x:c r="A302" s="33"/>
      <x:c r="B302" s="33"/>
      <x:c r="C302" s="33"/>
      <x:c r="D302" s="33"/>
      <x:c r="E302" s="33"/>
      <x:c r="F302" s="33"/>
      <x:c r="G302" s="33"/>
      <x:c r="H302" s="33"/>
      <x:c r="I302" s="33"/>
      <x:c r="J302" s="33"/>
      <x:c r="K302" s="33"/>
      <x:c r="L302" s="33"/>
      <x:c r="M302" s="3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>
      <x:c r="A303" s="33"/>
      <x:c r="B303" s="33"/>
      <x:c r="C303" s="33"/>
      <x:c r="D303" s="33"/>
      <x:c r="E303" s="33"/>
      <x:c r="F303" s="33"/>
      <x:c r="G303" s="33"/>
      <x:c r="H303" s="33"/>
      <x:c r="I303" s="33"/>
      <x:c r="J303" s="33"/>
      <x:c r="K303" s="33"/>
      <x:c r="L303" s="33"/>
      <x:c r="M303" s="3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>
      <x:c r="A304" s="33"/>
      <x:c r="B304" s="33"/>
      <x:c r="C304" s="33"/>
      <x:c r="D304" s="33"/>
      <x:c r="E304" s="33"/>
      <x:c r="F304" s="33"/>
      <x:c r="G304" s="33"/>
      <x:c r="H304" s="33"/>
      <x:c r="I304" s="33"/>
      <x:c r="J304" s="33"/>
      <x:c r="K304" s="33"/>
      <x:c r="L304" s="33"/>
      <x:c r="M304" s="3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>
      <x:c r="A305" s="33"/>
      <x:c r="B305" s="33"/>
      <x:c r="C305" s="33"/>
      <x:c r="D305" s="33"/>
      <x:c r="E305" s="33"/>
      <x:c r="F305" s="33"/>
      <x:c r="G305" s="33"/>
      <x:c r="H305" s="33"/>
      <x:c r="I305" s="33"/>
      <x:c r="J305" s="33"/>
      <x:c r="K305" s="33"/>
      <x:c r="L305" s="33"/>
      <x:c r="M305" s="3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>
      <x:c r="A306" s="33"/>
      <x:c r="B306" s="33"/>
      <x:c r="C306" s="33"/>
      <x:c r="D306" s="33"/>
      <x:c r="E306" s="33"/>
      <x:c r="F306" s="33"/>
      <x:c r="G306" s="33"/>
      <x:c r="H306" s="33"/>
      <x:c r="I306" s="33"/>
      <x:c r="J306" s="33"/>
      <x:c r="K306" s="33"/>
      <x:c r="L306" s="33"/>
      <x:c r="M306" s="3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>
      <x:c r="A307" s="33"/>
      <x:c r="B307" s="33"/>
      <x:c r="C307" s="33"/>
      <x:c r="D307" s="33"/>
      <x:c r="E307" s="33"/>
      <x:c r="F307" s="33"/>
      <x:c r="G307" s="33"/>
      <x:c r="H307" s="33"/>
      <x:c r="I307" s="33"/>
      <x:c r="J307" s="33"/>
      <x:c r="K307" s="33"/>
      <x:c r="L307" s="33"/>
      <x:c r="M307" s="3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>
      <x:c r="A308" s="33"/>
      <x:c r="B308" s="33"/>
      <x:c r="C308" s="33"/>
      <x:c r="D308" s="33"/>
      <x:c r="E308" s="33"/>
      <x:c r="F308" s="33"/>
      <x:c r="G308" s="33"/>
      <x:c r="H308" s="33"/>
      <x:c r="I308" s="33"/>
      <x:c r="J308" s="33"/>
      <x:c r="K308" s="33"/>
      <x:c r="L308" s="33"/>
      <x:c r="M308" s="3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>
      <x:c r="A309" s="33"/>
      <x:c r="B309" s="33"/>
      <x:c r="C309" s="33"/>
      <x:c r="D309" s="33"/>
      <x:c r="E309" s="33"/>
      <x:c r="F309" s="33"/>
      <x:c r="G309" s="33"/>
      <x:c r="H309" s="33"/>
      <x:c r="I309" s="33"/>
      <x:c r="J309" s="33"/>
      <x:c r="K309" s="33"/>
      <x:c r="L309" s="33"/>
      <x:c r="M309" s="3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>
      <x:c r="A310" s="33"/>
      <x:c r="B310" s="33"/>
      <x:c r="C310" s="33"/>
      <x:c r="D310" s="33"/>
      <x:c r="E310" s="33"/>
      <x:c r="F310" s="33"/>
      <x:c r="G310" s="33"/>
      <x:c r="H310" s="33"/>
      <x:c r="I310" s="33"/>
      <x:c r="J310" s="33"/>
      <x:c r="K310" s="33"/>
      <x:c r="L310" s="33"/>
      <x:c r="M310" s="3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33"/>
      <x:c r="K311" s="33"/>
      <x:c r="L311" s="33"/>
      <x:c r="M311" s="3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>
      <x:c r="A312" s="33"/>
      <x:c r="B312" s="33"/>
      <x:c r="C312" s="33"/>
      <x:c r="D312" s="33"/>
      <x:c r="E312" s="33"/>
      <x:c r="F312" s="33"/>
      <x:c r="G312" s="33"/>
      <x:c r="H312" s="33"/>
      <x:c r="I312" s="33"/>
      <x:c r="J312" s="33"/>
      <x:c r="K312" s="33"/>
      <x:c r="L312" s="33"/>
      <x:c r="M312" s="3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>
      <x:c r="A313" s="33"/>
      <x:c r="B313" s="33"/>
      <x:c r="C313" s="33"/>
      <x:c r="D313" s="33"/>
      <x:c r="E313" s="33"/>
      <x:c r="F313" s="33"/>
      <x:c r="G313" s="33"/>
      <x:c r="H313" s="33"/>
      <x:c r="I313" s="33"/>
      <x:c r="J313" s="33"/>
      <x:c r="K313" s="33"/>
      <x:c r="L313" s="33"/>
      <x:c r="M313" s="3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>
      <x:c r="A314" s="33"/>
      <x:c r="B314" s="33"/>
      <x:c r="C314" s="33"/>
      <x:c r="D314" s="33"/>
      <x:c r="E314" s="33"/>
      <x:c r="F314" s="33"/>
      <x:c r="G314" s="33"/>
      <x:c r="H314" s="33"/>
      <x:c r="I314" s="33"/>
      <x:c r="J314" s="33"/>
      <x:c r="K314" s="33"/>
      <x:c r="L314" s="33"/>
      <x:c r="M314" s="3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>
      <x:c r="A315" s="33"/>
      <x:c r="B315" s="33"/>
      <x:c r="C315" s="33"/>
      <x:c r="D315" s="33"/>
      <x:c r="E315" s="33"/>
      <x:c r="F315" s="33"/>
      <x:c r="G315" s="33"/>
      <x:c r="H315" s="33"/>
      <x:c r="I315" s="33"/>
      <x:c r="J315" s="33"/>
      <x:c r="K315" s="33"/>
      <x:c r="L315" s="33"/>
      <x:c r="M315" s="3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>
      <x:c r="A316" s="33"/>
      <x:c r="B316" s="33"/>
      <x:c r="C316" s="33"/>
      <x:c r="D316" s="33"/>
      <x:c r="E316" s="33"/>
      <x:c r="F316" s="33"/>
      <x:c r="G316" s="33"/>
      <x:c r="H316" s="33"/>
      <x:c r="I316" s="33"/>
      <x:c r="J316" s="33"/>
      <x:c r="K316" s="33"/>
      <x:c r="L316" s="33"/>
      <x:c r="M316" s="3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>
      <x:c r="A317" s="33"/>
      <x:c r="B317" s="33"/>
      <x:c r="C317" s="33"/>
      <x:c r="D317" s="33"/>
      <x:c r="E317" s="33"/>
      <x:c r="F317" s="33"/>
      <x:c r="G317" s="33"/>
      <x:c r="H317" s="33"/>
      <x:c r="I317" s="33"/>
      <x:c r="J317" s="33"/>
      <x:c r="K317" s="33"/>
      <x:c r="L317" s="33"/>
      <x:c r="M317" s="3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>
      <x:c r="A318" s="33"/>
      <x:c r="B318" s="33"/>
      <x:c r="C318" s="33"/>
      <x:c r="D318" s="33"/>
      <x:c r="E318" s="33"/>
      <x:c r="F318" s="33"/>
      <x:c r="G318" s="33"/>
      <x:c r="H318" s="33"/>
      <x:c r="I318" s="33"/>
      <x:c r="J318" s="33"/>
      <x:c r="K318" s="33"/>
      <x:c r="L318" s="33"/>
      <x:c r="M318" s="3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>
      <x:c r="A319" s="33"/>
      <x:c r="B319" s="33"/>
      <x:c r="C319" s="33"/>
      <x:c r="D319" s="33"/>
      <x:c r="E319" s="33"/>
      <x:c r="F319" s="33"/>
      <x:c r="G319" s="33"/>
      <x:c r="H319" s="33"/>
      <x:c r="I319" s="33"/>
      <x:c r="J319" s="33"/>
      <x:c r="K319" s="33"/>
      <x:c r="L319" s="33"/>
      <x:c r="M319" s="3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>
      <x:c r="A320" s="33"/>
      <x:c r="B320" s="33"/>
      <x:c r="C320" s="33"/>
      <x:c r="D320" s="33"/>
      <x:c r="E320" s="33"/>
      <x:c r="F320" s="33"/>
      <x:c r="G320" s="33"/>
      <x:c r="H320" s="33"/>
      <x:c r="I320" s="33"/>
      <x:c r="J320" s="33"/>
      <x:c r="K320" s="33"/>
      <x:c r="L320" s="33"/>
      <x:c r="M320" s="3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>
      <x:c r="A321" s="33"/>
      <x:c r="B321" s="33"/>
      <x:c r="C321" s="33"/>
      <x:c r="D321" s="33"/>
      <x:c r="E321" s="33"/>
      <x:c r="F321" s="33"/>
      <x:c r="G321" s="33"/>
      <x:c r="H321" s="33"/>
      <x:c r="I321" s="33"/>
      <x:c r="J321" s="33"/>
      <x:c r="K321" s="33"/>
      <x:c r="L321" s="33"/>
      <x:c r="M321" s="3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>
      <x:c r="A322" s="33"/>
      <x:c r="B322" s="33"/>
      <x:c r="C322" s="33"/>
      <x:c r="D322" s="33"/>
      <x:c r="E322" s="33"/>
      <x:c r="F322" s="33"/>
      <x:c r="G322" s="33"/>
      <x:c r="H322" s="33"/>
      <x:c r="I322" s="33"/>
      <x:c r="J322" s="33"/>
      <x:c r="K322" s="33"/>
      <x:c r="L322" s="33"/>
      <x:c r="M322" s="3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33"/>
      <x:c r="K323" s="33"/>
      <x:c r="L323" s="33"/>
      <x:c r="M323" s="3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>
      <x:c r="A324" s="33"/>
      <x:c r="B324" s="33"/>
      <x:c r="C324" s="33"/>
      <x:c r="D324" s="33"/>
      <x:c r="E324" s="33"/>
      <x:c r="F324" s="33"/>
      <x:c r="G324" s="33"/>
      <x:c r="H324" s="33"/>
      <x:c r="I324" s="33"/>
      <x:c r="J324" s="33"/>
      <x:c r="K324" s="33"/>
      <x:c r="L324" s="33"/>
      <x:c r="M324" s="3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>
      <x:c r="A325" s="33"/>
      <x:c r="B325" s="33"/>
      <x:c r="C325" s="33"/>
      <x:c r="D325" s="33"/>
      <x:c r="E325" s="33"/>
      <x:c r="F325" s="33"/>
      <x:c r="G325" s="33"/>
      <x:c r="H325" s="33"/>
      <x:c r="I325" s="33"/>
      <x:c r="J325" s="33"/>
      <x:c r="K325" s="33"/>
      <x:c r="L325" s="33"/>
      <x:c r="M325" s="3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>
      <x:c r="A326" s="33"/>
      <x:c r="B326" s="33"/>
      <x:c r="C326" s="33"/>
      <x:c r="D326" s="33"/>
      <x:c r="E326" s="33"/>
      <x:c r="F326" s="33"/>
      <x:c r="G326" s="33"/>
      <x:c r="H326" s="33"/>
      <x:c r="I326" s="33"/>
      <x:c r="J326" s="33"/>
      <x:c r="K326" s="33"/>
      <x:c r="L326" s="33"/>
      <x:c r="M326" s="3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>
      <x:c r="A327" s="33"/>
      <x:c r="B327" s="33"/>
      <x:c r="C327" s="33"/>
      <x:c r="D327" s="33"/>
      <x:c r="E327" s="33"/>
      <x:c r="F327" s="33"/>
      <x:c r="G327" s="33"/>
      <x:c r="H327" s="33"/>
      <x:c r="I327" s="33"/>
      <x:c r="J327" s="33"/>
      <x:c r="K327" s="33"/>
      <x:c r="L327" s="33"/>
      <x:c r="M327" s="3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>
      <x:c r="A328" s="33"/>
      <x:c r="B328" s="33"/>
      <x:c r="C328" s="33"/>
      <x:c r="D328" s="33"/>
      <x:c r="E328" s="33"/>
      <x:c r="F328" s="33"/>
      <x:c r="G328" s="33"/>
      <x:c r="H328" s="33"/>
      <x:c r="I328" s="33"/>
      <x:c r="J328" s="33"/>
      <x:c r="K328" s="33"/>
      <x:c r="L328" s="33"/>
      <x:c r="M328" s="3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>
      <x:c r="A329" s="33"/>
      <x:c r="B329" s="33"/>
      <x:c r="C329" s="33"/>
      <x:c r="D329" s="33"/>
      <x:c r="E329" s="33"/>
      <x:c r="F329" s="33"/>
      <x:c r="G329" s="33"/>
      <x:c r="H329" s="33"/>
      <x:c r="I329" s="33"/>
      <x:c r="J329" s="33"/>
      <x:c r="K329" s="33"/>
      <x:c r="L329" s="33"/>
      <x:c r="M329" s="3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>
      <x:c r="A330" s="33"/>
      <x:c r="B330" s="33"/>
      <x:c r="C330" s="33"/>
      <x:c r="D330" s="33"/>
      <x:c r="E330" s="33"/>
      <x:c r="F330" s="33"/>
      <x:c r="G330" s="33"/>
      <x:c r="H330" s="33"/>
      <x:c r="I330" s="33"/>
      <x:c r="J330" s="33"/>
      <x:c r="K330" s="33"/>
      <x:c r="L330" s="33"/>
      <x:c r="M330" s="3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>
      <x:c r="A331" s="33"/>
      <x:c r="B331" s="33"/>
      <x:c r="C331" s="33"/>
      <x:c r="D331" s="33"/>
      <x:c r="E331" s="33"/>
      <x:c r="F331" s="33"/>
      <x:c r="G331" s="33"/>
      <x:c r="H331" s="33"/>
      <x:c r="I331" s="33"/>
      <x:c r="J331" s="33"/>
      <x:c r="K331" s="33"/>
      <x:c r="L331" s="33"/>
      <x:c r="M331" s="3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>
      <x:c r="A332" s="33"/>
      <x:c r="B332" s="33"/>
      <x:c r="C332" s="33"/>
      <x:c r="D332" s="33"/>
      <x:c r="E332" s="33"/>
      <x:c r="F332" s="33"/>
      <x:c r="G332" s="33"/>
      <x:c r="H332" s="33"/>
      <x:c r="I332" s="33"/>
      <x:c r="J332" s="33"/>
      <x:c r="K332" s="33"/>
      <x:c r="L332" s="33"/>
      <x:c r="M332" s="3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>
      <x:c r="A333" s="33"/>
      <x:c r="B333" s="33"/>
      <x:c r="C333" s="33"/>
      <x:c r="D333" s="33"/>
      <x:c r="E333" s="33"/>
      <x:c r="F333" s="33"/>
      <x:c r="G333" s="33"/>
      <x:c r="H333" s="33"/>
      <x:c r="I333" s="33"/>
      <x:c r="J333" s="33"/>
      <x:c r="K333" s="33"/>
      <x:c r="L333" s="33"/>
      <x:c r="M333" s="3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>
      <x:c r="A334" s="33"/>
      <x:c r="B334" s="33"/>
      <x:c r="C334" s="33"/>
      <x:c r="D334" s="33"/>
      <x:c r="E334" s="33"/>
      <x:c r="F334" s="33"/>
      <x:c r="G334" s="33"/>
      <x:c r="H334" s="33"/>
      <x:c r="I334" s="33"/>
      <x:c r="J334" s="33"/>
      <x:c r="K334" s="33"/>
      <x:c r="L334" s="33"/>
      <x:c r="M334" s="3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33"/>
      <x:c r="K335" s="33"/>
      <x:c r="L335" s="33"/>
      <x:c r="M335" s="3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>
      <x:c r="A336" s="33"/>
      <x:c r="B336" s="33"/>
      <x:c r="C336" s="33"/>
      <x:c r="D336" s="33"/>
      <x:c r="E336" s="33"/>
      <x:c r="F336" s="33"/>
      <x:c r="G336" s="33"/>
      <x:c r="H336" s="33"/>
      <x:c r="I336" s="33"/>
      <x:c r="J336" s="33"/>
      <x:c r="K336" s="33"/>
      <x:c r="L336" s="33"/>
      <x:c r="M336" s="3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>
      <x:c r="A337" s="33"/>
      <x:c r="B337" s="33"/>
      <x:c r="C337" s="33"/>
      <x:c r="D337" s="33"/>
      <x:c r="E337" s="33"/>
      <x:c r="F337" s="33"/>
      <x:c r="G337" s="33"/>
      <x:c r="H337" s="33"/>
      <x:c r="I337" s="33"/>
      <x:c r="J337" s="33"/>
      <x:c r="K337" s="33"/>
      <x:c r="L337" s="33"/>
      <x:c r="M337" s="3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>
      <x:c r="A338" s="33"/>
      <x:c r="B338" s="33"/>
      <x:c r="C338" s="33"/>
      <x:c r="D338" s="33"/>
      <x:c r="E338" s="33"/>
      <x:c r="F338" s="33"/>
      <x:c r="G338" s="33"/>
      <x:c r="H338" s="33"/>
      <x:c r="I338" s="33"/>
      <x:c r="J338" s="33"/>
      <x:c r="K338" s="33"/>
      <x:c r="L338" s="33"/>
      <x:c r="M338" s="3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>
      <x:c r="A339" s="33"/>
      <x:c r="B339" s="33"/>
      <x:c r="C339" s="33"/>
      <x:c r="D339" s="33"/>
      <x:c r="E339" s="33"/>
      <x:c r="F339" s="33"/>
      <x:c r="G339" s="33"/>
      <x:c r="H339" s="33"/>
      <x:c r="I339" s="33"/>
      <x:c r="J339" s="33"/>
      <x:c r="K339" s="33"/>
      <x:c r="L339" s="33"/>
      <x:c r="M339" s="3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>
      <x:c r="A340" s="33"/>
      <x:c r="B340" s="33"/>
      <x:c r="C340" s="33"/>
      <x:c r="D340" s="33"/>
      <x:c r="E340" s="33"/>
      <x:c r="F340" s="33"/>
      <x:c r="G340" s="33"/>
      <x:c r="H340" s="33"/>
      <x:c r="I340" s="33"/>
      <x:c r="J340" s="33"/>
      <x:c r="K340" s="33"/>
      <x:c r="L340" s="33"/>
      <x:c r="M340" s="3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>
      <x:c r="A341" s="33"/>
      <x:c r="B341" s="33"/>
      <x:c r="C341" s="33"/>
      <x:c r="D341" s="33"/>
      <x:c r="E341" s="33"/>
      <x:c r="F341" s="33"/>
      <x:c r="G341" s="33"/>
      <x:c r="H341" s="33"/>
      <x:c r="I341" s="33"/>
      <x:c r="J341" s="33"/>
      <x:c r="K341" s="33"/>
      <x:c r="L341" s="33"/>
      <x:c r="M341" s="3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>
      <x:c r="A342" s="33"/>
      <x:c r="B342" s="33"/>
      <x:c r="C342" s="33"/>
      <x:c r="D342" s="33"/>
      <x:c r="E342" s="33"/>
      <x:c r="F342" s="33"/>
      <x:c r="G342" s="33"/>
      <x:c r="H342" s="33"/>
      <x:c r="I342" s="33"/>
      <x:c r="J342" s="33"/>
      <x:c r="K342" s="33"/>
      <x:c r="L342" s="33"/>
      <x:c r="M342" s="3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>
      <x:c r="A343" s="33"/>
      <x:c r="B343" s="33"/>
      <x:c r="C343" s="33"/>
      <x:c r="D343" s="33"/>
      <x:c r="E343" s="33"/>
      <x:c r="F343" s="33"/>
      <x:c r="G343" s="33"/>
      <x:c r="H343" s="33"/>
      <x:c r="I343" s="33"/>
      <x:c r="J343" s="33"/>
      <x:c r="K343" s="33"/>
      <x:c r="L343" s="33"/>
      <x:c r="M343" s="3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>
      <x:c r="A344" s="33"/>
      <x:c r="B344" s="33"/>
      <x:c r="C344" s="33"/>
      <x:c r="D344" s="33"/>
      <x:c r="E344" s="33"/>
      <x:c r="F344" s="33"/>
      <x:c r="G344" s="33"/>
      <x:c r="H344" s="33"/>
      <x:c r="I344" s="33"/>
      <x:c r="J344" s="33"/>
      <x:c r="K344" s="33"/>
      <x:c r="L344" s="33"/>
      <x:c r="M344" s="3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>
      <x:c r="A345" s="33"/>
      <x:c r="B345" s="33"/>
      <x:c r="C345" s="33"/>
      <x:c r="D345" s="33"/>
      <x:c r="E345" s="33"/>
      <x:c r="F345" s="33"/>
      <x:c r="G345" s="33"/>
      <x:c r="H345" s="33"/>
      <x:c r="I345" s="33"/>
      <x:c r="J345" s="33"/>
      <x:c r="K345" s="33"/>
      <x:c r="L345" s="33"/>
      <x:c r="M345" s="3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>
      <x:c r="A346" s="33"/>
      <x:c r="B346" s="33"/>
      <x:c r="C346" s="33"/>
      <x:c r="D346" s="33"/>
      <x:c r="E346" s="33"/>
      <x:c r="F346" s="33"/>
      <x:c r="G346" s="33"/>
      <x:c r="H346" s="33"/>
      <x:c r="I346" s="33"/>
      <x:c r="J346" s="33"/>
      <x:c r="K346" s="33"/>
      <x:c r="L346" s="33"/>
      <x:c r="M346" s="3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33"/>
      <x:c r="K347" s="33"/>
      <x:c r="L347" s="33"/>
      <x:c r="M347" s="3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>
      <x:c r="A348" s="33"/>
      <x:c r="B348" s="33"/>
      <x:c r="C348" s="33"/>
      <x:c r="D348" s="33"/>
      <x:c r="E348" s="33"/>
      <x:c r="F348" s="33"/>
      <x:c r="G348" s="33"/>
      <x:c r="H348" s="33"/>
      <x:c r="I348" s="33"/>
      <x:c r="J348" s="33"/>
      <x:c r="K348" s="33"/>
      <x:c r="L348" s="33"/>
      <x:c r="M348" s="3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>
      <x:c r="A349" s="33"/>
      <x:c r="B349" s="33"/>
      <x:c r="C349" s="33"/>
      <x:c r="D349" s="33"/>
      <x:c r="E349" s="33"/>
      <x:c r="F349" s="33"/>
      <x:c r="G349" s="33"/>
      <x:c r="H349" s="33"/>
      <x:c r="I349" s="33"/>
      <x:c r="J349" s="33"/>
      <x:c r="K349" s="33"/>
      <x:c r="L349" s="33"/>
      <x:c r="M349" s="3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>
      <x:c r="A350" s="33"/>
      <x:c r="B350" s="33"/>
      <x:c r="C350" s="33"/>
      <x:c r="D350" s="33"/>
      <x:c r="E350" s="33"/>
      <x:c r="F350" s="33"/>
      <x:c r="G350" s="33"/>
      <x:c r="H350" s="33"/>
      <x:c r="I350" s="33"/>
      <x:c r="J350" s="33"/>
      <x:c r="K350" s="33"/>
      <x:c r="L350" s="33"/>
      <x:c r="M350" s="3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>
      <x:c r="A351" s="33"/>
      <x:c r="B351" s="33"/>
      <x:c r="C351" s="33"/>
      <x:c r="D351" s="33"/>
      <x:c r="E351" s="33"/>
      <x:c r="F351" s="33"/>
      <x:c r="G351" s="33"/>
      <x:c r="H351" s="33"/>
      <x:c r="I351" s="33"/>
      <x:c r="J351" s="33"/>
      <x:c r="K351" s="33"/>
      <x:c r="L351" s="33"/>
      <x:c r="M351" s="3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>
      <x:c r="A352" s="33"/>
      <x:c r="B352" s="33"/>
      <x:c r="C352" s="33"/>
      <x:c r="D352" s="33"/>
      <x:c r="E352" s="33"/>
      <x:c r="F352" s="33"/>
      <x:c r="G352" s="33"/>
      <x:c r="H352" s="33"/>
      <x:c r="I352" s="33"/>
      <x:c r="J352" s="33"/>
      <x:c r="K352" s="33"/>
      <x:c r="L352" s="33"/>
      <x:c r="M352" s="3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>
      <x:c r="A353" s="33"/>
      <x:c r="B353" s="33"/>
      <x:c r="C353" s="33"/>
      <x:c r="D353" s="33"/>
      <x:c r="E353" s="33"/>
      <x:c r="F353" s="33"/>
      <x:c r="G353" s="33"/>
      <x:c r="H353" s="33"/>
      <x:c r="I353" s="33"/>
      <x:c r="J353" s="33"/>
      <x:c r="K353" s="33"/>
      <x:c r="L353" s="33"/>
      <x:c r="M353" s="3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>
      <x:c r="A354" s="33"/>
      <x:c r="B354" s="33"/>
      <x:c r="C354" s="33"/>
      <x:c r="D354" s="33"/>
      <x:c r="E354" s="33"/>
      <x:c r="F354" s="33"/>
      <x:c r="G354" s="33"/>
      <x:c r="H354" s="33"/>
      <x:c r="I354" s="33"/>
      <x:c r="J354" s="33"/>
      <x:c r="K354" s="33"/>
      <x:c r="L354" s="33"/>
      <x:c r="M354" s="3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>
      <x:c r="A355" s="33"/>
      <x:c r="B355" s="33"/>
      <x:c r="C355" s="33"/>
      <x:c r="D355" s="33"/>
      <x:c r="E355" s="33"/>
      <x:c r="F355" s="33"/>
      <x:c r="G355" s="33"/>
      <x:c r="H355" s="33"/>
      <x:c r="I355" s="33"/>
      <x:c r="J355" s="33"/>
      <x:c r="K355" s="33"/>
      <x:c r="L355" s="33"/>
      <x:c r="M355" s="3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>
      <x:c r="A356" s="33"/>
      <x:c r="B356" s="33"/>
      <x:c r="C356" s="33"/>
      <x:c r="D356" s="33"/>
      <x:c r="E356" s="33"/>
      <x:c r="F356" s="33"/>
      <x:c r="G356" s="33"/>
      <x:c r="H356" s="33"/>
      <x:c r="I356" s="33"/>
      <x:c r="J356" s="33"/>
      <x:c r="K356" s="33"/>
      <x:c r="L356" s="33"/>
      <x:c r="M356" s="3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>
      <x:c r="A357" s="33"/>
      <x:c r="B357" s="33"/>
      <x:c r="C357" s="33"/>
      <x:c r="D357" s="33"/>
      <x:c r="E357" s="33"/>
      <x:c r="F357" s="33"/>
      <x:c r="G357" s="33"/>
      <x:c r="H357" s="33"/>
      <x:c r="I357" s="33"/>
      <x:c r="J357" s="33"/>
      <x:c r="K357" s="33"/>
      <x:c r="L357" s="33"/>
      <x:c r="M357" s="3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>
      <x:c r="A358" s="33"/>
      <x:c r="B358" s="33"/>
      <x:c r="C358" s="33"/>
      <x:c r="D358" s="33"/>
      <x:c r="E358" s="33"/>
      <x:c r="F358" s="33"/>
      <x:c r="G358" s="33"/>
      <x:c r="H358" s="33"/>
      <x:c r="I358" s="33"/>
      <x:c r="J358" s="33"/>
      <x:c r="K358" s="33"/>
      <x:c r="L358" s="33"/>
      <x:c r="M358" s="3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>
      <x:c r="A359" s="33"/>
      <x:c r="B359" s="33"/>
      <x:c r="C359" s="33"/>
      <x:c r="D359" s="33"/>
      <x:c r="E359" s="33"/>
      <x:c r="F359" s="33"/>
      <x:c r="G359" s="33"/>
      <x:c r="H359" s="33"/>
      <x:c r="I359" s="33"/>
      <x:c r="J359" s="33"/>
      <x:c r="K359" s="33"/>
      <x:c r="L359" s="33"/>
      <x:c r="M359" s="3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33"/>
      <x:c r="K360" s="33"/>
      <x:c r="L360" s="33"/>
      <x:c r="M360" s="3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>
      <x:c r="A361" s="33"/>
      <x:c r="B361" s="33"/>
      <x:c r="C361" s="33"/>
      <x:c r="D361" s="33"/>
      <x:c r="E361" s="33"/>
      <x:c r="F361" s="33"/>
      <x:c r="G361" s="33"/>
      <x:c r="H361" s="33"/>
      <x:c r="I361" s="33"/>
      <x:c r="J361" s="33"/>
      <x:c r="K361" s="33"/>
      <x:c r="L361" s="33"/>
      <x:c r="M361" s="3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>
      <x:c r="A362" s="33"/>
      <x:c r="B362" s="33"/>
      <x:c r="C362" s="33"/>
      <x:c r="D362" s="33"/>
      <x:c r="E362" s="33"/>
      <x:c r="F362" s="33"/>
      <x:c r="G362" s="33"/>
      <x:c r="H362" s="33"/>
      <x:c r="I362" s="33"/>
      <x:c r="J362" s="33"/>
      <x:c r="K362" s="33"/>
      <x:c r="L362" s="33"/>
      <x:c r="M362" s="3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>
      <x:c r="A363" s="33"/>
      <x:c r="B363" s="33"/>
      <x:c r="C363" s="33"/>
      <x:c r="D363" s="33"/>
      <x:c r="E363" s="33"/>
      <x:c r="F363" s="33"/>
      <x:c r="G363" s="33"/>
      <x:c r="H363" s="33"/>
      <x:c r="I363" s="33"/>
      <x:c r="J363" s="33"/>
      <x:c r="K363" s="33"/>
      <x:c r="L363" s="33"/>
      <x:c r="M363" s="3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>
      <x:c r="A364" s="33"/>
      <x:c r="B364" s="33"/>
      <x:c r="C364" s="33"/>
      <x:c r="D364" s="33"/>
      <x:c r="E364" s="33"/>
      <x:c r="F364" s="33"/>
      <x:c r="G364" s="33"/>
      <x:c r="H364" s="33"/>
      <x:c r="I364" s="33"/>
      <x:c r="J364" s="33"/>
      <x:c r="K364" s="33"/>
      <x:c r="L364" s="33"/>
      <x:c r="M364" s="3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>
      <x:c r="A365" s="33"/>
      <x:c r="B365" s="33"/>
      <x:c r="C365" s="33"/>
      <x:c r="D365" s="33"/>
      <x:c r="E365" s="33"/>
      <x:c r="F365" s="33"/>
      <x:c r="G365" s="33"/>
      <x:c r="H365" s="33"/>
      <x:c r="I365" s="33"/>
      <x:c r="J365" s="33"/>
      <x:c r="K365" s="33"/>
      <x:c r="L365" s="33"/>
      <x:c r="M365" s="3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>
      <x:c r="A366" s="33"/>
      <x:c r="B366" s="33"/>
      <x:c r="C366" s="33"/>
      <x:c r="D366" s="33"/>
      <x:c r="E366" s="33"/>
      <x:c r="F366" s="33"/>
      <x:c r="G366" s="33"/>
      <x:c r="H366" s="33"/>
      <x:c r="I366" s="33"/>
      <x:c r="J366" s="33"/>
      <x:c r="K366" s="33"/>
      <x:c r="L366" s="33"/>
      <x:c r="M366" s="3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>
      <x:c r="A367" s="33"/>
      <x:c r="B367" s="33"/>
      <x:c r="C367" s="33"/>
      <x:c r="D367" s="33"/>
      <x:c r="E367" s="33"/>
      <x:c r="F367" s="33"/>
      <x:c r="G367" s="33"/>
      <x:c r="H367" s="33"/>
      <x:c r="I367" s="33"/>
      <x:c r="J367" s="33"/>
      <x:c r="K367" s="33"/>
      <x:c r="L367" s="33"/>
      <x:c r="M367" s="3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>
      <x:c r="A368" s="33"/>
      <x:c r="B368" s="33"/>
      <x:c r="C368" s="33"/>
      <x:c r="D368" s="33"/>
      <x:c r="E368" s="33"/>
      <x:c r="F368" s="33"/>
      <x:c r="G368" s="33"/>
      <x:c r="H368" s="33"/>
      <x:c r="I368" s="33"/>
      <x:c r="J368" s="33"/>
      <x:c r="K368" s="33"/>
      <x:c r="L368" s="33"/>
      <x:c r="M368" s="3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>
      <x:c r="A369" s="33"/>
      <x:c r="B369" s="33"/>
      <x:c r="C369" s="33"/>
      <x:c r="D369" s="33"/>
      <x:c r="E369" s="33"/>
      <x:c r="F369" s="33"/>
      <x:c r="G369" s="33"/>
      <x:c r="H369" s="33"/>
      <x:c r="I369" s="33"/>
      <x:c r="J369" s="33"/>
      <x:c r="K369" s="33"/>
      <x:c r="L369" s="33"/>
      <x:c r="M369" s="3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>
      <x:c r="A370" s="33"/>
      <x:c r="B370" s="33"/>
      <x:c r="C370" s="33"/>
      <x:c r="D370" s="33"/>
      <x:c r="E370" s="33"/>
      <x:c r="F370" s="33"/>
      <x:c r="G370" s="33"/>
      <x:c r="H370" s="33"/>
      <x:c r="I370" s="33"/>
      <x:c r="J370" s="33"/>
      <x:c r="K370" s="33"/>
      <x:c r="L370" s="33"/>
      <x:c r="M370" s="3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>
      <x:c r="A371" s="33"/>
      <x:c r="B371" s="33"/>
      <x:c r="C371" s="33"/>
      <x:c r="D371" s="33"/>
      <x:c r="E371" s="33"/>
      <x:c r="F371" s="33"/>
      <x:c r="G371" s="33"/>
      <x:c r="H371" s="33"/>
      <x:c r="I371" s="33"/>
      <x:c r="J371" s="33"/>
      <x:c r="K371" s="33"/>
      <x:c r="L371" s="33"/>
      <x:c r="M371" s="3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>
      <x:c r="A372" s="33"/>
      <x:c r="B372" s="33"/>
      <x:c r="C372" s="33"/>
      <x:c r="D372" s="33"/>
      <x:c r="E372" s="33"/>
      <x:c r="F372" s="33"/>
      <x:c r="G372" s="33"/>
      <x:c r="H372" s="33"/>
      <x:c r="I372" s="33"/>
      <x:c r="J372" s="33"/>
      <x:c r="K372" s="33"/>
      <x:c r="L372" s="33"/>
      <x:c r="M372" s="3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33"/>
      <x:c r="K373" s="33"/>
      <x:c r="L373" s="33"/>
      <x:c r="M373" s="3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>
      <x:c r="A374" s="33"/>
      <x:c r="B374" s="33"/>
      <x:c r="C374" s="33"/>
      <x:c r="D374" s="33"/>
      <x:c r="E374" s="33"/>
      <x:c r="F374" s="33"/>
      <x:c r="G374" s="33"/>
      <x:c r="H374" s="33"/>
      <x:c r="I374" s="33"/>
      <x:c r="J374" s="33"/>
      <x:c r="K374" s="33"/>
      <x:c r="L374" s="33"/>
      <x:c r="M374" s="3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>
      <x:c r="A375" s="33"/>
      <x:c r="B375" s="33"/>
      <x:c r="C375" s="33"/>
      <x:c r="D375" s="33"/>
      <x:c r="E375" s="33"/>
      <x:c r="F375" s="33"/>
      <x:c r="G375" s="33"/>
      <x:c r="H375" s="33"/>
      <x:c r="I375" s="33"/>
      <x:c r="J375" s="33"/>
      <x:c r="K375" s="33"/>
      <x:c r="L375" s="33"/>
      <x:c r="M375" s="3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>
      <x:c r="A376" s="33"/>
      <x:c r="B376" s="33"/>
      <x:c r="C376" s="33"/>
      <x:c r="D376" s="33"/>
      <x:c r="E376" s="33"/>
      <x:c r="F376" s="33"/>
      <x:c r="G376" s="33"/>
      <x:c r="H376" s="33"/>
      <x:c r="I376" s="33"/>
      <x:c r="J376" s="33"/>
      <x:c r="K376" s="33"/>
      <x:c r="L376" s="33"/>
      <x:c r="M376" s="3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>
      <x:c r="A377" s="33"/>
      <x:c r="B377" s="33"/>
      <x:c r="C377" s="33"/>
      <x:c r="D377" s="33"/>
      <x:c r="E377" s="33"/>
      <x:c r="F377" s="33"/>
      <x:c r="G377" s="33"/>
      <x:c r="H377" s="33"/>
      <x:c r="I377" s="33"/>
      <x:c r="J377" s="33"/>
      <x:c r="K377" s="33"/>
      <x:c r="L377" s="33"/>
      <x:c r="M377" s="3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>
      <x:c r="A378" s="33"/>
      <x:c r="B378" s="33"/>
      <x:c r="C378" s="33"/>
      <x:c r="D378" s="33"/>
      <x:c r="E378" s="33"/>
      <x:c r="F378" s="33"/>
      <x:c r="G378" s="33"/>
      <x:c r="H378" s="33"/>
      <x:c r="I378" s="33"/>
      <x:c r="J378" s="33"/>
      <x:c r="K378" s="33"/>
      <x:c r="L378" s="33"/>
      <x:c r="M378" s="3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>
      <x:c r="A379" s="33"/>
      <x:c r="B379" s="33"/>
      <x:c r="C379" s="33"/>
      <x:c r="D379" s="33"/>
      <x:c r="E379" s="33"/>
      <x:c r="F379" s="33"/>
      <x:c r="G379" s="33"/>
      <x:c r="H379" s="33"/>
      <x:c r="I379" s="33"/>
      <x:c r="J379" s="33"/>
      <x:c r="K379" s="33"/>
      <x:c r="L379" s="33"/>
      <x:c r="M379" s="3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>
      <x:c r="A380" s="33"/>
      <x:c r="B380" s="33"/>
      <x:c r="C380" s="33"/>
      <x:c r="D380" s="33"/>
      <x:c r="E380" s="33"/>
      <x:c r="F380" s="33"/>
      <x:c r="G380" s="33"/>
      <x:c r="H380" s="33"/>
      <x:c r="I380" s="33"/>
      <x:c r="J380" s="33"/>
      <x:c r="K380" s="33"/>
      <x:c r="L380" s="33"/>
      <x:c r="M380" s="3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>
      <x:c r="A381" s="33"/>
      <x:c r="B381" s="33"/>
      <x:c r="C381" s="33"/>
      <x:c r="D381" s="33"/>
      <x:c r="E381" s="33"/>
      <x:c r="F381" s="33"/>
      <x:c r="G381" s="33"/>
      <x:c r="H381" s="33"/>
      <x:c r="I381" s="33"/>
      <x:c r="J381" s="33"/>
      <x:c r="K381" s="33"/>
      <x:c r="L381" s="33"/>
      <x:c r="M381" s="3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>
      <x:c r="A382" s="33"/>
      <x:c r="B382" s="33"/>
      <x:c r="C382" s="33"/>
      <x:c r="D382" s="33"/>
      <x:c r="E382" s="33"/>
      <x:c r="F382" s="33"/>
      <x:c r="G382" s="33"/>
      <x:c r="H382" s="33"/>
      <x:c r="I382" s="33"/>
      <x:c r="J382" s="33"/>
      <x:c r="K382" s="33"/>
      <x:c r="L382" s="33"/>
      <x:c r="M382" s="3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>
      <x:c r="A383" s="33"/>
      <x:c r="B383" s="33"/>
      <x:c r="C383" s="33"/>
      <x:c r="D383" s="33"/>
      <x:c r="E383" s="33"/>
      <x:c r="F383" s="33"/>
      <x:c r="G383" s="33"/>
      <x:c r="H383" s="33"/>
      <x:c r="I383" s="33"/>
      <x:c r="J383" s="33"/>
      <x:c r="K383" s="33"/>
      <x:c r="L383" s="33"/>
      <x:c r="M383" s="3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>
      <x:c r="A384" s="33"/>
      <x:c r="B384" s="33"/>
      <x:c r="C384" s="33"/>
      <x:c r="D384" s="33"/>
      <x:c r="E384" s="33"/>
      <x:c r="F384" s="33"/>
      <x:c r="G384" s="33"/>
      <x:c r="H384" s="33"/>
      <x:c r="I384" s="33"/>
      <x:c r="J384" s="33"/>
      <x:c r="K384" s="33"/>
      <x:c r="L384" s="33"/>
      <x:c r="M384" s="3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33"/>
      <x:c r="K385" s="33"/>
      <x:c r="L385" s="33"/>
      <x:c r="M385" s="3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>
      <x:c r="A386" s="33"/>
      <x:c r="B386" s="33"/>
      <x:c r="C386" s="33"/>
      <x:c r="D386" s="33"/>
      <x:c r="E386" s="33"/>
      <x:c r="F386" s="33"/>
      <x:c r="G386" s="33"/>
      <x:c r="H386" s="33"/>
      <x:c r="I386" s="33"/>
      <x:c r="J386" s="33"/>
      <x:c r="K386" s="33"/>
      <x:c r="L386" s="33"/>
      <x:c r="M386" s="3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>
      <x:c r="A387" s="33"/>
      <x:c r="B387" s="33"/>
      <x:c r="C387" s="33"/>
      <x:c r="D387" s="33"/>
      <x:c r="E387" s="33"/>
      <x:c r="F387" s="33"/>
      <x:c r="G387" s="33"/>
      <x:c r="H387" s="33"/>
      <x:c r="I387" s="33"/>
      <x:c r="J387" s="33"/>
      <x:c r="K387" s="33"/>
      <x:c r="L387" s="33"/>
      <x:c r="M387" s="3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>
      <x:c r="A388" s="33"/>
      <x:c r="B388" s="33"/>
      <x:c r="C388" s="33"/>
      <x:c r="D388" s="33"/>
      <x:c r="E388" s="33"/>
      <x:c r="F388" s="33"/>
      <x:c r="G388" s="33"/>
      <x:c r="H388" s="33"/>
      <x:c r="I388" s="33"/>
      <x:c r="J388" s="33"/>
      <x:c r="K388" s="33"/>
      <x:c r="L388" s="33"/>
      <x:c r="M388" s="3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>
      <x:c r="A389" s="33"/>
      <x:c r="B389" s="33"/>
      <x:c r="C389" s="33"/>
      <x:c r="D389" s="33"/>
      <x:c r="E389" s="33"/>
      <x:c r="F389" s="33"/>
      <x:c r="G389" s="33"/>
      <x:c r="H389" s="33"/>
      <x:c r="I389" s="33"/>
      <x:c r="J389" s="33"/>
      <x:c r="K389" s="33"/>
      <x:c r="L389" s="33"/>
      <x:c r="M389" s="3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>
      <x:c r="A390" s="33"/>
      <x:c r="B390" s="33"/>
      <x:c r="C390" s="33"/>
      <x:c r="D390" s="33"/>
      <x:c r="E390" s="33"/>
      <x:c r="F390" s="33"/>
      <x:c r="G390" s="33"/>
      <x:c r="H390" s="33"/>
      <x:c r="I390" s="33"/>
      <x:c r="J390" s="33"/>
      <x:c r="K390" s="33"/>
      <x:c r="L390" s="33"/>
      <x:c r="M390" s="3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>
      <x:c r="A391" s="33"/>
      <x:c r="B391" s="33"/>
      <x:c r="C391" s="33"/>
      <x:c r="D391" s="33"/>
      <x:c r="E391" s="33"/>
      <x:c r="F391" s="33"/>
      <x:c r="G391" s="33"/>
      <x:c r="H391" s="33"/>
      <x:c r="I391" s="33"/>
      <x:c r="J391" s="33"/>
      <x:c r="K391" s="33"/>
      <x:c r="L391" s="33"/>
      <x:c r="M391" s="3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>
      <x:c r="A392" s="33"/>
      <x:c r="B392" s="33"/>
      <x:c r="C392" s="33"/>
      <x:c r="D392" s="33"/>
      <x:c r="E392" s="33"/>
      <x:c r="F392" s="33"/>
      <x:c r="G392" s="33"/>
      <x:c r="H392" s="33"/>
      <x:c r="I392" s="33"/>
      <x:c r="J392" s="33"/>
      <x:c r="K392" s="33"/>
      <x:c r="L392" s="33"/>
      <x:c r="M392" s="3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>
      <x:c r="A393" s="33"/>
      <x:c r="B393" s="33"/>
      <x:c r="C393" s="33"/>
      <x:c r="D393" s="33"/>
      <x:c r="E393" s="33"/>
      <x:c r="F393" s="33"/>
      <x:c r="G393" s="33"/>
      <x:c r="H393" s="33"/>
      <x:c r="I393" s="33"/>
      <x:c r="J393" s="33"/>
      <x:c r="K393" s="33"/>
      <x:c r="L393" s="33"/>
      <x:c r="M393" s="3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>
      <x:c r="A394" s="33"/>
      <x:c r="B394" s="33"/>
      <x:c r="C394" s="33"/>
      <x:c r="D394" s="33"/>
      <x:c r="E394" s="33"/>
      <x:c r="F394" s="33"/>
      <x:c r="G394" s="33"/>
      <x:c r="H394" s="33"/>
      <x:c r="I394" s="33"/>
      <x:c r="J394" s="33"/>
      <x:c r="K394" s="33"/>
      <x:c r="L394" s="33"/>
      <x:c r="M394" s="3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>
      <x:c r="A395" s="33"/>
      <x:c r="B395" s="33"/>
      <x:c r="C395" s="33"/>
      <x:c r="D395" s="33"/>
      <x:c r="E395" s="33"/>
      <x:c r="F395" s="33"/>
      <x:c r="G395" s="33"/>
      <x:c r="H395" s="33"/>
      <x:c r="I395" s="33"/>
      <x:c r="J395" s="33"/>
      <x:c r="K395" s="33"/>
      <x:c r="L395" s="33"/>
      <x:c r="M395" s="3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>
      <x:c r="A396" s="33"/>
      <x:c r="B396" s="33"/>
      <x:c r="C396" s="33"/>
      <x:c r="D396" s="33"/>
      <x:c r="E396" s="33"/>
      <x:c r="F396" s="33"/>
      <x:c r="G396" s="33"/>
      <x:c r="H396" s="33"/>
      <x:c r="I396" s="33"/>
      <x:c r="J396" s="33"/>
      <x:c r="K396" s="33"/>
      <x:c r="L396" s="33"/>
      <x:c r="M396" s="3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>
      <x:c r="A397" s="33"/>
      <x:c r="B397" s="33"/>
      <x:c r="C397" s="33"/>
      <x:c r="D397" s="33"/>
      <x:c r="E397" s="33"/>
      <x:c r="F397" s="33"/>
      <x:c r="G397" s="33"/>
      <x:c r="H397" s="33"/>
      <x:c r="I397" s="33"/>
      <x:c r="J397" s="33"/>
      <x:c r="K397" s="33"/>
      <x:c r="L397" s="33"/>
      <x:c r="M397" s="3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>
      <x:c r="A398" s="33"/>
      <x:c r="B398" s="33"/>
      <x:c r="C398" s="33"/>
      <x:c r="D398" s="33"/>
      <x:c r="E398" s="33"/>
      <x:c r="F398" s="33"/>
      <x:c r="G398" s="33"/>
      <x:c r="H398" s="33"/>
      <x:c r="I398" s="33"/>
      <x:c r="J398" s="33"/>
      <x:c r="K398" s="33"/>
      <x:c r="L398" s="33"/>
      <x:c r="M398" s="3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>
      <x:c r="A399" s="33"/>
      <x:c r="B399" s="33"/>
      <x:c r="C399" s="33"/>
      <x:c r="D399" s="33"/>
      <x:c r="E399" s="33"/>
      <x:c r="F399" s="33"/>
      <x:c r="G399" s="33"/>
      <x:c r="H399" s="33"/>
      <x:c r="I399" s="33"/>
      <x:c r="J399" s="33"/>
      <x:c r="K399" s="33"/>
      <x:c r="L399" s="33"/>
      <x:c r="M399" s="3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>
      <x:c r="A400" s="33"/>
      <x:c r="B400" s="33"/>
      <x:c r="C400" s="33"/>
      <x:c r="D400" s="33"/>
      <x:c r="E400" s="33"/>
      <x:c r="F400" s="33"/>
      <x:c r="G400" s="33"/>
      <x:c r="H400" s="33"/>
      <x:c r="I400" s="33"/>
      <x:c r="J400" s="33"/>
      <x:c r="K400" s="33"/>
      <x:c r="L400" s="33"/>
      <x:c r="M400" s="3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>
      <x:c r="A401" s="33"/>
      <x:c r="B401" s="33"/>
      <x:c r="C401" s="33"/>
      <x:c r="D401" s="33"/>
      <x:c r="E401" s="33"/>
      <x:c r="F401" s="33"/>
      <x:c r="G401" s="33"/>
      <x:c r="H401" s="33"/>
      <x:c r="I401" s="33"/>
      <x:c r="J401" s="33"/>
      <x:c r="K401" s="33"/>
      <x:c r="L401" s="33"/>
      <x:c r="M401" s="3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>
      <x:c r="A402" s="33"/>
      <x:c r="B402" s="33"/>
      <x:c r="C402" s="33"/>
      <x:c r="D402" s="33"/>
      <x:c r="E402" s="33"/>
      <x:c r="F402" s="33"/>
      <x:c r="G402" s="33"/>
      <x:c r="H402" s="33"/>
      <x:c r="I402" s="33"/>
      <x:c r="J402" s="33"/>
      <x:c r="K402" s="33"/>
      <x:c r="L402" s="33"/>
      <x:c r="M402" s="3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>
      <x:c r="A403" s="33"/>
      <x:c r="B403" s="33"/>
      <x:c r="C403" s="33"/>
      <x:c r="D403" s="33"/>
      <x:c r="E403" s="33"/>
      <x:c r="F403" s="33"/>
      <x:c r="G403" s="33"/>
      <x:c r="H403" s="33"/>
      <x:c r="I403" s="33"/>
      <x:c r="J403" s="33"/>
      <x:c r="K403" s="33"/>
      <x:c r="L403" s="33"/>
      <x:c r="M403" s="3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>
      <x:c r="A404" s="33"/>
      <x:c r="B404" s="33"/>
      <x:c r="C404" s="33"/>
      <x:c r="D404" s="33"/>
      <x:c r="E404" s="33"/>
      <x:c r="F404" s="33"/>
      <x:c r="G404" s="33"/>
      <x:c r="H404" s="33"/>
      <x:c r="I404" s="33"/>
      <x:c r="J404" s="33"/>
      <x:c r="K404" s="33"/>
      <x:c r="L404" s="33"/>
      <x:c r="M404" s="3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>
      <x:c r="A405" s="33"/>
      <x:c r="B405" s="33"/>
      <x:c r="C405" s="33"/>
      <x:c r="D405" s="33"/>
      <x:c r="E405" s="33"/>
      <x:c r="F405" s="33"/>
      <x:c r="G405" s="33"/>
      <x:c r="H405" s="33"/>
      <x:c r="I405" s="33"/>
      <x:c r="J405" s="33"/>
      <x:c r="K405" s="33"/>
      <x:c r="L405" s="33"/>
      <x:c r="M405" s="3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>
      <x:c r="A406" s="33"/>
      <x:c r="B406" s="33"/>
      <x:c r="C406" s="33"/>
      <x:c r="D406" s="33"/>
      <x:c r="E406" s="33"/>
      <x:c r="F406" s="33"/>
      <x:c r="G406" s="33"/>
      <x:c r="H406" s="33"/>
      <x:c r="I406" s="33"/>
      <x:c r="J406" s="33"/>
      <x:c r="K406" s="33"/>
      <x:c r="L406" s="33"/>
      <x:c r="M406" s="3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>
      <x:c r="A407" s="33"/>
      <x:c r="B407" s="33"/>
      <x:c r="C407" s="33"/>
      <x:c r="D407" s="33"/>
      <x:c r="E407" s="33"/>
      <x:c r="F407" s="33"/>
      <x:c r="G407" s="33"/>
      <x:c r="H407" s="33"/>
      <x:c r="I407" s="33"/>
      <x:c r="J407" s="33"/>
      <x:c r="K407" s="33"/>
      <x:c r="L407" s="33"/>
      <x:c r="M407" s="3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>
      <x:c r="A408" s="33"/>
      <x:c r="B408" s="33"/>
      <x:c r="C408" s="33"/>
      <x:c r="D408" s="33"/>
      <x:c r="E408" s="33"/>
      <x:c r="F408" s="33"/>
      <x:c r="G408" s="33"/>
      <x:c r="H408" s="33"/>
      <x:c r="I408" s="33"/>
      <x:c r="J408" s="33"/>
      <x:c r="K408" s="33"/>
      <x:c r="L408" s="33"/>
      <x:c r="M408" s="3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>
      <x:c r="A409" s="33"/>
      <x:c r="B409" s="33"/>
      <x:c r="C409" s="33"/>
      <x:c r="D409" s="33"/>
      <x:c r="E409" s="33"/>
      <x:c r="F409" s="33"/>
      <x:c r="G409" s="33"/>
      <x:c r="H409" s="33"/>
      <x:c r="I409" s="33"/>
      <x:c r="J409" s="33"/>
      <x:c r="K409" s="33"/>
      <x:c r="L409" s="33"/>
      <x:c r="M409" s="3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>
      <x:c r="A410" s="33"/>
      <x:c r="B410" s="33"/>
      <x:c r="C410" s="33"/>
      <x:c r="D410" s="33"/>
      <x:c r="E410" s="33"/>
      <x:c r="F410" s="33"/>
      <x:c r="G410" s="33"/>
      <x:c r="H410" s="33"/>
      <x:c r="I410" s="33"/>
      <x:c r="J410" s="33"/>
      <x:c r="K410" s="33"/>
      <x:c r="L410" s="33"/>
      <x:c r="M410" s="3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>
      <x:c r="A411" s="33"/>
      <x:c r="B411" s="33"/>
      <x:c r="C411" s="33"/>
      <x:c r="D411" s="33"/>
      <x:c r="E411" s="33"/>
      <x:c r="F411" s="33"/>
      <x:c r="G411" s="33"/>
      <x:c r="H411" s="33"/>
      <x:c r="I411" s="33"/>
      <x:c r="J411" s="33"/>
      <x:c r="K411" s="33"/>
      <x:c r="L411" s="33"/>
      <x:c r="M411" s="3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>
      <x:c r="A412" s="33"/>
      <x:c r="B412" s="33"/>
      <x:c r="C412" s="33"/>
      <x:c r="D412" s="33"/>
      <x:c r="E412" s="33"/>
      <x:c r="F412" s="33"/>
      <x:c r="G412" s="33"/>
      <x:c r="H412" s="33"/>
      <x:c r="I412" s="33"/>
      <x:c r="J412" s="33"/>
      <x:c r="K412" s="33"/>
      <x:c r="L412" s="33"/>
      <x:c r="M412" s="3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>
      <x:c r="A413" s="33"/>
      <x:c r="B413" s="33"/>
      <x:c r="C413" s="33"/>
      <x:c r="D413" s="33"/>
      <x:c r="E413" s="33"/>
      <x:c r="F413" s="33"/>
      <x:c r="G413" s="33"/>
      <x:c r="H413" s="33"/>
      <x:c r="I413" s="33"/>
      <x:c r="J413" s="33"/>
      <x:c r="K413" s="33"/>
      <x:c r="L413" s="33"/>
      <x:c r="M413" s="3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>
      <x:c r="A414" s="33"/>
      <x:c r="B414" s="33"/>
      <x:c r="C414" s="33"/>
      <x:c r="D414" s="33"/>
      <x:c r="E414" s="33"/>
      <x:c r="F414" s="33"/>
      <x:c r="G414" s="33"/>
      <x:c r="H414" s="33"/>
      <x:c r="I414" s="33"/>
      <x:c r="J414" s="33"/>
      <x:c r="K414" s="33"/>
      <x:c r="L414" s="33"/>
      <x:c r="M414" s="3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>
      <x:c r="A415" s="33"/>
      <x:c r="B415" s="33"/>
      <x:c r="C415" s="33"/>
      <x:c r="D415" s="33"/>
      <x:c r="E415" s="33"/>
      <x:c r="F415" s="33"/>
      <x:c r="G415" s="33"/>
      <x:c r="H415" s="33"/>
      <x:c r="I415" s="33"/>
      <x:c r="J415" s="33"/>
      <x:c r="K415" s="33"/>
      <x:c r="L415" s="33"/>
      <x:c r="M415" s="3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>
      <x:c r="A416" s="33"/>
      <x:c r="B416" s="33"/>
      <x:c r="C416" s="33"/>
      <x:c r="D416" s="33"/>
      <x:c r="E416" s="33"/>
      <x:c r="F416" s="33"/>
      <x:c r="G416" s="33"/>
      <x:c r="H416" s="33"/>
      <x:c r="I416" s="33"/>
      <x:c r="J416" s="33"/>
      <x:c r="K416" s="33"/>
      <x:c r="L416" s="33"/>
      <x:c r="M416" s="3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>
      <x:c r="A417" s="33"/>
      <x:c r="B417" s="33"/>
      <x:c r="C417" s="33"/>
      <x:c r="D417" s="33"/>
      <x:c r="E417" s="33"/>
      <x:c r="F417" s="33"/>
      <x:c r="G417" s="33"/>
      <x:c r="H417" s="33"/>
      <x:c r="I417" s="33"/>
      <x:c r="J417" s="33"/>
      <x:c r="K417" s="33"/>
      <x:c r="L417" s="33"/>
      <x:c r="M417" s="3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>
      <x:c r="A418" s="33"/>
      <x:c r="B418" s="33"/>
      <x:c r="C418" s="33"/>
      <x:c r="D418" s="33"/>
      <x:c r="E418" s="33"/>
      <x:c r="F418" s="33"/>
      <x:c r="G418" s="33"/>
      <x:c r="H418" s="33"/>
      <x:c r="I418" s="33"/>
      <x:c r="J418" s="33"/>
      <x:c r="K418" s="33"/>
      <x:c r="L418" s="33"/>
      <x:c r="M418" s="3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>
      <x:c r="A419" s="33"/>
      <x:c r="B419" s="33"/>
      <x:c r="C419" s="33"/>
      <x:c r="D419" s="33"/>
      <x:c r="E419" s="33"/>
      <x:c r="F419" s="33"/>
      <x:c r="G419" s="33"/>
      <x:c r="H419" s="33"/>
      <x:c r="I419" s="33"/>
      <x:c r="J419" s="33"/>
      <x:c r="K419" s="33"/>
      <x:c r="L419" s="33"/>
      <x:c r="M419" s="3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>
      <x:c r="A420" s="33"/>
      <x:c r="B420" s="33"/>
      <x:c r="C420" s="33"/>
      <x:c r="D420" s="33"/>
      <x:c r="E420" s="33"/>
      <x:c r="F420" s="33"/>
      <x:c r="G420" s="33"/>
      <x:c r="H420" s="33"/>
      <x:c r="I420" s="33"/>
      <x:c r="J420" s="33"/>
      <x:c r="K420" s="33"/>
      <x:c r="L420" s="33"/>
      <x:c r="M420" s="3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>
      <x:c r="A421" s="33"/>
      <x:c r="B421" s="33"/>
      <x:c r="C421" s="33"/>
      <x:c r="D421" s="33"/>
      <x:c r="E421" s="33"/>
      <x:c r="F421" s="33"/>
      <x:c r="G421" s="33"/>
      <x:c r="H421" s="33"/>
      <x:c r="I421" s="33"/>
      <x:c r="J421" s="33"/>
      <x:c r="K421" s="33"/>
      <x:c r="L421" s="33"/>
      <x:c r="M421" s="3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>
      <x:c r="A422" s="33"/>
      <x:c r="B422" s="33"/>
      <x:c r="C422" s="33"/>
      <x:c r="D422" s="33"/>
      <x:c r="E422" s="33"/>
      <x:c r="F422" s="33"/>
      <x:c r="G422" s="33"/>
      <x:c r="H422" s="33"/>
      <x:c r="I422" s="33"/>
      <x:c r="J422" s="33"/>
      <x:c r="K422" s="33"/>
      <x:c r="L422" s="33"/>
      <x:c r="M422" s="3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>
      <x:c r="A423" s="33"/>
      <x:c r="B423" s="33"/>
      <x:c r="C423" s="33"/>
      <x:c r="D423" s="33"/>
      <x:c r="E423" s="33"/>
      <x:c r="F423" s="33"/>
      <x:c r="G423" s="33"/>
      <x:c r="H423" s="33"/>
      <x:c r="I423" s="33"/>
      <x:c r="J423" s="33"/>
      <x:c r="K423" s="33"/>
      <x:c r="L423" s="33"/>
      <x:c r="M423" s="3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>
      <x:c r="A424" s="33"/>
      <x:c r="B424" s="33"/>
      <x:c r="C424" s="33"/>
      <x:c r="D424" s="33"/>
      <x:c r="E424" s="33"/>
      <x:c r="F424" s="33"/>
      <x:c r="G424" s="33"/>
      <x:c r="H424" s="33"/>
      <x:c r="I424" s="33"/>
      <x:c r="J424" s="33"/>
      <x:c r="K424" s="33"/>
      <x:c r="L424" s="33"/>
      <x:c r="M424" s="3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>
      <x:c r="A425" s="33"/>
      <x:c r="B425" s="33"/>
      <x:c r="C425" s="33"/>
      <x:c r="D425" s="33"/>
      <x:c r="E425" s="33"/>
      <x:c r="F425" s="33"/>
      <x:c r="G425" s="33"/>
      <x:c r="H425" s="33"/>
      <x:c r="I425" s="33"/>
      <x:c r="J425" s="33"/>
      <x:c r="K425" s="33"/>
      <x:c r="L425" s="33"/>
      <x:c r="M425" s="3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>
      <x:c r="A426" s="33"/>
      <x:c r="B426" s="33"/>
      <x:c r="C426" s="33"/>
      <x:c r="D426" s="33"/>
      <x:c r="E426" s="33"/>
      <x:c r="F426" s="33"/>
      <x:c r="G426" s="33"/>
      <x:c r="H426" s="33"/>
      <x:c r="I426" s="33"/>
      <x:c r="J426" s="33"/>
      <x:c r="K426" s="33"/>
      <x:c r="L426" s="33"/>
      <x:c r="M426" s="3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>
      <x:c r="A427" s="33"/>
      <x:c r="B427" s="33"/>
      <x:c r="C427" s="33"/>
      <x:c r="D427" s="33"/>
      <x:c r="E427" s="33"/>
      <x:c r="F427" s="33"/>
      <x:c r="G427" s="33"/>
      <x:c r="H427" s="33"/>
      <x:c r="I427" s="33"/>
      <x:c r="J427" s="33"/>
      <x:c r="K427" s="33"/>
      <x:c r="L427" s="33"/>
      <x:c r="M427" s="3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>
      <x:c r="A428" s="33"/>
      <x:c r="B428" s="33"/>
      <x:c r="C428" s="33"/>
      <x:c r="D428" s="33"/>
      <x:c r="E428" s="33"/>
      <x:c r="F428" s="33"/>
      <x:c r="G428" s="33"/>
      <x:c r="H428" s="33"/>
      <x:c r="I428" s="33"/>
      <x:c r="J428" s="33"/>
      <x:c r="K428" s="33"/>
      <x:c r="L428" s="33"/>
      <x:c r="M428" s="3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>
      <x:c r="A429" s="33"/>
      <x:c r="B429" s="33"/>
      <x:c r="C429" s="33"/>
      <x:c r="D429" s="33"/>
      <x:c r="E429" s="33"/>
      <x:c r="F429" s="33"/>
      <x:c r="G429" s="33"/>
      <x:c r="H429" s="33"/>
      <x:c r="I429" s="33"/>
      <x:c r="J429" s="33"/>
      <x:c r="K429" s="33"/>
      <x:c r="L429" s="33"/>
      <x:c r="M429" s="3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>
      <x:c r="A430" s="33"/>
      <x:c r="B430" s="33"/>
      <x:c r="C430" s="33"/>
      <x:c r="D430" s="33"/>
      <x:c r="E430" s="33"/>
      <x:c r="F430" s="33"/>
      <x:c r="G430" s="33"/>
      <x:c r="H430" s="33"/>
      <x:c r="I430" s="33"/>
      <x:c r="J430" s="33"/>
      <x:c r="K430" s="33"/>
      <x:c r="L430" s="33"/>
      <x:c r="M430" s="3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>
      <x:c r="A431" s="33"/>
      <x:c r="B431" s="33"/>
      <x:c r="C431" s="33"/>
      <x:c r="D431" s="33"/>
      <x:c r="E431" s="33"/>
      <x:c r="F431" s="33"/>
      <x:c r="G431" s="33"/>
      <x:c r="H431" s="33"/>
      <x:c r="I431" s="33"/>
      <x:c r="J431" s="33"/>
      <x:c r="K431" s="33"/>
      <x:c r="L431" s="33"/>
      <x:c r="M431" s="3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>
      <x:c r="A432" s="33"/>
      <x:c r="B432" s="33"/>
      <x:c r="C432" s="33"/>
      <x:c r="D432" s="33"/>
      <x:c r="E432" s="33"/>
      <x:c r="F432" s="33"/>
      <x:c r="G432" s="33"/>
      <x:c r="H432" s="33"/>
      <x:c r="I432" s="33"/>
      <x:c r="J432" s="33"/>
      <x:c r="K432" s="33"/>
      <x:c r="L432" s="33"/>
      <x:c r="M432" s="3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>
      <x:c r="A433" s="33"/>
      <x:c r="B433" s="33"/>
      <x:c r="C433" s="33"/>
      <x:c r="D433" s="33"/>
      <x:c r="E433" s="33"/>
      <x:c r="F433" s="33"/>
      <x:c r="G433" s="33"/>
      <x:c r="H433" s="33"/>
      <x:c r="I433" s="33"/>
      <x:c r="J433" s="33"/>
      <x:c r="K433" s="33"/>
      <x:c r="L433" s="33"/>
      <x:c r="M433" s="3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>
      <x:c r="A434" s="33"/>
      <x:c r="B434" s="33"/>
      <x:c r="C434" s="33"/>
      <x:c r="D434" s="33"/>
      <x:c r="E434" s="33"/>
      <x:c r="F434" s="33"/>
      <x:c r="G434" s="33"/>
      <x:c r="H434" s="33"/>
      <x:c r="I434" s="33"/>
      <x:c r="J434" s="33"/>
      <x:c r="K434" s="33"/>
      <x:c r="L434" s="33"/>
      <x:c r="M434" s="3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>
      <x:c r="A435" s="33"/>
      <x:c r="B435" s="33"/>
      <x:c r="C435" s="33"/>
      <x:c r="D435" s="33"/>
      <x:c r="E435" s="33"/>
      <x:c r="F435" s="33"/>
      <x:c r="G435" s="33"/>
      <x:c r="H435" s="33"/>
      <x:c r="I435" s="33"/>
      <x:c r="J435" s="33"/>
      <x:c r="K435" s="33"/>
      <x:c r="L435" s="33"/>
      <x:c r="M435" s="3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>
      <x:c r="A436" s="33"/>
      <x:c r="B436" s="33"/>
      <x:c r="C436" s="33"/>
      <x:c r="D436" s="33"/>
      <x:c r="E436" s="33"/>
      <x:c r="F436" s="33"/>
      <x:c r="G436" s="33"/>
      <x:c r="H436" s="33"/>
      <x:c r="I436" s="33"/>
      <x:c r="J436" s="33"/>
      <x:c r="K436" s="33"/>
      <x:c r="L436" s="33"/>
      <x:c r="M436" s="3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>
      <x:c r="A437" s="33"/>
      <x:c r="B437" s="33"/>
      <x:c r="C437" s="33"/>
      <x:c r="D437" s="33"/>
      <x:c r="E437" s="33"/>
      <x:c r="F437" s="33"/>
      <x:c r="G437" s="33"/>
      <x:c r="H437" s="33"/>
      <x:c r="I437" s="33"/>
      <x:c r="J437" s="33"/>
      <x:c r="K437" s="33"/>
      <x:c r="L437" s="33"/>
      <x:c r="M437" s="3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>
      <x:c r="A438" s="33"/>
      <x:c r="B438" s="33"/>
      <x:c r="C438" s="33"/>
      <x:c r="D438" s="33"/>
      <x:c r="E438" s="33"/>
      <x:c r="F438" s="33"/>
      <x:c r="G438" s="33"/>
      <x:c r="H438" s="33"/>
      <x:c r="I438" s="33"/>
      <x:c r="J438" s="33"/>
      <x:c r="K438" s="33"/>
      <x:c r="L438" s="33"/>
      <x:c r="M438" s="3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>
      <x:c r="A439" s="33"/>
      <x:c r="B439" s="33"/>
      <x:c r="C439" s="33"/>
      <x:c r="D439" s="33"/>
      <x:c r="E439" s="33"/>
      <x:c r="F439" s="33"/>
      <x:c r="G439" s="33"/>
      <x:c r="H439" s="33"/>
      <x:c r="I439" s="33"/>
      <x:c r="J439" s="33"/>
      <x:c r="K439" s="33"/>
      <x:c r="L439" s="33"/>
      <x:c r="M439" s="3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>
      <x:c r="A440" s="33"/>
      <x:c r="B440" s="33"/>
      <x:c r="C440" s="33"/>
      <x:c r="D440" s="33"/>
      <x:c r="E440" s="33"/>
      <x:c r="F440" s="33"/>
      <x:c r="G440" s="33"/>
      <x:c r="H440" s="33"/>
      <x:c r="I440" s="33"/>
      <x:c r="J440" s="33"/>
      <x:c r="K440" s="33"/>
      <x:c r="L440" s="33"/>
      <x:c r="M440" s="3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>
      <x:c r="A441" s="33"/>
      <x:c r="B441" s="33"/>
      <x:c r="C441" s="33"/>
      <x:c r="D441" s="33"/>
      <x:c r="E441" s="33"/>
      <x:c r="F441" s="33"/>
      <x:c r="G441" s="33"/>
      <x:c r="H441" s="33"/>
      <x:c r="I441" s="33"/>
      <x:c r="J441" s="33"/>
      <x:c r="K441" s="33"/>
      <x:c r="L441" s="33"/>
      <x:c r="M441" s="3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>
      <x:c r="A442" s="33"/>
      <x:c r="B442" s="33"/>
      <x:c r="C442" s="33"/>
      <x:c r="D442" s="33"/>
      <x:c r="E442" s="33"/>
      <x:c r="F442" s="33"/>
      <x:c r="G442" s="33"/>
      <x:c r="H442" s="33"/>
      <x:c r="I442" s="33"/>
      <x:c r="J442" s="33"/>
      <x:c r="K442" s="33"/>
      <x:c r="L442" s="33"/>
      <x:c r="M442" s="3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>
      <x:c r="A443" s="33"/>
      <x:c r="B443" s="33"/>
      <x:c r="C443" s="33"/>
      <x:c r="D443" s="33"/>
      <x:c r="E443" s="33"/>
      <x:c r="F443" s="33"/>
      <x:c r="G443" s="33"/>
      <x:c r="H443" s="33"/>
      <x:c r="I443" s="33"/>
      <x:c r="J443" s="33"/>
      <x:c r="K443" s="33"/>
      <x:c r="L443" s="33"/>
      <x:c r="M443" s="3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>
      <x:c r="A444" s="33"/>
      <x:c r="B444" s="33"/>
      <x:c r="C444" s="33"/>
      <x:c r="D444" s="33"/>
      <x:c r="E444" s="33"/>
      <x:c r="F444" s="33"/>
      <x:c r="G444" s="33"/>
      <x:c r="H444" s="33"/>
      <x:c r="I444" s="33"/>
      <x:c r="J444" s="33"/>
      <x:c r="K444" s="33"/>
      <x:c r="L444" s="33"/>
      <x:c r="M444" s="3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>
      <x:c r="A445" s="33"/>
      <x:c r="B445" s="33"/>
      <x:c r="C445" s="33"/>
      <x:c r="D445" s="33"/>
      <x:c r="E445" s="33"/>
      <x:c r="F445" s="33"/>
      <x:c r="G445" s="33"/>
      <x:c r="H445" s="33"/>
      <x:c r="I445" s="33"/>
      <x:c r="J445" s="33"/>
      <x:c r="K445" s="33"/>
      <x:c r="L445" s="33"/>
      <x:c r="M445" s="3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>
      <x:c r="A446" s="33"/>
      <x:c r="B446" s="33"/>
      <x:c r="C446" s="33"/>
      <x:c r="D446" s="33"/>
      <x:c r="E446" s="33"/>
      <x:c r="F446" s="33"/>
      <x:c r="G446" s="33"/>
      <x:c r="H446" s="33"/>
      <x:c r="I446" s="33"/>
      <x:c r="J446" s="33"/>
      <x:c r="K446" s="33"/>
      <x:c r="L446" s="33"/>
      <x:c r="M446" s="3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>
      <x:c r="A447" s="33"/>
      <x:c r="B447" s="33"/>
      <x:c r="C447" s="33"/>
      <x:c r="D447" s="33"/>
      <x:c r="E447" s="33"/>
      <x:c r="F447" s="33"/>
      <x:c r="G447" s="33"/>
      <x:c r="H447" s="33"/>
      <x:c r="I447" s="33"/>
      <x:c r="J447" s="33"/>
      <x:c r="K447" s="33"/>
      <x:c r="L447" s="33"/>
      <x:c r="M447" s="3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>
      <x:c r="A448" s="33"/>
      <x:c r="B448" s="33"/>
      <x:c r="C448" s="33"/>
      <x:c r="D448" s="33"/>
      <x:c r="E448" s="33"/>
      <x:c r="F448" s="33"/>
      <x:c r="G448" s="33"/>
      <x:c r="H448" s="33"/>
      <x:c r="I448" s="33"/>
      <x:c r="J448" s="33"/>
      <x:c r="K448" s="33"/>
      <x:c r="L448" s="33"/>
      <x:c r="M448" s="3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>
      <x:c r="A449" s="33"/>
      <x:c r="B449" s="33"/>
      <x:c r="C449" s="33"/>
      <x:c r="D449" s="33"/>
      <x:c r="E449" s="33"/>
      <x:c r="F449" s="33"/>
      <x:c r="G449" s="33"/>
      <x:c r="H449" s="33"/>
      <x:c r="I449" s="33"/>
      <x:c r="J449" s="33"/>
      <x:c r="K449" s="33"/>
      <x:c r="L449" s="33"/>
      <x:c r="M449" s="3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>
      <x:c r="A450" s="33"/>
      <x:c r="B450" s="33"/>
      <x:c r="C450" s="33"/>
      <x:c r="D450" s="33"/>
      <x:c r="E450" s="33"/>
      <x:c r="F450" s="33"/>
      <x:c r="G450" s="33"/>
      <x:c r="H450" s="33"/>
      <x:c r="I450" s="33"/>
      <x:c r="J450" s="33"/>
      <x:c r="K450" s="33"/>
      <x:c r="L450" s="33"/>
      <x:c r="M450" s="3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>
      <x:c r="A451" s="33"/>
      <x:c r="B451" s="33"/>
      <x:c r="C451" s="33"/>
      <x:c r="D451" s="33"/>
      <x:c r="E451" s="33"/>
      <x:c r="F451" s="33"/>
      <x:c r="G451" s="33"/>
      <x:c r="H451" s="33"/>
      <x:c r="I451" s="33"/>
      <x:c r="J451" s="33"/>
      <x:c r="K451" s="33"/>
      <x:c r="L451" s="33"/>
      <x:c r="M451" s="3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>
      <x:c r="A452" s="33"/>
      <x:c r="B452" s="33"/>
      <x:c r="C452" s="33"/>
      <x:c r="D452" s="33"/>
      <x:c r="E452" s="33"/>
      <x:c r="F452" s="33"/>
      <x:c r="G452" s="33"/>
      <x:c r="H452" s="33"/>
      <x:c r="I452" s="33"/>
      <x:c r="J452" s="33"/>
      <x:c r="K452" s="33"/>
      <x:c r="L452" s="33"/>
      <x:c r="M452" s="3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>
      <x:c r="A453" s="33"/>
      <x:c r="B453" s="33"/>
      <x:c r="C453" s="33"/>
      <x:c r="D453" s="33"/>
      <x:c r="E453" s="33"/>
      <x:c r="F453" s="33"/>
      <x:c r="G453" s="33"/>
      <x:c r="H453" s="33"/>
      <x:c r="I453" s="33"/>
      <x:c r="J453" s="33"/>
      <x:c r="K453" s="33"/>
      <x:c r="L453" s="33"/>
      <x:c r="M453" s="3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>
      <x:c r="A454" s="33"/>
      <x:c r="B454" s="33"/>
      <x:c r="C454" s="33"/>
      <x:c r="D454" s="33"/>
      <x:c r="E454" s="33"/>
      <x:c r="F454" s="33"/>
      <x:c r="G454" s="33"/>
      <x:c r="H454" s="33"/>
      <x:c r="I454" s="33"/>
      <x:c r="J454" s="33"/>
      <x:c r="K454" s="33"/>
      <x:c r="L454" s="33"/>
      <x:c r="M454" s="3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>
      <x:c r="A455" s="33"/>
      <x:c r="B455" s="33"/>
      <x:c r="C455" s="33"/>
      <x:c r="D455" s="33"/>
      <x:c r="E455" s="33"/>
      <x:c r="F455" s="33"/>
      <x:c r="G455" s="33"/>
      <x:c r="H455" s="33"/>
      <x:c r="I455" s="33"/>
      <x:c r="J455" s="33"/>
      <x:c r="K455" s="33"/>
      <x:c r="L455" s="33"/>
      <x:c r="M455" s="3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>
      <x:c r="A456" s="33"/>
      <x:c r="B456" s="33"/>
      <x:c r="C456" s="33"/>
      <x:c r="D456" s="33"/>
      <x:c r="E456" s="33"/>
      <x:c r="F456" s="33"/>
      <x:c r="G456" s="33"/>
      <x:c r="H456" s="33"/>
      <x:c r="I456" s="33"/>
      <x:c r="J456" s="33"/>
      <x:c r="K456" s="33"/>
      <x:c r="L456" s="33"/>
      <x:c r="M456" s="3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>
      <x:c r="A457" s="33"/>
      <x:c r="B457" s="33"/>
      <x:c r="C457" s="33"/>
      <x:c r="D457" s="33"/>
      <x:c r="E457" s="33"/>
      <x:c r="F457" s="33"/>
      <x:c r="G457" s="33"/>
      <x:c r="H457" s="33"/>
      <x:c r="I457" s="33"/>
      <x:c r="J457" s="33"/>
      <x:c r="K457" s="33"/>
      <x:c r="L457" s="33"/>
      <x:c r="M457" s="3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>
      <x:c r="A458" s="33"/>
      <x:c r="B458" s="33"/>
      <x:c r="C458" s="33"/>
      <x:c r="D458" s="33"/>
      <x:c r="E458" s="33"/>
      <x:c r="F458" s="33"/>
      <x:c r="G458" s="33"/>
      <x:c r="H458" s="33"/>
      <x:c r="I458" s="33"/>
      <x:c r="J458" s="33"/>
      <x:c r="K458" s="33"/>
      <x:c r="L458" s="33"/>
      <x:c r="M458" s="3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>
      <x:c r="A459" s="33"/>
      <x:c r="B459" s="33"/>
      <x:c r="C459" s="33"/>
      <x:c r="D459" s="33"/>
      <x:c r="E459" s="33"/>
      <x:c r="F459" s="33"/>
      <x:c r="G459" s="33"/>
      <x:c r="H459" s="33"/>
      <x:c r="I459" s="33"/>
      <x:c r="J459" s="33"/>
      <x:c r="K459" s="33"/>
      <x:c r="L459" s="33"/>
      <x:c r="M459" s="3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>
      <x:c r="A460" s="33"/>
      <x:c r="B460" s="33"/>
      <x:c r="C460" s="33"/>
      <x:c r="D460" s="33"/>
      <x:c r="E460" s="33"/>
      <x:c r="F460" s="33"/>
      <x:c r="G460" s="33"/>
      <x:c r="H460" s="33"/>
      <x:c r="I460" s="33"/>
      <x:c r="J460" s="33"/>
      <x:c r="K460" s="33"/>
      <x:c r="L460" s="33"/>
      <x:c r="M460" s="3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>
      <x:c r="A461" s="33"/>
      <x:c r="B461" s="33"/>
      <x:c r="C461" s="33"/>
      <x:c r="D461" s="33"/>
      <x:c r="E461" s="33"/>
      <x:c r="F461" s="33"/>
      <x:c r="G461" s="33"/>
      <x:c r="H461" s="33"/>
      <x:c r="I461" s="33"/>
      <x:c r="J461" s="33"/>
      <x:c r="K461" s="33"/>
      <x:c r="L461" s="33"/>
      <x:c r="M461" s="3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>
      <x:c r="A462" s="33"/>
      <x:c r="B462" s="33"/>
      <x:c r="C462" s="33"/>
      <x:c r="D462" s="33"/>
      <x:c r="E462" s="33"/>
      <x:c r="F462" s="33"/>
      <x:c r="G462" s="33"/>
      <x:c r="H462" s="33"/>
      <x:c r="I462" s="33"/>
      <x:c r="J462" s="33"/>
      <x:c r="K462" s="33"/>
      <x:c r="L462" s="33"/>
      <x:c r="M462" s="3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>
      <x:c r="A463" s="33"/>
      <x:c r="B463" s="33"/>
      <x:c r="C463" s="33"/>
      <x:c r="D463" s="33"/>
      <x:c r="E463" s="33"/>
      <x:c r="F463" s="33"/>
      <x:c r="G463" s="33"/>
      <x:c r="H463" s="33"/>
      <x:c r="I463" s="33"/>
      <x:c r="J463" s="33"/>
      <x:c r="K463" s="33"/>
      <x:c r="L463" s="33"/>
      <x:c r="M463" s="3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>
      <x:c r="A464" s="33"/>
      <x:c r="B464" s="33"/>
      <x:c r="C464" s="33"/>
      <x:c r="D464" s="33"/>
      <x:c r="E464" s="33"/>
      <x:c r="F464" s="33"/>
      <x:c r="G464" s="33"/>
      <x:c r="H464" s="33"/>
      <x:c r="I464" s="33"/>
      <x:c r="J464" s="33"/>
      <x:c r="K464" s="33"/>
      <x:c r="L464" s="33"/>
      <x:c r="M464" s="3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>
      <x:c r="A465" s="33"/>
      <x:c r="B465" s="33"/>
      <x:c r="C465" s="33"/>
      <x:c r="D465" s="33"/>
      <x:c r="E465" s="33"/>
      <x:c r="F465" s="33"/>
      <x:c r="G465" s="33"/>
      <x:c r="H465" s="33"/>
      <x:c r="I465" s="33"/>
      <x:c r="J465" s="33"/>
      <x:c r="K465" s="33"/>
      <x:c r="L465" s="33"/>
      <x:c r="M465" s="3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>
      <x:c r="A466" s="33"/>
      <x:c r="B466" s="33"/>
      <x:c r="C466" s="33"/>
      <x:c r="D466" s="33"/>
      <x:c r="E466" s="33"/>
      <x:c r="F466" s="33"/>
      <x:c r="G466" s="33"/>
      <x:c r="H466" s="33"/>
      <x:c r="I466" s="33"/>
      <x:c r="J466" s="33"/>
      <x:c r="K466" s="33"/>
      <x:c r="L466" s="33"/>
      <x:c r="M466" s="3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>
      <x:c r="A467" s="33"/>
      <x:c r="B467" s="33"/>
      <x:c r="C467" s="33"/>
      <x:c r="D467" s="33"/>
      <x:c r="E467" s="33"/>
      <x:c r="F467" s="33"/>
      <x:c r="G467" s="33"/>
      <x:c r="H467" s="33"/>
      <x:c r="I467" s="33"/>
      <x:c r="J467" s="33"/>
      <x:c r="K467" s="33"/>
      <x:c r="L467" s="33"/>
      <x:c r="M467" s="3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>
      <x:c r="A468" s="33"/>
      <x:c r="B468" s="33"/>
      <x:c r="C468" s="33"/>
      <x:c r="D468" s="33"/>
      <x:c r="E468" s="33"/>
      <x:c r="F468" s="33"/>
      <x:c r="G468" s="33"/>
      <x:c r="H468" s="33"/>
      <x:c r="I468" s="33"/>
      <x:c r="J468" s="33"/>
      <x:c r="K468" s="33"/>
      <x:c r="L468" s="33"/>
      <x:c r="M468" s="3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>
      <x:c r="A469" s="33"/>
      <x:c r="B469" s="33"/>
      <x:c r="C469" s="33"/>
      <x:c r="D469" s="33"/>
      <x:c r="E469" s="33"/>
      <x:c r="F469" s="33"/>
      <x:c r="G469" s="33"/>
      <x:c r="H469" s="33"/>
      <x:c r="I469" s="33"/>
      <x:c r="J469" s="33"/>
      <x:c r="K469" s="33"/>
      <x:c r="L469" s="33"/>
      <x:c r="M469" s="3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>
      <x:c r="A470" s="33"/>
      <x:c r="B470" s="33"/>
      <x:c r="C470" s="33"/>
      <x:c r="D470" s="33"/>
      <x:c r="E470" s="33"/>
      <x:c r="F470" s="33"/>
      <x:c r="G470" s="33"/>
      <x:c r="H470" s="33"/>
      <x:c r="I470" s="33"/>
      <x:c r="J470" s="33"/>
      <x:c r="K470" s="33"/>
      <x:c r="L470" s="33"/>
      <x:c r="M470" s="3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>
      <x:c r="A471" s="33"/>
      <x:c r="B471" s="33"/>
      <x:c r="C471" s="33"/>
      <x:c r="D471" s="33"/>
      <x:c r="E471" s="33"/>
      <x:c r="F471" s="33"/>
      <x:c r="G471" s="33"/>
      <x:c r="H471" s="33"/>
      <x:c r="I471" s="33"/>
      <x:c r="J471" s="33"/>
      <x:c r="K471" s="33"/>
      <x:c r="L471" s="33"/>
      <x:c r="M471" s="3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>
      <x:c r="A472" s="33"/>
      <x:c r="B472" s="33"/>
      <x:c r="C472" s="33"/>
      <x:c r="D472" s="33"/>
      <x:c r="E472" s="33"/>
      <x:c r="F472" s="33"/>
      <x:c r="G472" s="33"/>
      <x:c r="H472" s="33"/>
      <x:c r="I472" s="33"/>
      <x:c r="J472" s="33"/>
      <x:c r="K472" s="33"/>
      <x:c r="L472" s="33"/>
      <x:c r="M472" s="3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>
      <x:c r="A473" s="33"/>
      <x:c r="B473" s="33"/>
      <x:c r="C473" s="33"/>
      <x:c r="D473" s="33"/>
      <x:c r="E473" s="33"/>
      <x:c r="F473" s="33"/>
      <x:c r="G473" s="33"/>
      <x:c r="H473" s="33"/>
      <x:c r="I473" s="33"/>
      <x:c r="J473" s="33"/>
      <x:c r="K473" s="33"/>
      <x:c r="L473" s="33"/>
      <x:c r="M473" s="3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>
      <x:c r="A474" s="33"/>
      <x:c r="B474" s="33"/>
      <x:c r="C474" s="33"/>
      <x:c r="D474" s="33"/>
      <x:c r="E474" s="33"/>
      <x:c r="F474" s="33"/>
      <x:c r="G474" s="33"/>
      <x:c r="H474" s="33"/>
      <x:c r="I474" s="33"/>
      <x:c r="J474" s="33"/>
      <x:c r="K474" s="33"/>
      <x:c r="L474" s="33"/>
      <x:c r="M474" s="3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>
      <x:c r="A475" s="33"/>
      <x:c r="B475" s="33"/>
      <x:c r="C475" s="33"/>
      <x:c r="D475" s="33"/>
      <x:c r="E475" s="33"/>
      <x:c r="F475" s="33"/>
      <x:c r="G475" s="33"/>
      <x:c r="H475" s="33"/>
      <x:c r="I475" s="33"/>
      <x:c r="J475" s="33"/>
      <x:c r="K475" s="33"/>
      <x:c r="L475" s="33"/>
      <x:c r="M475" s="3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>
      <x:c r="A476" s="33"/>
      <x:c r="B476" s="33"/>
      <x:c r="C476" s="33"/>
      <x:c r="D476" s="33"/>
      <x:c r="E476" s="33"/>
      <x:c r="F476" s="33"/>
      <x:c r="G476" s="33"/>
      <x:c r="H476" s="33"/>
      <x:c r="I476" s="33"/>
      <x:c r="J476" s="33"/>
      <x:c r="K476" s="33"/>
      <x:c r="L476" s="33"/>
      <x:c r="M476" s="3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>
      <x:c r="A477" s="33"/>
      <x:c r="B477" s="33"/>
      <x:c r="C477" s="33"/>
      <x:c r="D477" s="33"/>
      <x:c r="E477" s="33"/>
      <x:c r="F477" s="33"/>
      <x:c r="G477" s="33"/>
      <x:c r="H477" s="33"/>
      <x:c r="I477" s="33"/>
      <x:c r="J477" s="33"/>
      <x:c r="K477" s="33"/>
      <x:c r="L477" s="33"/>
      <x:c r="M477" s="3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>
      <x:c r="A478" s="33"/>
      <x:c r="B478" s="33"/>
      <x:c r="C478" s="33"/>
      <x:c r="D478" s="33"/>
      <x:c r="E478" s="33"/>
      <x:c r="F478" s="33"/>
      <x:c r="G478" s="33"/>
      <x:c r="H478" s="33"/>
      <x:c r="I478" s="33"/>
      <x:c r="J478" s="33"/>
      <x:c r="K478" s="33"/>
      <x:c r="L478" s="33"/>
      <x:c r="M478" s="3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>
      <x:c r="A479" s="33"/>
      <x:c r="B479" s="33"/>
      <x:c r="C479" s="33"/>
      <x:c r="D479" s="33"/>
      <x:c r="E479" s="33"/>
      <x:c r="F479" s="33"/>
      <x:c r="G479" s="33"/>
      <x:c r="H479" s="33"/>
      <x:c r="I479" s="33"/>
      <x:c r="J479" s="33"/>
      <x:c r="K479" s="33"/>
      <x:c r="L479" s="33"/>
      <x:c r="M479" s="3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>
      <x:c r="A480" s="33"/>
      <x:c r="B480" s="33"/>
      <x:c r="C480" s="33"/>
      <x:c r="D480" s="33"/>
      <x:c r="E480" s="33"/>
      <x:c r="F480" s="33"/>
      <x:c r="G480" s="33"/>
      <x:c r="H480" s="33"/>
      <x:c r="I480" s="33"/>
      <x:c r="J480" s="33"/>
      <x:c r="K480" s="33"/>
      <x:c r="L480" s="33"/>
      <x:c r="M480" s="3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>
      <x:c r="A481" s="33"/>
      <x:c r="B481" s="33"/>
      <x:c r="C481" s="33"/>
      <x:c r="D481" s="33"/>
      <x:c r="E481" s="33"/>
      <x:c r="F481" s="33"/>
      <x:c r="G481" s="33"/>
      <x:c r="H481" s="33"/>
      <x:c r="I481" s="33"/>
      <x:c r="J481" s="33"/>
      <x:c r="K481" s="33"/>
      <x:c r="L481" s="33"/>
      <x:c r="M481" s="3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>
      <x:c r="A482" s="33"/>
      <x:c r="B482" s="33"/>
      <x:c r="C482" s="33"/>
      <x:c r="D482" s="33"/>
      <x:c r="E482" s="33"/>
      <x:c r="F482" s="33"/>
      <x:c r="G482" s="33"/>
      <x:c r="H482" s="33"/>
      <x:c r="I482" s="33"/>
      <x:c r="J482" s="33"/>
      <x:c r="K482" s="33"/>
      <x:c r="L482" s="33"/>
      <x:c r="M482" s="3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>
      <x:c r="A483" s="33"/>
      <x:c r="B483" s="33"/>
      <x:c r="C483" s="33"/>
      <x:c r="D483" s="33"/>
      <x:c r="E483" s="33"/>
      <x:c r="F483" s="33"/>
      <x:c r="G483" s="33"/>
      <x:c r="H483" s="33"/>
      <x:c r="I483" s="33"/>
      <x:c r="J483" s="33"/>
      <x:c r="K483" s="33"/>
      <x:c r="L483" s="33"/>
      <x:c r="M483" s="3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>
      <x:c r="A484" s="33"/>
      <x:c r="B484" s="33"/>
      <x:c r="C484" s="33"/>
      <x:c r="D484" s="33"/>
      <x:c r="E484" s="33"/>
      <x:c r="F484" s="33"/>
      <x:c r="G484" s="33"/>
      <x:c r="H484" s="33"/>
      <x:c r="I484" s="33"/>
      <x:c r="J484" s="33"/>
      <x:c r="K484" s="33"/>
      <x:c r="L484" s="33"/>
      <x:c r="M484" s="3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>
      <x:c r="A485" s="33"/>
      <x:c r="B485" s="33"/>
      <x:c r="C485" s="33"/>
      <x:c r="D485" s="33"/>
      <x:c r="E485" s="33"/>
      <x:c r="F485" s="33"/>
      <x:c r="G485" s="33"/>
      <x:c r="H485" s="33"/>
      <x:c r="I485" s="33"/>
      <x:c r="J485" s="33"/>
      <x:c r="K485" s="33"/>
      <x:c r="L485" s="33"/>
      <x:c r="M485" s="3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>
      <x:c r="A486" s="33"/>
      <x:c r="B486" s="33"/>
      <x:c r="C486" s="33"/>
      <x:c r="D486" s="33"/>
      <x:c r="E486" s="33"/>
      <x:c r="F486" s="33"/>
      <x:c r="G486" s="33"/>
      <x:c r="H486" s="33"/>
      <x:c r="I486" s="33"/>
      <x:c r="J486" s="33"/>
      <x:c r="K486" s="33"/>
      <x:c r="L486" s="33"/>
      <x:c r="M486" s="3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>
      <x:c r="A487" s="33"/>
      <x:c r="B487" s="33"/>
      <x:c r="C487" s="33"/>
      <x:c r="D487" s="33"/>
      <x:c r="E487" s="33"/>
      <x:c r="F487" s="33"/>
      <x:c r="G487" s="33"/>
      <x:c r="H487" s="33"/>
      <x:c r="I487" s="33"/>
      <x:c r="J487" s="33"/>
      <x:c r="K487" s="33"/>
      <x:c r="L487" s="33"/>
      <x:c r="M487" s="3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>
      <x:c r="A488" s="33"/>
      <x:c r="B488" s="33"/>
      <x:c r="C488" s="33"/>
      <x:c r="D488" s="33"/>
      <x:c r="E488" s="33"/>
      <x:c r="F488" s="33"/>
      <x:c r="G488" s="33"/>
      <x:c r="H488" s="33"/>
      <x:c r="I488" s="33"/>
      <x:c r="J488" s="33"/>
      <x:c r="K488" s="33"/>
      <x:c r="L488" s="33"/>
      <x:c r="M488" s="3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>
      <x:c r="A489" s="33"/>
      <x:c r="B489" s="33"/>
      <x:c r="C489" s="33"/>
      <x:c r="D489" s="33"/>
      <x:c r="E489" s="33"/>
      <x:c r="F489" s="33"/>
      <x:c r="G489" s="33"/>
      <x:c r="H489" s="33"/>
      <x:c r="I489" s="33"/>
      <x:c r="J489" s="33"/>
      <x:c r="K489" s="33"/>
      <x:c r="L489" s="33"/>
      <x:c r="M489" s="3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>
      <x:c r="A490" s="33"/>
      <x:c r="B490" s="33"/>
      <x:c r="C490" s="33"/>
      <x:c r="D490" s="33"/>
      <x:c r="E490" s="33"/>
      <x:c r="F490" s="33"/>
      <x:c r="G490" s="33"/>
      <x:c r="H490" s="33"/>
      <x:c r="I490" s="33"/>
      <x:c r="J490" s="33"/>
      <x:c r="K490" s="33"/>
      <x:c r="L490" s="33"/>
      <x:c r="M490" s="3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>
      <x:c r="A491" s="33"/>
      <x:c r="B491" s="33"/>
      <x:c r="C491" s="33"/>
      <x:c r="D491" s="33"/>
      <x:c r="E491" s="33"/>
      <x:c r="F491" s="33"/>
      <x:c r="G491" s="33"/>
      <x:c r="H491" s="33"/>
      <x:c r="I491" s="33"/>
      <x:c r="J491" s="33"/>
      <x:c r="K491" s="33"/>
      <x:c r="L491" s="33"/>
      <x:c r="M491" s="3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>
      <x:c r="A492" s="33"/>
      <x:c r="B492" s="33"/>
      <x:c r="C492" s="33"/>
      <x:c r="D492" s="33"/>
      <x:c r="E492" s="33"/>
      <x:c r="F492" s="33"/>
      <x:c r="G492" s="33"/>
      <x:c r="H492" s="33"/>
      <x:c r="I492" s="33"/>
      <x:c r="J492" s="33"/>
      <x:c r="K492" s="33"/>
      <x:c r="L492" s="33"/>
      <x:c r="M492" s="3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>
      <x:c r="A493" s="33"/>
      <x:c r="B493" s="33"/>
      <x:c r="C493" s="33"/>
      <x:c r="D493" s="33"/>
      <x:c r="E493" s="33"/>
      <x:c r="F493" s="33"/>
      <x:c r="G493" s="33"/>
      <x:c r="H493" s="33"/>
      <x:c r="I493" s="33"/>
      <x:c r="J493" s="33"/>
      <x:c r="K493" s="33"/>
      <x:c r="L493" s="33"/>
      <x:c r="M493" s="3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>
      <x:c r="A494" s="33"/>
      <x:c r="B494" s="33"/>
      <x:c r="C494" s="33"/>
      <x:c r="D494" s="33"/>
      <x:c r="E494" s="33"/>
      <x:c r="F494" s="33"/>
      <x:c r="G494" s="33"/>
      <x:c r="H494" s="33"/>
      <x:c r="I494" s="33"/>
      <x:c r="J494" s="33"/>
      <x:c r="K494" s="33"/>
      <x:c r="L494" s="33"/>
      <x:c r="M494" s="3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>
      <x:c r="A495" s="33"/>
      <x:c r="B495" s="33"/>
      <x:c r="C495" s="33"/>
      <x:c r="D495" s="33"/>
      <x:c r="E495" s="33"/>
      <x:c r="F495" s="33"/>
      <x:c r="G495" s="33"/>
      <x:c r="H495" s="33"/>
      <x:c r="I495" s="33"/>
      <x:c r="J495" s="33"/>
      <x:c r="K495" s="33"/>
      <x:c r="L495" s="33"/>
      <x:c r="M495" s="3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>
      <x:c r="A496" s="33"/>
      <x:c r="B496" s="33"/>
      <x:c r="C496" s="33"/>
      <x:c r="D496" s="33"/>
      <x:c r="E496" s="33"/>
      <x:c r="F496" s="33"/>
      <x:c r="G496" s="33"/>
      <x:c r="H496" s="33"/>
      <x:c r="I496" s="33"/>
      <x:c r="J496" s="33"/>
      <x:c r="K496" s="33"/>
      <x:c r="L496" s="33"/>
      <x:c r="M496" s="3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>
      <x:c r="A497" s="33"/>
      <x:c r="B497" s="33"/>
      <x:c r="C497" s="33"/>
      <x:c r="D497" s="33"/>
      <x:c r="E497" s="33"/>
      <x:c r="F497" s="33"/>
      <x:c r="G497" s="33"/>
      <x:c r="H497" s="33"/>
      <x:c r="I497" s="33"/>
      <x:c r="J497" s="33"/>
      <x:c r="K497" s="33"/>
      <x:c r="L497" s="33"/>
      <x:c r="M497" s="3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>
      <x:c r="A498" s="33"/>
      <x:c r="B498" s="33"/>
      <x:c r="C498" s="33"/>
      <x:c r="D498" s="33"/>
      <x:c r="E498" s="33"/>
      <x:c r="F498" s="33"/>
      <x:c r="G498" s="33"/>
      <x:c r="H498" s="33"/>
      <x:c r="I498" s="33"/>
      <x:c r="J498" s="33"/>
      <x:c r="K498" s="33"/>
      <x:c r="L498" s="33"/>
      <x:c r="M498" s="3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>
      <x:c r="A499" s="33"/>
      <x:c r="B499" s="33"/>
      <x:c r="C499" s="33"/>
      <x:c r="D499" s="33"/>
      <x:c r="E499" s="33"/>
      <x:c r="F499" s="33"/>
      <x:c r="G499" s="33"/>
      <x:c r="H499" s="33"/>
      <x:c r="I499" s="33"/>
      <x:c r="J499" s="33"/>
      <x:c r="K499" s="33"/>
      <x:c r="L499" s="33"/>
      <x:c r="M499" s="3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>
      <x:c r="A500" s="33"/>
      <x:c r="B500" s="33"/>
      <x:c r="C500" s="33"/>
      <x:c r="D500" s="33"/>
      <x:c r="E500" s="33"/>
      <x:c r="F500" s="33"/>
      <x:c r="G500" s="33"/>
      <x:c r="H500" s="33"/>
      <x:c r="I500" s="33"/>
      <x:c r="J500" s="33"/>
      <x:c r="K500" s="33"/>
      <x:c r="L500" s="33"/>
      <x:c r="M500" s="3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20" hidden="0" customWidth="1"/>
    <x:col min="5" max="5" width="16" hidden="0" customWidth="1"/>
    <x:col min="6" max="6" width="22" hidden="0" customWidth="1"/>
    <x:col min="7" max="7" width="20" hidden="0" customWidth="1"/>
  </x:cols>
  <x:sheetData>
    <x:row r="1" ht="26" customHeight="1">
      <x:c r="A1" s="3" t="str">
        <x:v>10_Kich_ban</x:v>
      </x:c>
      <x:c r="B1" s="3"/>
      <x:c r="C1" s="3"/>
      <x:c r="D1" s="3"/>
      <x:c r="E1" s="3"/>
      <x:c r="F1" s="3"/>
      <x:c r="G1" s="3"/>
    </x:row>
    <x:row r="3">
      <x:c r="A3" s="9" t="str">
        <x:v>Kịch bản</x:v>
      </x:c>
      <x:c r="B3" s="9" t="str">
        <x:v>Giá bán</x:v>
      </x:c>
      <x:c r="C3" s="9" t="str">
        <x:v>Tốc độ hấp thụ</x:v>
      </x:c>
      <x:c r="D3" s="9" t="str">
        <x:v>Chi phí xây dựng</x:v>
      </x:c>
      <x:c r="E3" s="9" t="str">
        <x:v>Lãi suất vay</x:v>
      </x:c>
      <x:c r="F3" s="9" t="str">
        <x:v>Chậm pháp lý (ngày)</x:v>
      </x:c>
      <x:c r="G3" s="9" t="str">
        <x:v>Thay đổi hạn mức</x:v>
      </x:c>
    </x:row>
    <x:row r="4">
      <x:c r="A4" s="14" t="str">
        <x:v>Cơ sở</x:v>
      </x:c>
      <x:c r="B4" s="14" t="n">
        <x:v>0</x:v>
      </x:c>
      <x:c r="C4" s="14" t="n">
        <x:v>0</x:v>
      </x:c>
      <x:c r="D4" s="14" t="n">
        <x:v>0</x:v>
      </x:c>
      <x:c r="E4" s="14" t="n">
        <x:v>0</x:v>
      </x:c>
      <x:c r="F4" s="14" t="n">
        <x:v>0</x:v>
      </x:c>
      <x:c r="G4" s="14" t="n">
        <x:v>0</x:v>
      </x:c>
    </x:row>
    <x:row r="5">
      <x:c r="A5" s="14" t="str">
        <x:v>Tích cực</x:v>
      </x:c>
      <x:c r="B5" s="14" t="n">
        <x:v>0.05</x:v>
      </x:c>
      <x:c r="C5" s="14" t="n">
        <x:v>0.1</x:v>
      </x:c>
      <x:c r="D5" s="14" t="n">
        <x:v>-0.03</x:v>
      </x:c>
      <x:c r="E5" s="14" t="n">
        <x:v>-0.01</x:v>
      </x:c>
      <x:c r="F5" s="14" t="n">
        <x:v>-30</x:v>
      </x:c>
      <x:c r="G5" s="14" t="n">
        <x:v>0.1</x:v>
      </x:c>
    </x:row>
    <x:row r="6">
      <x:c r="A6" s="14" t="str">
        <x:v>Tiêu cực</x:v>
      </x:c>
      <x:c r="B6" s="14" t="n">
        <x:v>-0.1</x:v>
      </x:c>
      <x:c r="C6" s="14" t="n">
        <x:v>-0.25</x:v>
      </x:c>
      <x:c r="D6" s="14" t="n">
        <x:v>0.07</x:v>
      </x:c>
      <x:c r="E6" s="14" t="n">
        <x:v>0.02</x:v>
      </x:c>
      <x:c r="F6" s="14" t="n">
        <x:v>90</x:v>
      </x:c>
      <x:c r="G6" s="14" t="n">
        <x:v>-0.15</x:v>
      </x:c>
    </x:row>
    <x:row r="7">
      <x:c r="A7" s="14" t="str">
        <x:v>Stress nặng</x:v>
      </x:c>
      <x:c r="B7" s="14" t="n">
        <x:v>-0.18</x:v>
      </x:c>
      <x:c r="C7" s="14" t="n">
        <x:v>-0.4</x:v>
      </x:c>
      <x:c r="D7" s="14" t="n">
        <x:v>0.12</x:v>
      </x:c>
      <x:c r="E7" s="14" t="n">
        <x:v>0.035</x:v>
      </x:c>
      <x:c r="F7" s="14" t="n">
        <x:v>180</x:v>
      </x:c>
      <x:c r="G7" s="14" t="n">
        <x:v>-0.3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24" hidden="0" customWidth="1"/>
    <x:col min="5" max="5" width="24" hidden="0" customWidth="1"/>
    <x:col min="6" max="6" width="14" hidden="0" customWidth="1"/>
    <x:col min="7" max="7" width="16" hidden="0" customWidth="1"/>
    <x:col min="8" max="8" width="20" hidden="0" customWidth="1"/>
    <x:col min="9" max="9" width="22" hidden="0" customWidth="1"/>
  </x:cols>
  <x:sheetData>
    <x:row r="1" ht="26" customHeight="1">
      <x:c r="A1" s="32" t="str">
        <x:v>11_Phan_bo_von</x:v>
      </x:c>
      <x:c r="B1" s="32"/>
      <x:c r="C1" s="32"/>
      <x:c r="D1" s="32"/>
      <x:c r="E1" s="32"/>
      <x:c r="F1" s="32"/>
      <x:c r="G1" s="32"/>
      <x:c r="H1" s="32"/>
      <x:c r="I1" s="32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4" t="str">
        <x:v>Mã dự án</x:v>
      </x:c>
      <x:c r="B3" s="34" t="str">
        <x:v>Tên dự án</x:v>
      </x:c>
      <x:c r="C3" s="34" t="str">
        <x:v>Legal readiness</x:v>
      </x:c>
      <x:c r="D3" s="34" t="str">
        <x:v>Khẩn cấp dòng tiền (1-5)</x:v>
      </x:c>
      <x:c r="E3" s="34" t="str">
        <x:v>Ưu tiên chiến lược (1-5)</x:v>
      </x:c>
      <x:c r="F3" s="34" t="str">
        <x:v>IRR proxy</x:v>
      </x:c>
      <x:c r="G3" s="34" t="str">
        <x:v>Điểm ưu tiên</x:v>
      </x:c>
      <x:c r="H3" s="34" t="str">
        <x:v>Vốn đề xuất (tỷ)</x:v>
      </x:c>
      <x:c r="I3" s="34" t="str">
        <x:v>Quyết định</x:v>
      </x:c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5" t="str">
        <x:v>DA01</x:v>
      </x:c>
      <x:c r="B4" s="35" t="str">
        <x:v>Khu đô thị Tây Hà Nội</x:v>
      </x:c>
      <x:c r="C4" s="35" t="n">
        <x:v>0.25</x:v>
      </x:c>
      <x:c r="D4" s="35" t="n">
        <x:v>5</x:v>
      </x:c>
      <x:c r="E4" s="35" t="n">
        <x:v>3</x:v>
      </x:c>
      <x:c r="F4" s="35" t="n">
        <x:v>0.3</x:v>
      </x:c>
      <x:c r="G4" s="35" t="n">
        <x:v>94.25</x:v>
      </x:c>
      <x:c r="H4" s="35" t="n">
        <x:v>0</x:v>
      </x:c>
      <x:c r="I4" s="35" t="str">
        <x:v>Chưa phân bổ</x:v>
      </x:c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5" t="str">
        <x:v>DA02</x:v>
      </x:c>
      <x:c r="B5" s="35" t="str">
        <x:v>Khu nhà ở Đông Anh</x:v>
      </x:c>
      <x:c r="C5" s="35" t="n">
        <x:v>0.68</x:v>
      </x:c>
      <x:c r="D5" s="35" t="n">
        <x:v>5</x:v>
      </x:c>
      <x:c r="E5" s="35" t="n">
        <x:v>4</x:v>
      </x:c>
      <x:c r="F5" s="35" t="n">
        <x:v>0.3</x:v>
      </x:c>
      <x:c r="G5" s="35" t="n">
        <x:v>111</x:v>
      </x:c>
      <x:c r="H5" s="35" t="n">
        <x:v>0</x:v>
      </x:c>
      <x:c r="I5" s="35" t="str">
        <x:v>Chưa phân bổ</x:v>
      </x:c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5" t="str">
        <x:v>DA03</x:v>
      </x:c>
      <x:c r="B6" s="35" t="str">
        <x:v>Khu đô thị Hưng Yên</x:v>
      </x:c>
      <x:c r="C6" s="35" t="n">
        <x:v>0.91</x:v>
      </x:c>
      <x:c r="D6" s="35" t="n">
        <x:v>4</x:v>
      </x:c>
      <x:c r="E6" s="35" t="n">
        <x:v>4</x:v>
      </x:c>
      <x:c r="F6" s="35" t="n">
        <x:v>0.3</x:v>
      </x:c>
      <x:c r="G6" s="35" t="n">
        <x:v>108.75</x:v>
      </x:c>
      <x:c r="H6" s="35" t="n">
        <x:v>0</x:v>
      </x:c>
      <x:c r="I6" s="35" t="str">
        <x:v>Chưa phân bổ</x:v>
      </x:c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5" t="str">
        <x:v>DA04</x:v>
      </x:c>
      <x:c r="B7" s="35" t="str">
        <x:v>Tổ hợp Hải Phòng</x:v>
      </x:c>
      <x:c r="C7" s="35" t="n">
        <x:v>1</x:v>
      </x:c>
      <x:c r="D7" s="35" t="n">
        <x:v>4</x:v>
      </x:c>
      <x:c r="E7" s="35" t="n">
        <x:v>4</x:v>
      </x:c>
      <x:c r="F7" s="35" t="n">
        <x:v>0.3</x:v>
      </x:c>
      <x:c r="G7" s="35" t="n">
        <x:v>111</x:v>
      </x:c>
      <x:c r="H7" s="35" t="n">
        <x:v>0</x:v>
      </x:c>
      <x:c r="I7" s="35" t="str">
        <x:v>Chưa phân bổ</x:v>
      </x:c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5" t="str">
        <x:v>DA05</x:v>
      </x:c>
      <x:c r="B8" s="35" t="str">
        <x:v>Khu nghỉ dưỡng Quảng Ninh</x:v>
      </x:c>
      <x:c r="C8" s="35" t="n">
        <x:v>1</x:v>
      </x:c>
      <x:c r="D8" s="35" t="n">
        <x:v>2</x:v>
      </x:c>
      <x:c r="E8" s="35" t="n">
        <x:v>3</x:v>
      </x:c>
      <x:c r="F8" s="35" t="n">
        <x:v>0.3</x:v>
      </x:c>
      <x:c r="G8" s="35" t="n">
        <x:v>89</x:v>
      </x:c>
      <x:c r="H8" s="35" t="n">
        <x:v>0</x:v>
      </x:c>
      <x:c r="I8" s="35" t="str">
        <x:v>Chưa phân bổ</x:v>
      </x:c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5" t="str">
        <x:v>DA06</x:v>
      </x:c>
      <x:c r="B9" s="35" t="str">
        <x:v>Dự án M&amp;A Đà Nẵng</x:v>
      </x:c>
      <x:c r="C9" s="35" t="n">
        <x:v>0.15</x:v>
      </x:c>
      <x:c r="D9" s="35" t="n">
        <x:v>5</x:v>
      </x:c>
      <x:c r="E9" s="35" t="n">
        <x:v>3</x:v>
      </x:c>
      <x:c r="F9" s="35" t="n">
        <x:v>0.3</x:v>
      </x:c>
      <x:c r="G9" s="35" t="n">
        <x:v>91.75</x:v>
      </x:c>
      <x:c r="H9" s="35" t="n">
        <x:v>0</x:v>
      </x:c>
      <x:c r="I9" s="35" t="str">
        <x:v>Chưa phân bổ</x:v>
      </x:c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3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  <x:c r="M207" s="3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  <x:c r="M209" s="3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  <x:c r="M210" s="3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  <x:c r="M211" s="3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  <x:c r="M212" s="3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  <x:c r="M213" s="3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  <x:c r="M214" s="3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  <x:c r="M216" s="3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  <x:c r="M217" s="3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  <x:c r="M218" s="3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  <x:c r="M219" s="3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  <x:c r="M220" s="3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  <x:c r="M221" s="3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  <x:c r="M222" s="3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  <x:c r="M223" s="3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  <x:c r="M224" s="3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3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3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3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3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3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3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3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3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3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3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3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3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3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3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3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3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3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3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3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3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3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3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3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3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  <x:c r="L251" s="33"/>
      <x:c r="M251" s="3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33"/>
      <x:c r="K252" s="33"/>
      <x:c r="L252" s="33"/>
      <x:c r="M252" s="3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33"/>
      <x:c r="K253" s="33"/>
      <x:c r="L253" s="33"/>
      <x:c r="M253" s="3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33"/>
      <x:c r="K254" s="33"/>
      <x:c r="L254" s="33"/>
      <x:c r="M254" s="3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33"/>
      <x:c r="K255" s="33"/>
      <x:c r="L255" s="33"/>
      <x:c r="M255" s="3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33"/>
      <x:c r="K256" s="33"/>
      <x:c r="L256" s="33"/>
      <x:c r="M256" s="3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33"/>
      <x:c r="K257" s="33"/>
      <x:c r="L257" s="33"/>
      <x:c r="M257" s="3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33"/>
      <x:c r="K258" s="33"/>
      <x:c r="L258" s="33"/>
      <x:c r="M258" s="3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33"/>
      <x:c r="K259" s="33"/>
      <x:c r="L259" s="33"/>
      <x:c r="M259" s="3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33"/>
      <x:c r="K260" s="33"/>
      <x:c r="L260" s="33"/>
      <x:c r="M260" s="3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33"/>
      <x:c r="K261" s="33"/>
      <x:c r="L261" s="33"/>
      <x:c r="M261" s="3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33"/>
      <x:c r="K262" s="33"/>
      <x:c r="L262" s="33"/>
      <x:c r="M262" s="3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  <x:c r="L263" s="33"/>
      <x:c r="M263" s="3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33"/>
      <x:c r="K264" s="33"/>
      <x:c r="L264" s="33"/>
      <x:c r="M264" s="3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33"/>
      <x:c r="K265" s="33"/>
      <x:c r="L265" s="33"/>
      <x:c r="M265" s="3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33"/>
      <x:c r="K266" s="33"/>
      <x:c r="L266" s="33"/>
      <x:c r="M266" s="3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33"/>
      <x:c r="K267" s="33"/>
      <x:c r="L267" s="33"/>
      <x:c r="M267" s="3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33"/>
      <x:c r="K268" s="33"/>
      <x:c r="L268" s="33"/>
      <x:c r="M268" s="3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33"/>
      <x:c r="K269" s="33"/>
      <x:c r="L269" s="33"/>
      <x:c r="M269" s="3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33"/>
      <x:c r="K270" s="33"/>
      <x:c r="L270" s="33"/>
      <x:c r="M270" s="3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33"/>
      <x:c r="K271" s="33"/>
      <x:c r="L271" s="33"/>
      <x:c r="M271" s="3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33"/>
      <x:c r="K272" s="33"/>
      <x:c r="L272" s="33"/>
      <x:c r="M272" s="3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33"/>
      <x:c r="K273" s="33"/>
      <x:c r="L273" s="33"/>
      <x:c r="M273" s="3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33"/>
      <x:c r="K274" s="33"/>
      <x:c r="L274" s="33"/>
      <x:c r="M274" s="3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  <x:c r="L275" s="33"/>
      <x:c r="M275" s="3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33"/>
      <x:c r="K276" s="33"/>
      <x:c r="L276" s="33"/>
      <x:c r="M276" s="3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33"/>
      <x:c r="K277" s="33"/>
      <x:c r="L277" s="33"/>
      <x:c r="M277" s="3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33"/>
      <x:c r="K278" s="33"/>
      <x:c r="L278" s="33"/>
      <x:c r="M278" s="3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33"/>
      <x:c r="K279" s="33"/>
      <x:c r="L279" s="33"/>
      <x:c r="M279" s="3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33"/>
      <x:c r="K280" s="33"/>
      <x:c r="L280" s="33"/>
      <x:c r="M280" s="3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33"/>
      <x:c r="K281" s="33"/>
      <x:c r="L281" s="33"/>
      <x:c r="M281" s="3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33"/>
      <x:c r="K282" s="33"/>
      <x:c r="L282" s="33"/>
      <x:c r="M282" s="3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33"/>
      <x:c r="K283" s="33"/>
      <x:c r="L283" s="33"/>
      <x:c r="M283" s="3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33"/>
      <x:c r="K284" s="33"/>
      <x:c r="L284" s="33"/>
      <x:c r="M284" s="3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33"/>
      <x:c r="K285" s="33"/>
      <x:c r="L285" s="33"/>
      <x:c r="M285" s="3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33"/>
      <x:c r="K286" s="33"/>
      <x:c r="L286" s="33"/>
      <x:c r="M286" s="3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  <x:c r="M287" s="3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33"/>
      <x:c r="K288" s="33"/>
      <x:c r="L288" s="33"/>
      <x:c r="M288" s="3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33"/>
      <x:c r="K289" s="33"/>
      <x:c r="L289" s="33"/>
      <x:c r="M289" s="3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33"/>
      <x:c r="K290" s="33"/>
      <x:c r="L290" s="33"/>
      <x:c r="M290" s="3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33"/>
      <x:c r="K291" s="33"/>
      <x:c r="L291" s="33"/>
      <x:c r="M291" s="3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33"/>
      <x:c r="K292" s="33"/>
      <x:c r="L292" s="33"/>
      <x:c r="M292" s="3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33"/>
      <x:c r="K293" s="33"/>
      <x:c r="L293" s="33"/>
      <x:c r="M293" s="3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33"/>
      <x:c r="K294" s="33"/>
      <x:c r="L294" s="33"/>
      <x:c r="M294" s="3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33"/>
      <x:c r="K295" s="33"/>
      <x:c r="L295" s="33"/>
      <x:c r="M295" s="3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33"/>
      <x:c r="K296" s="33"/>
      <x:c r="L296" s="33"/>
      <x:c r="M296" s="3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33"/>
      <x:c r="K297" s="33"/>
      <x:c r="L297" s="33"/>
      <x:c r="M297" s="3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33"/>
      <x:c r="K298" s="33"/>
      <x:c r="L298" s="33"/>
      <x:c r="M298" s="3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  <x:c r="M299" s="3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33"/>
      <x:c r="K300" s="33"/>
      <x:c r="L300" s="33"/>
      <x:c r="M300" s="3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>
      <x:c r="A301" s="33"/>
      <x:c r="B301" s="33"/>
      <x:c r="C301" s="33"/>
      <x:c r="D301" s="33"/>
      <x:c r="E301" s="33"/>
      <x:c r="F301" s="33"/>
      <x:c r="G301" s="33"/>
      <x:c r="H301" s="33"/>
      <x:c r="I301" s="33"/>
      <x:c r="J301" s="33"/>
      <x:c r="K301" s="33"/>
      <x:c r="L301" s="33"/>
      <x:c r="M301" s="3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>
      <x:c r="A302" s="33"/>
      <x:c r="B302" s="33"/>
      <x:c r="C302" s="33"/>
      <x:c r="D302" s="33"/>
      <x:c r="E302" s="33"/>
      <x:c r="F302" s="33"/>
      <x:c r="G302" s="33"/>
      <x:c r="H302" s="33"/>
      <x:c r="I302" s="33"/>
      <x:c r="J302" s="33"/>
      <x:c r="K302" s="33"/>
      <x:c r="L302" s="33"/>
      <x:c r="M302" s="3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>
      <x:c r="A303" s="33"/>
      <x:c r="B303" s="33"/>
      <x:c r="C303" s="33"/>
      <x:c r="D303" s="33"/>
      <x:c r="E303" s="33"/>
      <x:c r="F303" s="33"/>
      <x:c r="G303" s="33"/>
      <x:c r="H303" s="33"/>
      <x:c r="I303" s="33"/>
      <x:c r="J303" s="33"/>
      <x:c r="K303" s="33"/>
      <x:c r="L303" s="33"/>
      <x:c r="M303" s="3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>
      <x:c r="A304" s="33"/>
      <x:c r="B304" s="33"/>
      <x:c r="C304" s="33"/>
      <x:c r="D304" s="33"/>
      <x:c r="E304" s="33"/>
      <x:c r="F304" s="33"/>
      <x:c r="G304" s="33"/>
      <x:c r="H304" s="33"/>
      <x:c r="I304" s="33"/>
      <x:c r="J304" s="33"/>
      <x:c r="K304" s="33"/>
      <x:c r="L304" s="33"/>
      <x:c r="M304" s="3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>
      <x:c r="A305" s="33"/>
      <x:c r="B305" s="33"/>
      <x:c r="C305" s="33"/>
      <x:c r="D305" s="33"/>
      <x:c r="E305" s="33"/>
      <x:c r="F305" s="33"/>
      <x:c r="G305" s="33"/>
      <x:c r="H305" s="33"/>
      <x:c r="I305" s="33"/>
      <x:c r="J305" s="33"/>
      <x:c r="K305" s="33"/>
      <x:c r="L305" s="33"/>
      <x:c r="M305" s="3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>
      <x:c r="A306" s="33"/>
      <x:c r="B306" s="33"/>
      <x:c r="C306" s="33"/>
      <x:c r="D306" s="33"/>
      <x:c r="E306" s="33"/>
      <x:c r="F306" s="33"/>
      <x:c r="G306" s="33"/>
      <x:c r="H306" s="33"/>
      <x:c r="I306" s="33"/>
      <x:c r="J306" s="33"/>
      <x:c r="K306" s="33"/>
      <x:c r="L306" s="33"/>
      <x:c r="M306" s="3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>
      <x:c r="A307" s="33"/>
      <x:c r="B307" s="33"/>
      <x:c r="C307" s="33"/>
      <x:c r="D307" s="33"/>
      <x:c r="E307" s="33"/>
      <x:c r="F307" s="33"/>
      <x:c r="G307" s="33"/>
      <x:c r="H307" s="33"/>
      <x:c r="I307" s="33"/>
      <x:c r="J307" s="33"/>
      <x:c r="K307" s="33"/>
      <x:c r="L307" s="33"/>
      <x:c r="M307" s="3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>
      <x:c r="A308" s="33"/>
      <x:c r="B308" s="33"/>
      <x:c r="C308" s="33"/>
      <x:c r="D308" s="33"/>
      <x:c r="E308" s="33"/>
      <x:c r="F308" s="33"/>
      <x:c r="G308" s="33"/>
      <x:c r="H308" s="33"/>
      <x:c r="I308" s="33"/>
      <x:c r="J308" s="33"/>
      <x:c r="K308" s="33"/>
      <x:c r="L308" s="33"/>
      <x:c r="M308" s="3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>
      <x:c r="A309" s="33"/>
      <x:c r="B309" s="33"/>
      <x:c r="C309" s="33"/>
      <x:c r="D309" s="33"/>
      <x:c r="E309" s="33"/>
      <x:c r="F309" s="33"/>
      <x:c r="G309" s="33"/>
      <x:c r="H309" s="33"/>
      <x:c r="I309" s="33"/>
      <x:c r="J309" s="33"/>
      <x:c r="K309" s="33"/>
      <x:c r="L309" s="33"/>
      <x:c r="M309" s="3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>
      <x:c r="A310" s="33"/>
      <x:c r="B310" s="33"/>
      <x:c r="C310" s="33"/>
      <x:c r="D310" s="33"/>
      <x:c r="E310" s="33"/>
      <x:c r="F310" s="33"/>
      <x:c r="G310" s="33"/>
      <x:c r="H310" s="33"/>
      <x:c r="I310" s="33"/>
      <x:c r="J310" s="33"/>
      <x:c r="K310" s="33"/>
      <x:c r="L310" s="33"/>
      <x:c r="M310" s="3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33"/>
      <x:c r="K311" s="33"/>
      <x:c r="L311" s="33"/>
      <x:c r="M311" s="3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>
      <x:c r="A312" s="33"/>
      <x:c r="B312" s="33"/>
      <x:c r="C312" s="33"/>
      <x:c r="D312" s="33"/>
      <x:c r="E312" s="33"/>
      <x:c r="F312" s="33"/>
      <x:c r="G312" s="33"/>
      <x:c r="H312" s="33"/>
      <x:c r="I312" s="33"/>
      <x:c r="J312" s="33"/>
      <x:c r="K312" s="33"/>
      <x:c r="L312" s="33"/>
      <x:c r="M312" s="3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>
      <x:c r="A313" s="33"/>
      <x:c r="B313" s="33"/>
      <x:c r="C313" s="33"/>
      <x:c r="D313" s="33"/>
      <x:c r="E313" s="33"/>
      <x:c r="F313" s="33"/>
      <x:c r="G313" s="33"/>
      <x:c r="H313" s="33"/>
      <x:c r="I313" s="33"/>
      <x:c r="J313" s="33"/>
      <x:c r="K313" s="33"/>
      <x:c r="L313" s="33"/>
      <x:c r="M313" s="3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>
      <x:c r="A314" s="33"/>
      <x:c r="B314" s="33"/>
      <x:c r="C314" s="33"/>
      <x:c r="D314" s="33"/>
      <x:c r="E314" s="33"/>
      <x:c r="F314" s="33"/>
      <x:c r="G314" s="33"/>
      <x:c r="H314" s="33"/>
      <x:c r="I314" s="33"/>
      <x:c r="J314" s="33"/>
      <x:c r="K314" s="33"/>
      <x:c r="L314" s="33"/>
      <x:c r="M314" s="3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>
      <x:c r="A315" s="33"/>
      <x:c r="B315" s="33"/>
      <x:c r="C315" s="33"/>
      <x:c r="D315" s="33"/>
      <x:c r="E315" s="33"/>
      <x:c r="F315" s="33"/>
      <x:c r="G315" s="33"/>
      <x:c r="H315" s="33"/>
      <x:c r="I315" s="33"/>
      <x:c r="J315" s="33"/>
      <x:c r="K315" s="33"/>
      <x:c r="L315" s="33"/>
      <x:c r="M315" s="3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>
      <x:c r="A316" s="33"/>
      <x:c r="B316" s="33"/>
      <x:c r="C316" s="33"/>
      <x:c r="D316" s="33"/>
      <x:c r="E316" s="33"/>
      <x:c r="F316" s="33"/>
      <x:c r="G316" s="33"/>
      <x:c r="H316" s="33"/>
      <x:c r="I316" s="33"/>
      <x:c r="J316" s="33"/>
      <x:c r="K316" s="33"/>
      <x:c r="L316" s="33"/>
      <x:c r="M316" s="3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>
      <x:c r="A317" s="33"/>
      <x:c r="B317" s="33"/>
      <x:c r="C317" s="33"/>
      <x:c r="D317" s="33"/>
      <x:c r="E317" s="33"/>
      <x:c r="F317" s="33"/>
      <x:c r="G317" s="33"/>
      <x:c r="H317" s="33"/>
      <x:c r="I317" s="33"/>
      <x:c r="J317" s="33"/>
      <x:c r="K317" s="33"/>
      <x:c r="L317" s="33"/>
      <x:c r="M317" s="3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>
      <x:c r="A318" s="33"/>
      <x:c r="B318" s="33"/>
      <x:c r="C318" s="33"/>
      <x:c r="D318" s="33"/>
      <x:c r="E318" s="33"/>
      <x:c r="F318" s="33"/>
      <x:c r="G318" s="33"/>
      <x:c r="H318" s="33"/>
      <x:c r="I318" s="33"/>
      <x:c r="J318" s="33"/>
      <x:c r="K318" s="33"/>
      <x:c r="L318" s="33"/>
      <x:c r="M318" s="3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>
      <x:c r="A319" s="33"/>
      <x:c r="B319" s="33"/>
      <x:c r="C319" s="33"/>
      <x:c r="D319" s="33"/>
      <x:c r="E319" s="33"/>
      <x:c r="F319" s="33"/>
      <x:c r="G319" s="33"/>
      <x:c r="H319" s="33"/>
      <x:c r="I319" s="33"/>
      <x:c r="J319" s="33"/>
      <x:c r="K319" s="33"/>
      <x:c r="L319" s="33"/>
      <x:c r="M319" s="3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>
      <x:c r="A320" s="33"/>
      <x:c r="B320" s="33"/>
      <x:c r="C320" s="33"/>
      <x:c r="D320" s="33"/>
      <x:c r="E320" s="33"/>
      <x:c r="F320" s="33"/>
      <x:c r="G320" s="33"/>
      <x:c r="H320" s="33"/>
      <x:c r="I320" s="33"/>
      <x:c r="J320" s="33"/>
      <x:c r="K320" s="33"/>
      <x:c r="L320" s="33"/>
      <x:c r="M320" s="3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>
      <x:c r="A321" s="33"/>
      <x:c r="B321" s="33"/>
      <x:c r="C321" s="33"/>
      <x:c r="D321" s="33"/>
      <x:c r="E321" s="33"/>
      <x:c r="F321" s="33"/>
      <x:c r="G321" s="33"/>
      <x:c r="H321" s="33"/>
      <x:c r="I321" s="33"/>
      <x:c r="J321" s="33"/>
      <x:c r="K321" s="33"/>
      <x:c r="L321" s="33"/>
      <x:c r="M321" s="3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>
      <x:c r="A322" s="33"/>
      <x:c r="B322" s="33"/>
      <x:c r="C322" s="33"/>
      <x:c r="D322" s="33"/>
      <x:c r="E322" s="33"/>
      <x:c r="F322" s="33"/>
      <x:c r="G322" s="33"/>
      <x:c r="H322" s="33"/>
      <x:c r="I322" s="33"/>
      <x:c r="J322" s="33"/>
      <x:c r="K322" s="33"/>
      <x:c r="L322" s="33"/>
      <x:c r="M322" s="3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33"/>
      <x:c r="K323" s="33"/>
      <x:c r="L323" s="33"/>
      <x:c r="M323" s="3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>
      <x:c r="A324" s="33"/>
      <x:c r="B324" s="33"/>
      <x:c r="C324" s="33"/>
      <x:c r="D324" s="33"/>
      <x:c r="E324" s="33"/>
      <x:c r="F324" s="33"/>
      <x:c r="G324" s="33"/>
      <x:c r="H324" s="33"/>
      <x:c r="I324" s="33"/>
      <x:c r="J324" s="33"/>
      <x:c r="K324" s="33"/>
      <x:c r="L324" s="33"/>
      <x:c r="M324" s="3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>
      <x:c r="A325" s="33"/>
      <x:c r="B325" s="33"/>
      <x:c r="C325" s="33"/>
      <x:c r="D325" s="33"/>
      <x:c r="E325" s="33"/>
      <x:c r="F325" s="33"/>
      <x:c r="G325" s="33"/>
      <x:c r="H325" s="33"/>
      <x:c r="I325" s="33"/>
      <x:c r="J325" s="33"/>
      <x:c r="K325" s="33"/>
      <x:c r="L325" s="33"/>
      <x:c r="M325" s="3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>
      <x:c r="A326" s="33"/>
      <x:c r="B326" s="33"/>
      <x:c r="C326" s="33"/>
      <x:c r="D326" s="33"/>
      <x:c r="E326" s="33"/>
      <x:c r="F326" s="33"/>
      <x:c r="G326" s="33"/>
      <x:c r="H326" s="33"/>
      <x:c r="I326" s="33"/>
      <x:c r="J326" s="33"/>
      <x:c r="K326" s="33"/>
      <x:c r="L326" s="33"/>
      <x:c r="M326" s="3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>
      <x:c r="A327" s="33"/>
      <x:c r="B327" s="33"/>
      <x:c r="C327" s="33"/>
      <x:c r="D327" s="33"/>
      <x:c r="E327" s="33"/>
      <x:c r="F327" s="33"/>
      <x:c r="G327" s="33"/>
      <x:c r="H327" s="33"/>
      <x:c r="I327" s="33"/>
      <x:c r="J327" s="33"/>
      <x:c r="K327" s="33"/>
      <x:c r="L327" s="33"/>
      <x:c r="M327" s="3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>
      <x:c r="A328" s="33"/>
      <x:c r="B328" s="33"/>
      <x:c r="C328" s="33"/>
      <x:c r="D328" s="33"/>
      <x:c r="E328" s="33"/>
      <x:c r="F328" s="33"/>
      <x:c r="G328" s="33"/>
      <x:c r="H328" s="33"/>
      <x:c r="I328" s="33"/>
      <x:c r="J328" s="33"/>
      <x:c r="K328" s="33"/>
      <x:c r="L328" s="33"/>
      <x:c r="M328" s="3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>
      <x:c r="A329" s="33"/>
      <x:c r="B329" s="33"/>
      <x:c r="C329" s="33"/>
      <x:c r="D329" s="33"/>
      <x:c r="E329" s="33"/>
      <x:c r="F329" s="33"/>
      <x:c r="G329" s="33"/>
      <x:c r="H329" s="33"/>
      <x:c r="I329" s="33"/>
      <x:c r="J329" s="33"/>
      <x:c r="K329" s="33"/>
      <x:c r="L329" s="33"/>
      <x:c r="M329" s="3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>
      <x:c r="A330" s="33"/>
      <x:c r="B330" s="33"/>
      <x:c r="C330" s="33"/>
      <x:c r="D330" s="33"/>
      <x:c r="E330" s="33"/>
      <x:c r="F330" s="33"/>
      <x:c r="G330" s="33"/>
      <x:c r="H330" s="33"/>
      <x:c r="I330" s="33"/>
      <x:c r="J330" s="33"/>
      <x:c r="K330" s="33"/>
      <x:c r="L330" s="33"/>
      <x:c r="M330" s="3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>
      <x:c r="A331" s="33"/>
      <x:c r="B331" s="33"/>
      <x:c r="C331" s="33"/>
      <x:c r="D331" s="33"/>
      <x:c r="E331" s="33"/>
      <x:c r="F331" s="33"/>
      <x:c r="G331" s="33"/>
      <x:c r="H331" s="33"/>
      <x:c r="I331" s="33"/>
      <x:c r="J331" s="33"/>
      <x:c r="K331" s="33"/>
      <x:c r="L331" s="33"/>
      <x:c r="M331" s="3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>
      <x:c r="A332" s="33"/>
      <x:c r="B332" s="33"/>
      <x:c r="C332" s="33"/>
      <x:c r="D332" s="33"/>
      <x:c r="E332" s="33"/>
      <x:c r="F332" s="33"/>
      <x:c r="G332" s="33"/>
      <x:c r="H332" s="33"/>
      <x:c r="I332" s="33"/>
      <x:c r="J332" s="33"/>
      <x:c r="K332" s="33"/>
      <x:c r="L332" s="33"/>
      <x:c r="M332" s="3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>
      <x:c r="A333" s="33"/>
      <x:c r="B333" s="33"/>
      <x:c r="C333" s="33"/>
      <x:c r="D333" s="33"/>
      <x:c r="E333" s="33"/>
      <x:c r="F333" s="33"/>
      <x:c r="G333" s="33"/>
      <x:c r="H333" s="33"/>
      <x:c r="I333" s="33"/>
      <x:c r="J333" s="33"/>
      <x:c r="K333" s="33"/>
      <x:c r="L333" s="33"/>
      <x:c r="M333" s="3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>
      <x:c r="A334" s="33"/>
      <x:c r="B334" s="33"/>
      <x:c r="C334" s="33"/>
      <x:c r="D334" s="33"/>
      <x:c r="E334" s="33"/>
      <x:c r="F334" s="33"/>
      <x:c r="G334" s="33"/>
      <x:c r="H334" s="33"/>
      <x:c r="I334" s="33"/>
      <x:c r="J334" s="33"/>
      <x:c r="K334" s="33"/>
      <x:c r="L334" s="33"/>
      <x:c r="M334" s="3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33"/>
      <x:c r="K335" s="33"/>
      <x:c r="L335" s="33"/>
      <x:c r="M335" s="3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>
      <x:c r="A336" s="33"/>
      <x:c r="B336" s="33"/>
      <x:c r="C336" s="33"/>
      <x:c r="D336" s="33"/>
      <x:c r="E336" s="33"/>
      <x:c r="F336" s="33"/>
      <x:c r="G336" s="33"/>
      <x:c r="H336" s="33"/>
      <x:c r="I336" s="33"/>
      <x:c r="J336" s="33"/>
      <x:c r="K336" s="33"/>
      <x:c r="L336" s="33"/>
      <x:c r="M336" s="3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>
      <x:c r="A337" s="33"/>
      <x:c r="B337" s="33"/>
      <x:c r="C337" s="33"/>
      <x:c r="D337" s="33"/>
      <x:c r="E337" s="33"/>
      <x:c r="F337" s="33"/>
      <x:c r="G337" s="33"/>
      <x:c r="H337" s="33"/>
      <x:c r="I337" s="33"/>
      <x:c r="J337" s="33"/>
      <x:c r="K337" s="33"/>
      <x:c r="L337" s="33"/>
      <x:c r="M337" s="3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>
      <x:c r="A338" s="33"/>
      <x:c r="B338" s="33"/>
      <x:c r="C338" s="33"/>
      <x:c r="D338" s="33"/>
      <x:c r="E338" s="33"/>
      <x:c r="F338" s="33"/>
      <x:c r="G338" s="33"/>
      <x:c r="H338" s="33"/>
      <x:c r="I338" s="33"/>
      <x:c r="J338" s="33"/>
      <x:c r="K338" s="33"/>
      <x:c r="L338" s="33"/>
      <x:c r="M338" s="3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>
      <x:c r="A339" s="33"/>
      <x:c r="B339" s="33"/>
      <x:c r="C339" s="33"/>
      <x:c r="D339" s="33"/>
      <x:c r="E339" s="33"/>
      <x:c r="F339" s="33"/>
      <x:c r="G339" s="33"/>
      <x:c r="H339" s="33"/>
      <x:c r="I339" s="33"/>
      <x:c r="J339" s="33"/>
      <x:c r="K339" s="33"/>
      <x:c r="L339" s="33"/>
      <x:c r="M339" s="3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>
      <x:c r="A340" s="33"/>
      <x:c r="B340" s="33"/>
      <x:c r="C340" s="33"/>
      <x:c r="D340" s="33"/>
      <x:c r="E340" s="33"/>
      <x:c r="F340" s="33"/>
      <x:c r="G340" s="33"/>
      <x:c r="H340" s="33"/>
      <x:c r="I340" s="33"/>
      <x:c r="J340" s="33"/>
      <x:c r="K340" s="33"/>
      <x:c r="L340" s="33"/>
      <x:c r="M340" s="3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>
      <x:c r="A341" s="33"/>
      <x:c r="B341" s="33"/>
      <x:c r="C341" s="33"/>
      <x:c r="D341" s="33"/>
      <x:c r="E341" s="33"/>
      <x:c r="F341" s="33"/>
      <x:c r="G341" s="33"/>
      <x:c r="H341" s="33"/>
      <x:c r="I341" s="33"/>
      <x:c r="J341" s="33"/>
      <x:c r="K341" s="33"/>
      <x:c r="L341" s="33"/>
      <x:c r="M341" s="3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>
      <x:c r="A342" s="33"/>
      <x:c r="B342" s="33"/>
      <x:c r="C342" s="33"/>
      <x:c r="D342" s="33"/>
      <x:c r="E342" s="33"/>
      <x:c r="F342" s="33"/>
      <x:c r="G342" s="33"/>
      <x:c r="H342" s="33"/>
      <x:c r="I342" s="33"/>
      <x:c r="J342" s="33"/>
      <x:c r="K342" s="33"/>
      <x:c r="L342" s="33"/>
      <x:c r="M342" s="3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>
      <x:c r="A343" s="33"/>
      <x:c r="B343" s="33"/>
      <x:c r="C343" s="33"/>
      <x:c r="D343" s="33"/>
      <x:c r="E343" s="33"/>
      <x:c r="F343" s="33"/>
      <x:c r="G343" s="33"/>
      <x:c r="H343" s="33"/>
      <x:c r="I343" s="33"/>
      <x:c r="J343" s="33"/>
      <x:c r="K343" s="33"/>
      <x:c r="L343" s="33"/>
      <x:c r="M343" s="3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>
      <x:c r="A344" s="33"/>
      <x:c r="B344" s="33"/>
      <x:c r="C344" s="33"/>
      <x:c r="D344" s="33"/>
      <x:c r="E344" s="33"/>
      <x:c r="F344" s="33"/>
      <x:c r="G344" s="33"/>
      <x:c r="H344" s="33"/>
      <x:c r="I344" s="33"/>
      <x:c r="J344" s="33"/>
      <x:c r="K344" s="33"/>
      <x:c r="L344" s="33"/>
      <x:c r="M344" s="3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>
      <x:c r="A345" s="33"/>
      <x:c r="B345" s="33"/>
      <x:c r="C345" s="33"/>
      <x:c r="D345" s="33"/>
      <x:c r="E345" s="33"/>
      <x:c r="F345" s="33"/>
      <x:c r="G345" s="33"/>
      <x:c r="H345" s="33"/>
      <x:c r="I345" s="33"/>
      <x:c r="J345" s="33"/>
      <x:c r="K345" s="33"/>
      <x:c r="L345" s="33"/>
      <x:c r="M345" s="3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>
      <x:c r="A346" s="33"/>
      <x:c r="B346" s="33"/>
      <x:c r="C346" s="33"/>
      <x:c r="D346" s="33"/>
      <x:c r="E346" s="33"/>
      <x:c r="F346" s="33"/>
      <x:c r="G346" s="33"/>
      <x:c r="H346" s="33"/>
      <x:c r="I346" s="33"/>
      <x:c r="J346" s="33"/>
      <x:c r="K346" s="33"/>
      <x:c r="L346" s="33"/>
      <x:c r="M346" s="3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33"/>
      <x:c r="K347" s="33"/>
      <x:c r="L347" s="33"/>
      <x:c r="M347" s="3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>
      <x:c r="A348" s="33"/>
      <x:c r="B348" s="33"/>
      <x:c r="C348" s="33"/>
      <x:c r="D348" s="33"/>
      <x:c r="E348" s="33"/>
      <x:c r="F348" s="33"/>
      <x:c r="G348" s="33"/>
      <x:c r="H348" s="33"/>
      <x:c r="I348" s="33"/>
      <x:c r="J348" s="33"/>
      <x:c r="K348" s="33"/>
      <x:c r="L348" s="33"/>
      <x:c r="M348" s="3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>
      <x:c r="A349" s="33"/>
      <x:c r="B349" s="33"/>
      <x:c r="C349" s="33"/>
      <x:c r="D349" s="33"/>
      <x:c r="E349" s="33"/>
      <x:c r="F349" s="33"/>
      <x:c r="G349" s="33"/>
      <x:c r="H349" s="33"/>
      <x:c r="I349" s="33"/>
      <x:c r="J349" s="33"/>
      <x:c r="K349" s="33"/>
      <x:c r="L349" s="33"/>
      <x:c r="M349" s="3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>
      <x:c r="A350" s="33"/>
      <x:c r="B350" s="33"/>
      <x:c r="C350" s="33"/>
      <x:c r="D350" s="33"/>
      <x:c r="E350" s="33"/>
      <x:c r="F350" s="33"/>
      <x:c r="G350" s="33"/>
      <x:c r="H350" s="33"/>
      <x:c r="I350" s="33"/>
      <x:c r="J350" s="33"/>
      <x:c r="K350" s="33"/>
      <x:c r="L350" s="33"/>
      <x:c r="M350" s="3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>
      <x:c r="A351" s="33"/>
      <x:c r="B351" s="33"/>
      <x:c r="C351" s="33"/>
      <x:c r="D351" s="33"/>
      <x:c r="E351" s="33"/>
      <x:c r="F351" s="33"/>
      <x:c r="G351" s="33"/>
      <x:c r="H351" s="33"/>
      <x:c r="I351" s="33"/>
      <x:c r="J351" s="33"/>
      <x:c r="K351" s="33"/>
      <x:c r="L351" s="33"/>
      <x:c r="M351" s="3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>
      <x:c r="A352" s="33"/>
      <x:c r="B352" s="33"/>
      <x:c r="C352" s="33"/>
      <x:c r="D352" s="33"/>
      <x:c r="E352" s="33"/>
      <x:c r="F352" s="33"/>
      <x:c r="G352" s="33"/>
      <x:c r="H352" s="33"/>
      <x:c r="I352" s="33"/>
      <x:c r="J352" s="33"/>
      <x:c r="K352" s="33"/>
      <x:c r="L352" s="33"/>
      <x:c r="M352" s="3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>
      <x:c r="A353" s="33"/>
      <x:c r="B353" s="33"/>
      <x:c r="C353" s="33"/>
      <x:c r="D353" s="33"/>
      <x:c r="E353" s="33"/>
      <x:c r="F353" s="33"/>
      <x:c r="G353" s="33"/>
      <x:c r="H353" s="33"/>
      <x:c r="I353" s="33"/>
      <x:c r="J353" s="33"/>
      <x:c r="K353" s="33"/>
      <x:c r="L353" s="33"/>
      <x:c r="M353" s="3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>
      <x:c r="A354" s="33"/>
      <x:c r="B354" s="33"/>
      <x:c r="C354" s="33"/>
      <x:c r="D354" s="33"/>
      <x:c r="E354" s="33"/>
      <x:c r="F354" s="33"/>
      <x:c r="G354" s="33"/>
      <x:c r="H354" s="33"/>
      <x:c r="I354" s="33"/>
      <x:c r="J354" s="33"/>
      <x:c r="K354" s="33"/>
      <x:c r="L354" s="33"/>
      <x:c r="M354" s="3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>
      <x:c r="A355" s="33"/>
      <x:c r="B355" s="33"/>
      <x:c r="C355" s="33"/>
      <x:c r="D355" s="33"/>
      <x:c r="E355" s="33"/>
      <x:c r="F355" s="33"/>
      <x:c r="G355" s="33"/>
      <x:c r="H355" s="33"/>
      <x:c r="I355" s="33"/>
      <x:c r="J355" s="33"/>
      <x:c r="K355" s="33"/>
      <x:c r="L355" s="33"/>
      <x:c r="M355" s="3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>
      <x:c r="A356" s="33"/>
      <x:c r="B356" s="33"/>
      <x:c r="C356" s="33"/>
      <x:c r="D356" s="33"/>
      <x:c r="E356" s="33"/>
      <x:c r="F356" s="33"/>
      <x:c r="G356" s="33"/>
      <x:c r="H356" s="33"/>
      <x:c r="I356" s="33"/>
      <x:c r="J356" s="33"/>
      <x:c r="K356" s="33"/>
      <x:c r="L356" s="33"/>
      <x:c r="M356" s="3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>
      <x:c r="A357" s="33"/>
      <x:c r="B357" s="33"/>
      <x:c r="C357" s="33"/>
      <x:c r="D357" s="33"/>
      <x:c r="E357" s="33"/>
      <x:c r="F357" s="33"/>
      <x:c r="G357" s="33"/>
      <x:c r="H357" s="33"/>
      <x:c r="I357" s="33"/>
      <x:c r="J357" s="33"/>
      <x:c r="K357" s="33"/>
      <x:c r="L357" s="33"/>
      <x:c r="M357" s="3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>
      <x:c r="A358" s="33"/>
      <x:c r="B358" s="33"/>
      <x:c r="C358" s="33"/>
      <x:c r="D358" s="33"/>
      <x:c r="E358" s="33"/>
      <x:c r="F358" s="33"/>
      <x:c r="G358" s="33"/>
      <x:c r="H358" s="33"/>
      <x:c r="I358" s="33"/>
      <x:c r="J358" s="33"/>
      <x:c r="K358" s="33"/>
      <x:c r="L358" s="33"/>
      <x:c r="M358" s="3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>
      <x:c r="A359" s="33"/>
      <x:c r="B359" s="33"/>
      <x:c r="C359" s="33"/>
      <x:c r="D359" s="33"/>
      <x:c r="E359" s="33"/>
      <x:c r="F359" s="33"/>
      <x:c r="G359" s="33"/>
      <x:c r="H359" s="33"/>
      <x:c r="I359" s="33"/>
      <x:c r="J359" s="33"/>
      <x:c r="K359" s="33"/>
      <x:c r="L359" s="33"/>
      <x:c r="M359" s="3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33"/>
      <x:c r="K360" s="33"/>
      <x:c r="L360" s="33"/>
      <x:c r="M360" s="3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>
      <x:c r="A361" s="33"/>
      <x:c r="B361" s="33"/>
      <x:c r="C361" s="33"/>
      <x:c r="D361" s="33"/>
      <x:c r="E361" s="33"/>
      <x:c r="F361" s="33"/>
      <x:c r="G361" s="33"/>
      <x:c r="H361" s="33"/>
      <x:c r="I361" s="33"/>
      <x:c r="J361" s="33"/>
      <x:c r="K361" s="33"/>
      <x:c r="L361" s="33"/>
      <x:c r="M361" s="3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>
      <x:c r="A362" s="33"/>
      <x:c r="B362" s="33"/>
      <x:c r="C362" s="33"/>
      <x:c r="D362" s="33"/>
      <x:c r="E362" s="33"/>
      <x:c r="F362" s="33"/>
      <x:c r="G362" s="33"/>
      <x:c r="H362" s="33"/>
      <x:c r="I362" s="33"/>
      <x:c r="J362" s="33"/>
      <x:c r="K362" s="33"/>
      <x:c r="L362" s="33"/>
      <x:c r="M362" s="3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>
      <x:c r="A363" s="33"/>
      <x:c r="B363" s="33"/>
      <x:c r="C363" s="33"/>
      <x:c r="D363" s="33"/>
      <x:c r="E363" s="33"/>
      <x:c r="F363" s="33"/>
      <x:c r="G363" s="33"/>
      <x:c r="H363" s="33"/>
      <x:c r="I363" s="33"/>
      <x:c r="J363" s="33"/>
      <x:c r="K363" s="33"/>
      <x:c r="L363" s="33"/>
      <x:c r="M363" s="3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>
      <x:c r="A364" s="33"/>
      <x:c r="B364" s="33"/>
      <x:c r="C364" s="33"/>
      <x:c r="D364" s="33"/>
      <x:c r="E364" s="33"/>
      <x:c r="F364" s="33"/>
      <x:c r="G364" s="33"/>
      <x:c r="H364" s="33"/>
      <x:c r="I364" s="33"/>
      <x:c r="J364" s="33"/>
      <x:c r="K364" s="33"/>
      <x:c r="L364" s="33"/>
      <x:c r="M364" s="3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>
      <x:c r="A365" s="33"/>
      <x:c r="B365" s="33"/>
      <x:c r="C365" s="33"/>
      <x:c r="D365" s="33"/>
      <x:c r="E365" s="33"/>
      <x:c r="F365" s="33"/>
      <x:c r="G365" s="33"/>
      <x:c r="H365" s="33"/>
      <x:c r="I365" s="33"/>
      <x:c r="J365" s="33"/>
      <x:c r="K365" s="33"/>
      <x:c r="L365" s="33"/>
      <x:c r="M365" s="3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>
      <x:c r="A366" s="33"/>
      <x:c r="B366" s="33"/>
      <x:c r="C366" s="33"/>
      <x:c r="D366" s="33"/>
      <x:c r="E366" s="33"/>
      <x:c r="F366" s="33"/>
      <x:c r="G366" s="33"/>
      <x:c r="H366" s="33"/>
      <x:c r="I366" s="33"/>
      <x:c r="J366" s="33"/>
      <x:c r="K366" s="33"/>
      <x:c r="L366" s="33"/>
      <x:c r="M366" s="3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>
      <x:c r="A367" s="33"/>
      <x:c r="B367" s="33"/>
      <x:c r="C367" s="33"/>
      <x:c r="D367" s="33"/>
      <x:c r="E367" s="33"/>
      <x:c r="F367" s="33"/>
      <x:c r="G367" s="33"/>
      <x:c r="H367" s="33"/>
      <x:c r="I367" s="33"/>
      <x:c r="J367" s="33"/>
      <x:c r="K367" s="33"/>
      <x:c r="L367" s="33"/>
      <x:c r="M367" s="3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>
      <x:c r="A368" s="33"/>
      <x:c r="B368" s="33"/>
      <x:c r="C368" s="33"/>
      <x:c r="D368" s="33"/>
      <x:c r="E368" s="33"/>
      <x:c r="F368" s="33"/>
      <x:c r="G368" s="33"/>
      <x:c r="H368" s="33"/>
      <x:c r="I368" s="33"/>
      <x:c r="J368" s="33"/>
      <x:c r="K368" s="33"/>
      <x:c r="L368" s="33"/>
      <x:c r="M368" s="3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>
      <x:c r="A369" s="33"/>
      <x:c r="B369" s="33"/>
      <x:c r="C369" s="33"/>
      <x:c r="D369" s="33"/>
      <x:c r="E369" s="33"/>
      <x:c r="F369" s="33"/>
      <x:c r="G369" s="33"/>
      <x:c r="H369" s="33"/>
      <x:c r="I369" s="33"/>
      <x:c r="J369" s="33"/>
      <x:c r="K369" s="33"/>
      <x:c r="L369" s="33"/>
      <x:c r="M369" s="3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>
      <x:c r="A370" s="33"/>
      <x:c r="B370" s="33"/>
      <x:c r="C370" s="33"/>
      <x:c r="D370" s="33"/>
      <x:c r="E370" s="33"/>
      <x:c r="F370" s="33"/>
      <x:c r="G370" s="33"/>
      <x:c r="H370" s="33"/>
      <x:c r="I370" s="33"/>
      <x:c r="J370" s="33"/>
      <x:c r="K370" s="33"/>
      <x:c r="L370" s="33"/>
      <x:c r="M370" s="3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>
      <x:c r="A371" s="33"/>
      <x:c r="B371" s="33"/>
      <x:c r="C371" s="33"/>
      <x:c r="D371" s="33"/>
      <x:c r="E371" s="33"/>
      <x:c r="F371" s="33"/>
      <x:c r="G371" s="33"/>
      <x:c r="H371" s="33"/>
      <x:c r="I371" s="33"/>
      <x:c r="J371" s="33"/>
      <x:c r="K371" s="33"/>
      <x:c r="L371" s="33"/>
      <x:c r="M371" s="3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>
      <x:c r="A372" s="33"/>
      <x:c r="B372" s="33"/>
      <x:c r="C372" s="33"/>
      <x:c r="D372" s="33"/>
      <x:c r="E372" s="33"/>
      <x:c r="F372" s="33"/>
      <x:c r="G372" s="33"/>
      <x:c r="H372" s="33"/>
      <x:c r="I372" s="33"/>
      <x:c r="J372" s="33"/>
      <x:c r="K372" s="33"/>
      <x:c r="L372" s="33"/>
      <x:c r="M372" s="3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33"/>
      <x:c r="K373" s="33"/>
      <x:c r="L373" s="33"/>
      <x:c r="M373" s="3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>
      <x:c r="A374" s="33"/>
      <x:c r="B374" s="33"/>
      <x:c r="C374" s="33"/>
      <x:c r="D374" s="33"/>
      <x:c r="E374" s="33"/>
      <x:c r="F374" s="33"/>
      <x:c r="G374" s="33"/>
      <x:c r="H374" s="33"/>
      <x:c r="I374" s="33"/>
      <x:c r="J374" s="33"/>
      <x:c r="K374" s="33"/>
      <x:c r="L374" s="33"/>
      <x:c r="M374" s="3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>
      <x:c r="A375" s="33"/>
      <x:c r="B375" s="33"/>
      <x:c r="C375" s="33"/>
      <x:c r="D375" s="33"/>
      <x:c r="E375" s="33"/>
      <x:c r="F375" s="33"/>
      <x:c r="G375" s="33"/>
      <x:c r="H375" s="33"/>
      <x:c r="I375" s="33"/>
      <x:c r="J375" s="33"/>
      <x:c r="K375" s="33"/>
      <x:c r="L375" s="33"/>
      <x:c r="M375" s="3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>
      <x:c r="A376" s="33"/>
      <x:c r="B376" s="33"/>
      <x:c r="C376" s="33"/>
      <x:c r="D376" s="33"/>
      <x:c r="E376" s="33"/>
      <x:c r="F376" s="33"/>
      <x:c r="G376" s="33"/>
      <x:c r="H376" s="33"/>
      <x:c r="I376" s="33"/>
      <x:c r="J376" s="33"/>
      <x:c r="K376" s="33"/>
      <x:c r="L376" s="33"/>
      <x:c r="M376" s="3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>
      <x:c r="A377" s="33"/>
      <x:c r="B377" s="33"/>
      <x:c r="C377" s="33"/>
      <x:c r="D377" s="33"/>
      <x:c r="E377" s="33"/>
      <x:c r="F377" s="33"/>
      <x:c r="G377" s="33"/>
      <x:c r="H377" s="33"/>
      <x:c r="I377" s="33"/>
      <x:c r="J377" s="33"/>
      <x:c r="K377" s="33"/>
      <x:c r="L377" s="33"/>
      <x:c r="M377" s="3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>
      <x:c r="A378" s="33"/>
      <x:c r="B378" s="33"/>
      <x:c r="C378" s="33"/>
      <x:c r="D378" s="33"/>
      <x:c r="E378" s="33"/>
      <x:c r="F378" s="33"/>
      <x:c r="G378" s="33"/>
      <x:c r="H378" s="33"/>
      <x:c r="I378" s="33"/>
      <x:c r="J378" s="33"/>
      <x:c r="K378" s="33"/>
      <x:c r="L378" s="33"/>
      <x:c r="M378" s="3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>
      <x:c r="A379" s="33"/>
      <x:c r="B379" s="33"/>
      <x:c r="C379" s="33"/>
      <x:c r="D379" s="33"/>
      <x:c r="E379" s="33"/>
      <x:c r="F379" s="33"/>
      <x:c r="G379" s="33"/>
      <x:c r="H379" s="33"/>
      <x:c r="I379" s="33"/>
      <x:c r="J379" s="33"/>
      <x:c r="K379" s="33"/>
      <x:c r="L379" s="33"/>
      <x:c r="M379" s="3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>
      <x:c r="A380" s="33"/>
      <x:c r="B380" s="33"/>
      <x:c r="C380" s="33"/>
      <x:c r="D380" s="33"/>
      <x:c r="E380" s="33"/>
      <x:c r="F380" s="33"/>
      <x:c r="G380" s="33"/>
      <x:c r="H380" s="33"/>
      <x:c r="I380" s="33"/>
      <x:c r="J380" s="33"/>
      <x:c r="K380" s="33"/>
      <x:c r="L380" s="33"/>
      <x:c r="M380" s="3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>
      <x:c r="A381" s="33"/>
      <x:c r="B381" s="33"/>
      <x:c r="C381" s="33"/>
      <x:c r="D381" s="33"/>
      <x:c r="E381" s="33"/>
      <x:c r="F381" s="33"/>
      <x:c r="G381" s="33"/>
      <x:c r="H381" s="33"/>
      <x:c r="I381" s="33"/>
      <x:c r="J381" s="33"/>
      <x:c r="K381" s="33"/>
      <x:c r="L381" s="33"/>
      <x:c r="M381" s="3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>
      <x:c r="A382" s="33"/>
      <x:c r="B382" s="33"/>
      <x:c r="C382" s="33"/>
      <x:c r="D382" s="33"/>
      <x:c r="E382" s="33"/>
      <x:c r="F382" s="33"/>
      <x:c r="G382" s="33"/>
      <x:c r="H382" s="33"/>
      <x:c r="I382" s="33"/>
      <x:c r="J382" s="33"/>
      <x:c r="K382" s="33"/>
      <x:c r="L382" s="33"/>
      <x:c r="M382" s="3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>
      <x:c r="A383" s="33"/>
      <x:c r="B383" s="33"/>
      <x:c r="C383" s="33"/>
      <x:c r="D383" s="33"/>
      <x:c r="E383" s="33"/>
      <x:c r="F383" s="33"/>
      <x:c r="G383" s="33"/>
      <x:c r="H383" s="33"/>
      <x:c r="I383" s="33"/>
      <x:c r="J383" s="33"/>
      <x:c r="K383" s="33"/>
      <x:c r="L383" s="33"/>
      <x:c r="M383" s="3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>
      <x:c r="A384" s="33"/>
      <x:c r="B384" s="33"/>
      <x:c r="C384" s="33"/>
      <x:c r="D384" s="33"/>
      <x:c r="E384" s="33"/>
      <x:c r="F384" s="33"/>
      <x:c r="G384" s="33"/>
      <x:c r="H384" s="33"/>
      <x:c r="I384" s="33"/>
      <x:c r="J384" s="33"/>
      <x:c r="K384" s="33"/>
      <x:c r="L384" s="33"/>
      <x:c r="M384" s="3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33"/>
      <x:c r="K385" s="33"/>
      <x:c r="L385" s="33"/>
      <x:c r="M385" s="3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>
      <x:c r="A386" s="33"/>
      <x:c r="B386" s="33"/>
      <x:c r="C386" s="33"/>
      <x:c r="D386" s="33"/>
      <x:c r="E386" s="33"/>
      <x:c r="F386" s="33"/>
      <x:c r="G386" s="33"/>
      <x:c r="H386" s="33"/>
      <x:c r="I386" s="33"/>
      <x:c r="J386" s="33"/>
      <x:c r="K386" s="33"/>
      <x:c r="L386" s="33"/>
      <x:c r="M386" s="3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>
      <x:c r="A387" s="33"/>
      <x:c r="B387" s="33"/>
      <x:c r="C387" s="33"/>
      <x:c r="D387" s="33"/>
      <x:c r="E387" s="33"/>
      <x:c r="F387" s="33"/>
      <x:c r="G387" s="33"/>
      <x:c r="H387" s="33"/>
      <x:c r="I387" s="33"/>
      <x:c r="J387" s="33"/>
      <x:c r="K387" s="33"/>
      <x:c r="L387" s="33"/>
      <x:c r="M387" s="3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>
      <x:c r="A388" s="33"/>
      <x:c r="B388" s="33"/>
      <x:c r="C388" s="33"/>
      <x:c r="D388" s="33"/>
      <x:c r="E388" s="33"/>
      <x:c r="F388" s="33"/>
      <x:c r="G388" s="33"/>
      <x:c r="H388" s="33"/>
      <x:c r="I388" s="33"/>
      <x:c r="J388" s="33"/>
      <x:c r="K388" s="33"/>
      <x:c r="L388" s="33"/>
      <x:c r="M388" s="3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>
      <x:c r="A389" s="33"/>
      <x:c r="B389" s="33"/>
      <x:c r="C389" s="33"/>
      <x:c r="D389" s="33"/>
      <x:c r="E389" s="33"/>
      <x:c r="F389" s="33"/>
      <x:c r="G389" s="33"/>
      <x:c r="H389" s="33"/>
      <x:c r="I389" s="33"/>
      <x:c r="J389" s="33"/>
      <x:c r="K389" s="33"/>
      <x:c r="L389" s="33"/>
      <x:c r="M389" s="3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>
      <x:c r="A390" s="33"/>
      <x:c r="B390" s="33"/>
      <x:c r="C390" s="33"/>
      <x:c r="D390" s="33"/>
      <x:c r="E390" s="33"/>
      <x:c r="F390" s="33"/>
      <x:c r="G390" s="33"/>
      <x:c r="H390" s="33"/>
      <x:c r="I390" s="33"/>
      <x:c r="J390" s="33"/>
      <x:c r="K390" s="33"/>
      <x:c r="L390" s="33"/>
      <x:c r="M390" s="3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>
      <x:c r="A391" s="33"/>
      <x:c r="B391" s="33"/>
      <x:c r="C391" s="33"/>
      <x:c r="D391" s="33"/>
      <x:c r="E391" s="33"/>
      <x:c r="F391" s="33"/>
      <x:c r="G391" s="33"/>
      <x:c r="H391" s="33"/>
      <x:c r="I391" s="33"/>
      <x:c r="J391" s="33"/>
      <x:c r="K391" s="33"/>
      <x:c r="L391" s="33"/>
      <x:c r="M391" s="3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>
      <x:c r="A392" s="33"/>
      <x:c r="B392" s="33"/>
      <x:c r="C392" s="33"/>
      <x:c r="D392" s="33"/>
      <x:c r="E392" s="33"/>
      <x:c r="F392" s="33"/>
      <x:c r="G392" s="33"/>
      <x:c r="H392" s="33"/>
      <x:c r="I392" s="33"/>
      <x:c r="J392" s="33"/>
      <x:c r="K392" s="33"/>
      <x:c r="L392" s="33"/>
      <x:c r="M392" s="3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>
      <x:c r="A393" s="33"/>
      <x:c r="B393" s="33"/>
      <x:c r="C393" s="33"/>
      <x:c r="D393" s="33"/>
      <x:c r="E393" s="33"/>
      <x:c r="F393" s="33"/>
      <x:c r="G393" s="33"/>
      <x:c r="H393" s="33"/>
      <x:c r="I393" s="33"/>
      <x:c r="J393" s="33"/>
      <x:c r="K393" s="33"/>
      <x:c r="L393" s="33"/>
      <x:c r="M393" s="3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>
      <x:c r="A394" s="33"/>
      <x:c r="B394" s="33"/>
      <x:c r="C394" s="33"/>
      <x:c r="D394" s="33"/>
      <x:c r="E394" s="33"/>
      <x:c r="F394" s="33"/>
      <x:c r="G394" s="33"/>
      <x:c r="H394" s="33"/>
      <x:c r="I394" s="33"/>
      <x:c r="J394" s="33"/>
      <x:c r="K394" s="33"/>
      <x:c r="L394" s="33"/>
      <x:c r="M394" s="3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>
      <x:c r="A395" s="33"/>
      <x:c r="B395" s="33"/>
      <x:c r="C395" s="33"/>
      <x:c r="D395" s="33"/>
      <x:c r="E395" s="33"/>
      <x:c r="F395" s="33"/>
      <x:c r="G395" s="33"/>
      <x:c r="H395" s="33"/>
      <x:c r="I395" s="33"/>
      <x:c r="J395" s="33"/>
      <x:c r="K395" s="33"/>
      <x:c r="L395" s="33"/>
      <x:c r="M395" s="3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>
      <x:c r="A396" s="33"/>
      <x:c r="B396" s="33"/>
      <x:c r="C396" s="33"/>
      <x:c r="D396" s="33"/>
      <x:c r="E396" s="33"/>
      <x:c r="F396" s="33"/>
      <x:c r="G396" s="33"/>
      <x:c r="H396" s="33"/>
      <x:c r="I396" s="33"/>
      <x:c r="J396" s="33"/>
      <x:c r="K396" s="33"/>
      <x:c r="L396" s="33"/>
      <x:c r="M396" s="3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>
      <x:c r="A397" s="33"/>
      <x:c r="B397" s="33"/>
      <x:c r="C397" s="33"/>
      <x:c r="D397" s="33"/>
      <x:c r="E397" s="33"/>
      <x:c r="F397" s="33"/>
      <x:c r="G397" s="33"/>
      <x:c r="H397" s="33"/>
      <x:c r="I397" s="33"/>
      <x:c r="J397" s="33"/>
      <x:c r="K397" s="33"/>
      <x:c r="L397" s="33"/>
      <x:c r="M397" s="3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>
      <x:c r="A398" s="33"/>
      <x:c r="B398" s="33"/>
      <x:c r="C398" s="33"/>
      <x:c r="D398" s="33"/>
      <x:c r="E398" s="33"/>
      <x:c r="F398" s="33"/>
      <x:c r="G398" s="33"/>
      <x:c r="H398" s="33"/>
      <x:c r="I398" s="33"/>
      <x:c r="J398" s="33"/>
      <x:c r="K398" s="33"/>
      <x:c r="L398" s="33"/>
      <x:c r="M398" s="3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>
      <x:c r="A399" s="33"/>
      <x:c r="B399" s="33"/>
      <x:c r="C399" s="33"/>
      <x:c r="D399" s="33"/>
      <x:c r="E399" s="33"/>
      <x:c r="F399" s="33"/>
      <x:c r="G399" s="33"/>
      <x:c r="H399" s="33"/>
      <x:c r="I399" s="33"/>
      <x:c r="J399" s="33"/>
      <x:c r="K399" s="33"/>
      <x:c r="L399" s="33"/>
      <x:c r="M399" s="3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>
      <x:c r="A400" s="33"/>
      <x:c r="B400" s="33"/>
      <x:c r="C400" s="33"/>
      <x:c r="D400" s="33"/>
      <x:c r="E400" s="33"/>
      <x:c r="F400" s="33"/>
      <x:c r="G400" s="33"/>
      <x:c r="H400" s="33"/>
      <x:c r="I400" s="33"/>
      <x:c r="J400" s="33"/>
      <x:c r="K400" s="33"/>
      <x:c r="L400" s="33"/>
      <x:c r="M400" s="3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>
      <x:c r="A401" s="33"/>
      <x:c r="B401" s="33"/>
      <x:c r="C401" s="33"/>
      <x:c r="D401" s="33"/>
      <x:c r="E401" s="33"/>
      <x:c r="F401" s="33"/>
      <x:c r="G401" s="33"/>
      <x:c r="H401" s="33"/>
      <x:c r="I401" s="33"/>
      <x:c r="J401" s="33"/>
      <x:c r="K401" s="33"/>
      <x:c r="L401" s="33"/>
      <x:c r="M401" s="3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>
      <x:c r="A402" s="33"/>
      <x:c r="B402" s="33"/>
      <x:c r="C402" s="33"/>
      <x:c r="D402" s="33"/>
      <x:c r="E402" s="33"/>
      <x:c r="F402" s="33"/>
      <x:c r="G402" s="33"/>
      <x:c r="H402" s="33"/>
      <x:c r="I402" s="33"/>
      <x:c r="J402" s="33"/>
      <x:c r="K402" s="33"/>
      <x:c r="L402" s="33"/>
      <x:c r="M402" s="3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>
      <x:c r="A403" s="33"/>
      <x:c r="B403" s="33"/>
      <x:c r="C403" s="33"/>
      <x:c r="D403" s="33"/>
      <x:c r="E403" s="33"/>
      <x:c r="F403" s="33"/>
      <x:c r="G403" s="33"/>
      <x:c r="H403" s="33"/>
      <x:c r="I403" s="33"/>
      <x:c r="J403" s="33"/>
      <x:c r="K403" s="33"/>
      <x:c r="L403" s="33"/>
      <x:c r="M403" s="3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>
      <x:c r="A404" s="33"/>
      <x:c r="B404" s="33"/>
      <x:c r="C404" s="33"/>
      <x:c r="D404" s="33"/>
      <x:c r="E404" s="33"/>
      <x:c r="F404" s="33"/>
      <x:c r="G404" s="33"/>
      <x:c r="H404" s="33"/>
      <x:c r="I404" s="33"/>
      <x:c r="J404" s="33"/>
      <x:c r="K404" s="33"/>
      <x:c r="L404" s="33"/>
      <x:c r="M404" s="3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>
      <x:c r="A405" s="33"/>
      <x:c r="B405" s="33"/>
      <x:c r="C405" s="33"/>
      <x:c r="D405" s="33"/>
      <x:c r="E405" s="33"/>
      <x:c r="F405" s="33"/>
      <x:c r="G405" s="33"/>
      <x:c r="H405" s="33"/>
      <x:c r="I405" s="33"/>
      <x:c r="J405" s="33"/>
      <x:c r="K405" s="33"/>
      <x:c r="L405" s="33"/>
      <x:c r="M405" s="3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>
      <x:c r="A406" s="33"/>
      <x:c r="B406" s="33"/>
      <x:c r="C406" s="33"/>
      <x:c r="D406" s="33"/>
      <x:c r="E406" s="33"/>
      <x:c r="F406" s="33"/>
      <x:c r="G406" s="33"/>
      <x:c r="H406" s="33"/>
      <x:c r="I406" s="33"/>
      <x:c r="J406" s="33"/>
      <x:c r="K406" s="33"/>
      <x:c r="L406" s="33"/>
      <x:c r="M406" s="3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>
      <x:c r="A407" s="33"/>
      <x:c r="B407" s="33"/>
      <x:c r="C407" s="33"/>
      <x:c r="D407" s="33"/>
      <x:c r="E407" s="33"/>
      <x:c r="F407" s="33"/>
      <x:c r="G407" s="33"/>
      <x:c r="H407" s="33"/>
      <x:c r="I407" s="33"/>
      <x:c r="J407" s="33"/>
      <x:c r="K407" s="33"/>
      <x:c r="L407" s="33"/>
      <x:c r="M407" s="3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>
      <x:c r="A408" s="33"/>
      <x:c r="B408" s="33"/>
      <x:c r="C408" s="33"/>
      <x:c r="D408" s="33"/>
      <x:c r="E408" s="33"/>
      <x:c r="F408" s="33"/>
      <x:c r="G408" s="33"/>
      <x:c r="H408" s="33"/>
      <x:c r="I408" s="33"/>
      <x:c r="J408" s="33"/>
      <x:c r="K408" s="33"/>
      <x:c r="L408" s="33"/>
      <x:c r="M408" s="3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>
      <x:c r="A409" s="33"/>
      <x:c r="B409" s="33"/>
      <x:c r="C409" s="33"/>
      <x:c r="D409" s="33"/>
      <x:c r="E409" s="33"/>
      <x:c r="F409" s="33"/>
      <x:c r="G409" s="33"/>
      <x:c r="H409" s="33"/>
      <x:c r="I409" s="33"/>
      <x:c r="J409" s="33"/>
      <x:c r="K409" s="33"/>
      <x:c r="L409" s="33"/>
      <x:c r="M409" s="3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>
      <x:c r="A410" s="33"/>
      <x:c r="B410" s="33"/>
      <x:c r="C410" s="33"/>
      <x:c r="D410" s="33"/>
      <x:c r="E410" s="33"/>
      <x:c r="F410" s="33"/>
      <x:c r="G410" s="33"/>
      <x:c r="H410" s="33"/>
      <x:c r="I410" s="33"/>
      <x:c r="J410" s="33"/>
      <x:c r="K410" s="33"/>
      <x:c r="L410" s="33"/>
      <x:c r="M410" s="3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>
      <x:c r="A411" s="33"/>
      <x:c r="B411" s="33"/>
      <x:c r="C411" s="33"/>
      <x:c r="D411" s="33"/>
      <x:c r="E411" s="33"/>
      <x:c r="F411" s="33"/>
      <x:c r="G411" s="33"/>
      <x:c r="H411" s="33"/>
      <x:c r="I411" s="33"/>
      <x:c r="J411" s="33"/>
      <x:c r="K411" s="33"/>
      <x:c r="L411" s="33"/>
      <x:c r="M411" s="3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>
      <x:c r="A412" s="33"/>
      <x:c r="B412" s="33"/>
      <x:c r="C412" s="33"/>
      <x:c r="D412" s="33"/>
      <x:c r="E412" s="33"/>
      <x:c r="F412" s="33"/>
      <x:c r="G412" s="33"/>
      <x:c r="H412" s="33"/>
      <x:c r="I412" s="33"/>
      <x:c r="J412" s="33"/>
      <x:c r="K412" s="33"/>
      <x:c r="L412" s="33"/>
      <x:c r="M412" s="3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>
      <x:c r="A413" s="33"/>
      <x:c r="B413" s="33"/>
      <x:c r="C413" s="33"/>
      <x:c r="D413" s="33"/>
      <x:c r="E413" s="33"/>
      <x:c r="F413" s="33"/>
      <x:c r="G413" s="33"/>
      <x:c r="H413" s="33"/>
      <x:c r="I413" s="33"/>
      <x:c r="J413" s="33"/>
      <x:c r="K413" s="33"/>
      <x:c r="L413" s="33"/>
      <x:c r="M413" s="3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>
      <x:c r="A414" s="33"/>
      <x:c r="B414" s="33"/>
      <x:c r="C414" s="33"/>
      <x:c r="D414" s="33"/>
      <x:c r="E414" s="33"/>
      <x:c r="F414" s="33"/>
      <x:c r="G414" s="33"/>
      <x:c r="H414" s="33"/>
      <x:c r="I414" s="33"/>
      <x:c r="J414" s="33"/>
      <x:c r="K414" s="33"/>
      <x:c r="L414" s="33"/>
      <x:c r="M414" s="3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>
      <x:c r="A415" s="33"/>
      <x:c r="B415" s="33"/>
      <x:c r="C415" s="33"/>
      <x:c r="D415" s="33"/>
      <x:c r="E415" s="33"/>
      <x:c r="F415" s="33"/>
      <x:c r="G415" s="33"/>
      <x:c r="H415" s="33"/>
      <x:c r="I415" s="33"/>
      <x:c r="J415" s="33"/>
      <x:c r="K415" s="33"/>
      <x:c r="L415" s="33"/>
      <x:c r="M415" s="3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>
      <x:c r="A416" s="33"/>
      <x:c r="B416" s="33"/>
      <x:c r="C416" s="33"/>
      <x:c r="D416" s="33"/>
      <x:c r="E416" s="33"/>
      <x:c r="F416" s="33"/>
      <x:c r="G416" s="33"/>
      <x:c r="H416" s="33"/>
      <x:c r="I416" s="33"/>
      <x:c r="J416" s="33"/>
      <x:c r="K416" s="33"/>
      <x:c r="L416" s="33"/>
      <x:c r="M416" s="3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>
      <x:c r="A417" s="33"/>
      <x:c r="B417" s="33"/>
      <x:c r="C417" s="33"/>
      <x:c r="D417" s="33"/>
      <x:c r="E417" s="33"/>
      <x:c r="F417" s="33"/>
      <x:c r="G417" s="33"/>
      <x:c r="H417" s="33"/>
      <x:c r="I417" s="33"/>
      <x:c r="J417" s="33"/>
      <x:c r="K417" s="33"/>
      <x:c r="L417" s="33"/>
      <x:c r="M417" s="3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>
      <x:c r="A418" s="33"/>
      <x:c r="B418" s="33"/>
      <x:c r="C418" s="33"/>
      <x:c r="D418" s="33"/>
      <x:c r="E418" s="33"/>
      <x:c r="F418" s="33"/>
      <x:c r="G418" s="33"/>
      <x:c r="H418" s="33"/>
      <x:c r="I418" s="33"/>
      <x:c r="J418" s="33"/>
      <x:c r="K418" s="33"/>
      <x:c r="L418" s="33"/>
      <x:c r="M418" s="3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>
      <x:c r="A419" s="33"/>
      <x:c r="B419" s="33"/>
      <x:c r="C419" s="33"/>
      <x:c r="D419" s="33"/>
      <x:c r="E419" s="33"/>
      <x:c r="F419" s="33"/>
      <x:c r="G419" s="33"/>
      <x:c r="H419" s="33"/>
      <x:c r="I419" s="33"/>
      <x:c r="J419" s="33"/>
      <x:c r="K419" s="33"/>
      <x:c r="L419" s="33"/>
      <x:c r="M419" s="3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>
      <x:c r="A420" s="33"/>
      <x:c r="B420" s="33"/>
      <x:c r="C420" s="33"/>
      <x:c r="D420" s="33"/>
      <x:c r="E420" s="33"/>
      <x:c r="F420" s="33"/>
      <x:c r="G420" s="33"/>
      <x:c r="H420" s="33"/>
      <x:c r="I420" s="33"/>
      <x:c r="J420" s="33"/>
      <x:c r="K420" s="33"/>
      <x:c r="L420" s="33"/>
      <x:c r="M420" s="3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>
      <x:c r="A421" s="33"/>
      <x:c r="B421" s="33"/>
      <x:c r="C421" s="33"/>
      <x:c r="D421" s="33"/>
      <x:c r="E421" s="33"/>
      <x:c r="F421" s="33"/>
      <x:c r="G421" s="33"/>
      <x:c r="H421" s="33"/>
      <x:c r="I421" s="33"/>
      <x:c r="J421" s="33"/>
      <x:c r="K421" s="33"/>
      <x:c r="L421" s="33"/>
      <x:c r="M421" s="3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>
      <x:c r="A422" s="33"/>
      <x:c r="B422" s="33"/>
      <x:c r="C422" s="33"/>
      <x:c r="D422" s="33"/>
      <x:c r="E422" s="33"/>
      <x:c r="F422" s="33"/>
      <x:c r="G422" s="33"/>
      <x:c r="H422" s="33"/>
      <x:c r="I422" s="33"/>
      <x:c r="J422" s="33"/>
      <x:c r="K422" s="33"/>
      <x:c r="L422" s="33"/>
      <x:c r="M422" s="3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>
      <x:c r="A423" s="33"/>
      <x:c r="B423" s="33"/>
      <x:c r="C423" s="33"/>
      <x:c r="D423" s="33"/>
      <x:c r="E423" s="33"/>
      <x:c r="F423" s="33"/>
      <x:c r="G423" s="33"/>
      <x:c r="H423" s="33"/>
      <x:c r="I423" s="33"/>
      <x:c r="J423" s="33"/>
      <x:c r="K423" s="33"/>
      <x:c r="L423" s="33"/>
      <x:c r="M423" s="3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>
      <x:c r="A424" s="33"/>
      <x:c r="B424" s="33"/>
      <x:c r="C424" s="33"/>
      <x:c r="D424" s="33"/>
      <x:c r="E424" s="33"/>
      <x:c r="F424" s="33"/>
      <x:c r="G424" s="33"/>
      <x:c r="H424" s="33"/>
      <x:c r="I424" s="33"/>
      <x:c r="J424" s="33"/>
      <x:c r="K424" s="33"/>
      <x:c r="L424" s="33"/>
      <x:c r="M424" s="3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>
      <x:c r="A425" s="33"/>
      <x:c r="B425" s="33"/>
      <x:c r="C425" s="33"/>
      <x:c r="D425" s="33"/>
      <x:c r="E425" s="33"/>
      <x:c r="F425" s="33"/>
      <x:c r="G425" s="33"/>
      <x:c r="H425" s="33"/>
      <x:c r="I425" s="33"/>
      <x:c r="J425" s="33"/>
      <x:c r="K425" s="33"/>
      <x:c r="L425" s="33"/>
      <x:c r="M425" s="3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>
      <x:c r="A426" s="33"/>
      <x:c r="B426" s="33"/>
      <x:c r="C426" s="33"/>
      <x:c r="D426" s="33"/>
      <x:c r="E426" s="33"/>
      <x:c r="F426" s="33"/>
      <x:c r="G426" s="33"/>
      <x:c r="H426" s="33"/>
      <x:c r="I426" s="33"/>
      <x:c r="J426" s="33"/>
      <x:c r="K426" s="33"/>
      <x:c r="L426" s="33"/>
      <x:c r="M426" s="3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>
      <x:c r="A427" s="33"/>
      <x:c r="B427" s="33"/>
      <x:c r="C427" s="33"/>
      <x:c r="D427" s="33"/>
      <x:c r="E427" s="33"/>
      <x:c r="F427" s="33"/>
      <x:c r="G427" s="33"/>
      <x:c r="H427" s="33"/>
      <x:c r="I427" s="33"/>
      <x:c r="J427" s="33"/>
      <x:c r="K427" s="33"/>
      <x:c r="L427" s="33"/>
      <x:c r="M427" s="3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>
      <x:c r="A428" s="33"/>
      <x:c r="B428" s="33"/>
      <x:c r="C428" s="33"/>
      <x:c r="D428" s="33"/>
      <x:c r="E428" s="33"/>
      <x:c r="F428" s="33"/>
      <x:c r="G428" s="33"/>
      <x:c r="H428" s="33"/>
      <x:c r="I428" s="33"/>
      <x:c r="J428" s="33"/>
      <x:c r="K428" s="33"/>
      <x:c r="L428" s="33"/>
      <x:c r="M428" s="3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>
      <x:c r="A429" s="33"/>
      <x:c r="B429" s="33"/>
      <x:c r="C429" s="33"/>
      <x:c r="D429" s="33"/>
      <x:c r="E429" s="33"/>
      <x:c r="F429" s="33"/>
      <x:c r="G429" s="33"/>
      <x:c r="H429" s="33"/>
      <x:c r="I429" s="33"/>
      <x:c r="J429" s="33"/>
      <x:c r="K429" s="33"/>
      <x:c r="L429" s="33"/>
      <x:c r="M429" s="3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>
      <x:c r="A430" s="33"/>
      <x:c r="B430" s="33"/>
      <x:c r="C430" s="33"/>
      <x:c r="D430" s="33"/>
      <x:c r="E430" s="33"/>
      <x:c r="F430" s="33"/>
      <x:c r="G430" s="33"/>
      <x:c r="H430" s="33"/>
      <x:c r="I430" s="33"/>
      <x:c r="J430" s="33"/>
      <x:c r="K430" s="33"/>
      <x:c r="L430" s="33"/>
      <x:c r="M430" s="3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>
      <x:c r="A431" s="33"/>
      <x:c r="B431" s="33"/>
      <x:c r="C431" s="33"/>
      <x:c r="D431" s="33"/>
      <x:c r="E431" s="33"/>
      <x:c r="F431" s="33"/>
      <x:c r="G431" s="33"/>
      <x:c r="H431" s="33"/>
      <x:c r="I431" s="33"/>
      <x:c r="J431" s="33"/>
      <x:c r="K431" s="33"/>
      <x:c r="L431" s="33"/>
      <x:c r="M431" s="3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>
      <x:c r="A432" s="33"/>
      <x:c r="B432" s="33"/>
      <x:c r="C432" s="33"/>
      <x:c r="D432" s="33"/>
      <x:c r="E432" s="33"/>
      <x:c r="F432" s="33"/>
      <x:c r="G432" s="33"/>
      <x:c r="H432" s="33"/>
      <x:c r="I432" s="33"/>
      <x:c r="J432" s="33"/>
      <x:c r="K432" s="33"/>
      <x:c r="L432" s="33"/>
      <x:c r="M432" s="3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>
      <x:c r="A433" s="33"/>
      <x:c r="B433" s="33"/>
      <x:c r="C433" s="33"/>
      <x:c r="D433" s="33"/>
      <x:c r="E433" s="33"/>
      <x:c r="F433" s="33"/>
      <x:c r="G433" s="33"/>
      <x:c r="H433" s="33"/>
      <x:c r="I433" s="33"/>
      <x:c r="J433" s="33"/>
      <x:c r="K433" s="33"/>
      <x:c r="L433" s="33"/>
      <x:c r="M433" s="3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>
      <x:c r="A434" s="33"/>
      <x:c r="B434" s="33"/>
      <x:c r="C434" s="33"/>
      <x:c r="D434" s="33"/>
      <x:c r="E434" s="33"/>
      <x:c r="F434" s="33"/>
      <x:c r="G434" s="33"/>
      <x:c r="H434" s="33"/>
      <x:c r="I434" s="33"/>
      <x:c r="J434" s="33"/>
      <x:c r="K434" s="33"/>
      <x:c r="L434" s="33"/>
      <x:c r="M434" s="3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>
      <x:c r="A435" s="33"/>
      <x:c r="B435" s="33"/>
      <x:c r="C435" s="33"/>
      <x:c r="D435" s="33"/>
      <x:c r="E435" s="33"/>
      <x:c r="F435" s="33"/>
      <x:c r="G435" s="33"/>
      <x:c r="H435" s="33"/>
      <x:c r="I435" s="33"/>
      <x:c r="J435" s="33"/>
      <x:c r="K435" s="33"/>
      <x:c r="L435" s="33"/>
      <x:c r="M435" s="3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>
      <x:c r="A436" s="33"/>
      <x:c r="B436" s="33"/>
      <x:c r="C436" s="33"/>
      <x:c r="D436" s="33"/>
      <x:c r="E436" s="33"/>
      <x:c r="F436" s="33"/>
      <x:c r="G436" s="33"/>
      <x:c r="H436" s="33"/>
      <x:c r="I436" s="33"/>
      <x:c r="J436" s="33"/>
      <x:c r="K436" s="33"/>
      <x:c r="L436" s="33"/>
      <x:c r="M436" s="3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>
      <x:c r="A437" s="33"/>
      <x:c r="B437" s="33"/>
      <x:c r="C437" s="33"/>
      <x:c r="D437" s="33"/>
      <x:c r="E437" s="33"/>
      <x:c r="F437" s="33"/>
      <x:c r="G437" s="33"/>
      <x:c r="H437" s="33"/>
      <x:c r="I437" s="33"/>
      <x:c r="J437" s="33"/>
      <x:c r="K437" s="33"/>
      <x:c r="L437" s="33"/>
      <x:c r="M437" s="3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>
      <x:c r="A438" s="33"/>
      <x:c r="B438" s="33"/>
      <x:c r="C438" s="33"/>
      <x:c r="D438" s="33"/>
      <x:c r="E438" s="33"/>
      <x:c r="F438" s="33"/>
      <x:c r="G438" s="33"/>
      <x:c r="H438" s="33"/>
      <x:c r="I438" s="33"/>
      <x:c r="J438" s="33"/>
      <x:c r="K438" s="33"/>
      <x:c r="L438" s="33"/>
      <x:c r="M438" s="3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>
      <x:c r="A439" s="33"/>
      <x:c r="B439" s="33"/>
      <x:c r="C439" s="33"/>
      <x:c r="D439" s="33"/>
      <x:c r="E439" s="33"/>
      <x:c r="F439" s="33"/>
      <x:c r="G439" s="33"/>
      <x:c r="H439" s="33"/>
      <x:c r="I439" s="33"/>
      <x:c r="J439" s="33"/>
      <x:c r="K439" s="33"/>
      <x:c r="L439" s="33"/>
      <x:c r="M439" s="3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>
      <x:c r="A440" s="33"/>
      <x:c r="B440" s="33"/>
      <x:c r="C440" s="33"/>
      <x:c r="D440" s="33"/>
      <x:c r="E440" s="33"/>
      <x:c r="F440" s="33"/>
      <x:c r="G440" s="33"/>
      <x:c r="H440" s="33"/>
      <x:c r="I440" s="33"/>
      <x:c r="J440" s="33"/>
      <x:c r="K440" s="33"/>
      <x:c r="L440" s="33"/>
      <x:c r="M440" s="3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>
      <x:c r="A441" s="33"/>
      <x:c r="B441" s="33"/>
      <x:c r="C441" s="33"/>
      <x:c r="D441" s="33"/>
      <x:c r="E441" s="33"/>
      <x:c r="F441" s="33"/>
      <x:c r="G441" s="33"/>
      <x:c r="H441" s="33"/>
      <x:c r="I441" s="33"/>
      <x:c r="J441" s="33"/>
      <x:c r="K441" s="33"/>
      <x:c r="L441" s="33"/>
      <x:c r="M441" s="3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>
      <x:c r="A442" s="33"/>
      <x:c r="B442" s="33"/>
      <x:c r="C442" s="33"/>
      <x:c r="D442" s="33"/>
      <x:c r="E442" s="33"/>
      <x:c r="F442" s="33"/>
      <x:c r="G442" s="33"/>
      <x:c r="H442" s="33"/>
      <x:c r="I442" s="33"/>
      <x:c r="J442" s="33"/>
      <x:c r="K442" s="33"/>
      <x:c r="L442" s="33"/>
      <x:c r="M442" s="3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>
      <x:c r="A443" s="33"/>
      <x:c r="B443" s="33"/>
      <x:c r="C443" s="33"/>
      <x:c r="D443" s="33"/>
      <x:c r="E443" s="33"/>
      <x:c r="F443" s="33"/>
      <x:c r="G443" s="33"/>
      <x:c r="H443" s="33"/>
      <x:c r="I443" s="33"/>
      <x:c r="J443" s="33"/>
      <x:c r="K443" s="33"/>
      <x:c r="L443" s="33"/>
      <x:c r="M443" s="3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>
      <x:c r="A444" s="33"/>
      <x:c r="B444" s="33"/>
      <x:c r="C444" s="33"/>
      <x:c r="D444" s="33"/>
      <x:c r="E444" s="33"/>
      <x:c r="F444" s="33"/>
      <x:c r="G444" s="33"/>
      <x:c r="H444" s="33"/>
      <x:c r="I444" s="33"/>
      <x:c r="J444" s="33"/>
      <x:c r="K444" s="33"/>
      <x:c r="L444" s="33"/>
      <x:c r="M444" s="3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>
      <x:c r="A445" s="33"/>
      <x:c r="B445" s="33"/>
      <x:c r="C445" s="33"/>
      <x:c r="D445" s="33"/>
      <x:c r="E445" s="33"/>
      <x:c r="F445" s="33"/>
      <x:c r="G445" s="33"/>
      <x:c r="H445" s="33"/>
      <x:c r="I445" s="33"/>
      <x:c r="J445" s="33"/>
      <x:c r="K445" s="33"/>
      <x:c r="L445" s="33"/>
      <x:c r="M445" s="3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>
      <x:c r="A446" s="33"/>
      <x:c r="B446" s="33"/>
      <x:c r="C446" s="33"/>
      <x:c r="D446" s="33"/>
      <x:c r="E446" s="33"/>
      <x:c r="F446" s="33"/>
      <x:c r="G446" s="33"/>
      <x:c r="H446" s="33"/>
      <x:c r="I446" s="33"/>
      <x:c r="J446" s="33"/>
      <x:c r="K446" s="33"/>
      <x:c r="L446" s="33"/>
      <x:c r="M446" s="3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>
      <x:c r="A447" s="33"/>
      <x:c r="B447" s="33"/>
      <x:c r="C447" s="33"/>
      <x:c r="D447" s="33"/>
      <x:c r="E447" s="33"/>
      <x:c r="F447" s="33"/>
      <x:c r="G447" s="33"/>
      <x:c r="H447" s="33"/>
      <x:c r="I447" s="33"/>
      <x:c r="J447" s="33"/>
      <x:c r="K447" s="33"/>
      <x:c r="L447" s="33"/>
      <x:c r="M447" s="3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>
      <x:c r="A448" s="33"/>
      <x:c r="B448" s="33"/>
      <x:c r="C448" s="33"/>
      <x:c r="D448" s="33"/>
      <x:c r="E448" s="33"/>
      <x:c r="F448" s="33"/>
      <x:c r="G448" s="33"/>
      <x:c r="H448" s="33"/>
      <x:c r="I448" s="33"/>
      <x:c r="J448" s="33"/>
      <x:c r="K448" s="33"/>
      <x:c r="L448" s="33"/>
      <x:c r="M448" s="3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>
      <x:c r="A449" s="33"/>
      <x:c r="B449" s="33"/>
      <x:c r="C449" s="33"/>
      <x:c r="D449" s="33"/>
      <x:c r="E449" s="33"/>
      <x:c r="F449" s="33"/>
      <x:c r="G449" s="33"/>
      <x:c r="H449" s="33"/>
      <x:c r="I449" s="33"/>
      <x:c r="J449" s="33"/>
      <x:c r="K449" s="33"/>
      <x:c r="L449" s="33"/>
      <x:c r="M449" s="3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>
      <x:c r="A450" s="33"/>
      <x:c r="B450" s="33"/>
      <x:c r="C450" s="33"/>
      <x:c r="D450" s="33"/>
      <x:c r="E450" s="33"/>
      <x:c r="F450" s="33"/>
      <x:c r="G450" s="33"/>
      <x:c r="H450" s="33"/>
      <x:c r="I450" s="33"/>
      <x:c r="J450" s="33"/>
      <x:c r="K450" s="33"/>
      <x:c r="L450" s="33"/>
      <x:c r="M450" s="3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>
      <x:c r="A451" s="33"/>
      <x:c r="B451" s="33"/>
      <x:c r="C451" s="33"/>
      <x:c r="D451" s="33"/>
      <x:c r="E451" s="33"/>
      <x:c r="F451" s="33"/>
      <x:c r="G451" s="33"/>
      <x:c r="H451" s="33"/>
      <x:c r="I451" s="33"/>
      <x:c r="J451" s="33"/>
      <x:c r="K451" s="33"/>
      <x:c r="L451" s="33"/>
      <x:c r="M451" s="3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>
      <x:c r="A452" s="33"/>
      <x:c r="B452" s="33"/>
      <x:c r="C452" s="33"/>
      <x:c r="D452" s="33"/>
      <x:c r="E452" s="33"/>
      <x:c r="F452" s="33"/>
      <x:c r="G452" s="33"/>
      <x:c r="H452" s="33"/>
      <x:c r="I452" s="33"/>
      <x:c r="J452" s="33"/>
      <x:c r="K452" s="33"/>
      <x:c r="L452" s="33"/>
      <x:c r="M452" s="3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>
      <x:c r="A453" s="33"/>
      <x:c r="B453" s="33"/>
      <x:c r="C453" s="33"/>
      <x:c r="D453" s="33"/>
      <x:c r="E453" s="33"/>
      <x:c r="F453" s="33"/>
      <x:c r="G453" s="33"/>
      <x:c r="H453" s="33"/>
      <x:c r="I453" s="33"/>
      <x:c r="J453" s="33"/>
      <x:c r="K453" s="33"/>
      <x:c r="L453" s="33"/>
      <x:c r="M453" s="3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>
      <x:c r="A454" s="33"/>
      <x:c r="B454" s="33"/>
      <x:c r="C454" s="33"/>
      <x:c r="D454" s="33"/>
      <x:c r="E454" s="33"/>
      <x:c r="F454" s="33"/>
      <x:c r="G454" s="33"/>
      <x:c r="H454" s="33"/>
      <x:c r="I454" s="33"/>
      <x:c r="J454" s="33"/>
      <x:c r="K454" s="33"/>
      <x:c r="L454" s="33"/>
      <x:c r="M454" s="3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>
      <x:c r="A455" s="33"/>
      <x:c r="B455" s="33"/>
      <x:c r="C455" s="33"/>
      <x:c r="D455" s="33"/>
      <x:c r="E455" s="33"/>
      <x:c r="F455" s="33"/>
      <x:c r="G455" s="33"/>
      <x:c r="H455" s="33"/>
      <x:c r="I455" s="33"/>
      <x:c r="J455" s="33"/>
      <x:c r="K455" s="33"/>
      <x:c r="L455" s="33"/>
      <x:c r="M455" s="3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>
      <x:c r="A456" s="33"/>
      <x:c r="B456" s="33"/>
      <x:c r="C456" s="33"/>
      <x:c r="D456" s="33"/>
      <x:c r="E456" s="33"/>
      <x:c r="F456" s="33"/>
      <x:c r="G456" s="33"/>
      <x:c r="H456" s="33"/>
      <x:c r="I456" s="33"/>
      <x:c r="J456" s="33"/>
      <x:c r="K456" s="33"/>
      <x:c r="L456" s="33"/>
      <x:c r="M456" s="3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>
      <x:c r="A457" s="33"/>
      <x:c r="B457" s="33"/>
      <x:c r="C457" s="33"/>
      <x:c r="D457" s="33"/>
      <x:c r="E457" s="33"/>
      <x:c r="F457" s="33"/>
      <x:c r="G457" s="33"/>
      <x:c r="H457" s="33"/>
      <x:c r="I457" s="33"/>
      <x:c r="J457" s="33"/>
      <x:c r="K457" s="33"/>
      <x:c r="L457" s="33"/>
      <x:c r="M457" s="3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>
      <x:c r="A458" s="33"/>
      <x:c r="B458" s="33"/>
      <x:c r="C458" s="33"/>
      <x:c r="D458" s="33"/>
      <x:c r="E458" s="33"/>
      <x:c r="F458" s="33"/>
      <x:c r="G458" s="33"/>
      <x:c r="H458" s="33"/>
      <x:c r="I458" s="33"/>
      <x:c r="J458" s="33"/>
      <x:c r="K458" s="33"/>
      <x:c r="L458" s="33"/>
      <x:c r="M458" s="3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>
      <x:c r="A459" s="33"/>
      <x:c r="B459" s="33"/>
      <x:c r="C459" s="33"/>
      <x:c r="D459" s="33"/>
      <x:c r="E459" s="33"/>
      <x:c r="F459" s="33"/>
      <x:c r="G459" s="33"/>
      <x:c r="H459" s="33"/>
      <x:c r="I459" s="33"/>
      <x:c r="J459" s="33"/>
      <x:c r="K459" s="33"/>
      <x:c r="L459" s="33"/>
      <x:c r="M459" s="3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>
      <x:c r="A460" s="33"/>
      <x:c r="B460" s="33"/>
      <x:c r="C460" s="33"/>
      <x:c r="D460" s="33"/>
      <x:c r="E460" s="33"/>
      <x:c r="F460" s="33"/>
      <x:c r="G460" s="33"/>
      <x:c r="H460" s="33"/>
      <x:c r="I460" s="33"/>
      <x:c r="J460" s="33"/>
      <x:c r="K460" s="33"/>
      <x:c r="L460" s="33"/>
      <x:c r="M460" s="3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>
      <x:c r="A461" s="33"/>
      <x:c r="B461" s="33"/>
      <x:c r="C461" s="33"/>
      <x:c r="D461" s="33"/>
      <x:c r="E461" s="33"/>
      <x:c r="F461" s="33"/>
      <x:c r="G461" s="33"/>
      <x:c r="H461" s="33"/>
      <x:c r="I461" s="33"/>
      <x:c r="J461" s="33"/>
      <x:c r="K461" s="33"/>
      <x:c r="L461" s="33"/>
      <x:c r="M461" s="3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>
      <x:c r="A462" s="33"/>
      <x:c r="B462" s="33"/>
      <x:c r="C462" s="33"/>
      <x:c r="D462" s="33"/>
      <x:c r="E462" s="33"/>
      <x:c r="F462" s="33"/>
      <x:c r="G462" s="33"/>
      <x:c r="H462" s="33"/>
      <x:c r="I462" s="33"/>
      <x:c r="J462" s="33"/>
      <x:c r="K462" s="33"/>
      <x:c r="L462" s="33"/>
      <x:c r="M462" s="3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>
      <x:c r="A463" s="33"/>
      <x:c r="B463" s="33"/>
      <x:c r="C463" s="33"/>
      <x:c r="D463" s="33"/>
      <x:c r="E463" s="33"/>
      <x:c r="F463" s="33"/>
      <x:c r="G463" s="33"/>
      <x:c r="H463" s="33"/>
      <x:c r="I463" s="33"/>
      <x:c r="J463" s="33"/>
      <x:c r="K463" s="33"/>
      <x:c r="L463" s="33"/>
      <x:c r="M463" s="3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>
      <x:c r="A464" s="33"/>
      <x:c r="B464" s="33"/>
      <x:c r="C464" s="33"/>
      <x:c r="D464" s="33"/>
      <x:c r="E464" s="33"/>
      <x:c r="F464" s="33"/>
      <x:c r="G464" s="33"/>
      <x:c r="H464" s="33"/>
      <x:c r="I464" s="33"/>
      <x:c r="J464" s="33"/>
      <x:c r="K464" s="33"/>
      <x:c r="L464" s="33"/>
      <x:c r="M464" s="3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>
      <x:c r="A465" s="33"/>
      <x:c r="B465" s="33"/>
      <x:c r="C465" s="33"/>
      <x:c r="D465" s="33"/>
      <x:c r="E465" s="33"/>
      <x:c r="F465" s="33"/>
      <x:c r="G465" s="33"/>
      <x:c r="H465" s="33"/>
      <x:c r="I465" s="33"/>
      <x:c r="J465" s="33"/>
      <x:c r="K465" s="33"/>
      <x:c r="L465" s="33"/>
      <x:c r="M465" s="3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>
      <x:c r="A466" s="33"/>
      <x:c r="B466" s="33"/>
      <x:c r="C466" s="33"/>
      <x:c r="D466" s="33"/>
      <x:c r="E466" s="33"/>
      <x:c r="F466" s="33"/>
      <x:c r="G466" s="33"/>
      <x:c r="H466" s="33"/>
      <x:c r="I466" s="33"/>
      <x:c r="J466" s="33"/>
      <x:c r="K466" s="33"/>
      <x:c r="L466" s="33"/>
      <x:c r="M466" s="3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>
      <x:c r="A467" s="33"/>
      <x:c r="B467" s="33"/>
      <x:c r="C467" s="33"/>
      <x:c r="D467" s="33"/>
      <x:c r="E467" s="33"/>
      <x:c r="F467" s="33"/>
      <x:c r="G467" s="33"/>
      <x:c r="H467" s="33"/>
      <x:c r="I467" s="33"/>
      <x:c r="J467" s="33"/>
      <x:c r="K467" s="33"/>
      <x:c r="L467" s="33"/>
      <x:c r="M467" s="3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>
      <x:c r="A468" s="33"/>
      <x:c r="B468" s="33"/>
      <x:c r="C468" s="33"/>
      <x:c r="D468" s="33"/>
      <x:c r="E468" s="33"/>
      <x:c r="F468" s="33"/>
      <x:c r="G468" s="33"/>
      <x:c r="H468" s="33"/>
      <x:c r="I468" s="33"/>
      <x:c r="J468" s="33"/>
      <x:c r="K468" s="33"/>
      <x:c r="L468" s="33"/>
      <x:c r="M468" s="3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>
      <x:c r="A469" s="33"/>
      <x:c r="B469" s="33"/>
      <x:c r="C469" s="33"/>
      <x:c r="D469" s="33"/>
      <x:c r="E469" s="33"/>
      <x:c r="F469" s="33"/>
      <x:c r="G469" s="33"/>
      <x:c r="H469" s="33"/>
      <x:c r="I469" s="33"/>
      <x:c r="J469" s="33"/>
      <x:c r="K469" s="33"/>
      <x:c r="L469" s="33"/>
      <x:c r="M469" s="3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>
      <x:c r="A470" s="33"/>
      <x:c r="B470" s="33"/>
      <x:c r="C470" s="33"/>
      <x:c r="D470" s="33"/>
      <x:c r="E470" s="33"/>
      <x:c r="F470" s="33"/>
      <x:c r="G470" s="33"/>
      <x:c r="H470" s="33"/>
      <x:c r="I470" s="33"/>
      <x:c r="J470" s="33"/>
      <x:c r="K470" s="33"/>
      <x:c r="L470" s="33"/>
      <x:c r="M470" s="3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>
      <x:c r="A471" s="33"/>
      <x:c r="B471" s="33"/>
      <x:c r="C471" s="33"/>
      <x:c r="D471" s="33"/>
      <x:c r="E471" s="33"/>
      <x:c r="F471" s="33"/>
      <x:c r="G471" s="33"/>
      <x:c r="H471" s="33"/>
      <x:c r="I471" s="33"/>
      <x:c r="J471" s="33"/>
      <x:c r="K471" s="33"/>
      <x:c r="L471" s="33"/>
      <x:c r="M471" s="3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>
      <x:c r="A472" s="33"/>
      <x:c r="B472" s="33"/>
      <x:c r="C472" s="33"/>
      <x:c r="D472" s="33"/>
      <x:c r="E472" s="33"/>
      <x:c r="F472" s="33"/>
      <x:c r="G472" s="33"/>
      <x:c r="H472" s="33"/>
      <x:c r="I472" s="33"/>
      <x:c r="J472" s="33"/>
      <x:c r="K472" s="33"/>
      <x:c r="L472" s="33"/>
      <x:c r="M472" s="3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>
      <x:c r="A473" s="33"/>
      <x:c r="B473" s="33"/>
      <x:c r="C473" s="33"/>
      <x:c r="D473" s="33"/>
      <x:c r="E473" s="33"/>
      <x:c r="F473" s="33"/>
      <x:c r="G473" s="33"/>
      <x:c r="H473" s="33"/>
      <x:c r="I473" s="33"/>
      <x:c r="J473" s="33"/>
      <x:c r="K473" s="33"/>
      <x:c r="L473" s="33"/>
      <x:c r="M473" s="3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>
      <x:c r="A474" s="33"/>
      <x:c r="B474" s="33"/>
      <x:c r="C474" s="33"/>
      <x:c r="D474" s="33"/>
      <x:c r="E474" s="33"/>
      <x:c r="F474" s="33"/>
      <x:c r="G474" s="33"/>
      <x:c r="H474" s="33"/>
      <x:c r="I474" s="33"/>
      <x:c r="J474" s="33"/>
      <x:c r="K474" s="33"/>
      <x:c r="L474" s="33"/>
      <x:c r="M474" s="3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>
      <x:c r="A475" s="33"/>
      <x:c r="B475" s="33"/>
      <x:c r="C475" s="33"/>
      <x:c r="D475" s="33"/>
      <x:c r="E475" s="33"/>
      <x:c r="F475" s="33"/>
      <x:c r="G475" s="33"/>
      <x:c r="H475" s="33"/>
      <x:c r="I475" s="33"/>
      <x:c r="J475" s="33"/>
      <x:c r="K475" s="33"/>
      <x:c r="L475" s="33"/>
      <x:c r="M475" s="3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>
      <x:c r="A476" s="33"/>
      <x:c r="B476" s="33"/>
      <x:c r="C476" s="33"/>
      <x:c r="D476" s="33"/>
      <x:c r="E476" s="33"/>
      <x:c r="F476" s="33"/>
      <x:c r="G476" s="33"/>
      <x:c r="H476" s="33"/>
      <x:c r="I476" s="33"/>
      <x:c r="J476" s="33"/>
      <x:c r="K476" s="33"/>
      <x:c r="L476" s="33"/>
      <x:c r="M476" s="3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>
      <x:c r="A477" s="33"/>
      <x:c r="B477" s="33"/>
      <x:c r="C477" s="33"/>
      <x:c r="D477" s="33"/>
      <x:c r="E477" s="33"/>
      <x:c r="F477" s="33"/>
      <x:c r="G477" s="33"/>
      <x:c r="H477" s="33"/>
      <x:c r="I477" s="33"/>
      <x:c r="J477" s="33"/>
      <x:c r="K477" s="33"/>
      <x:c r="L477" s="33"/>
      <x:c r="M477" s="3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>
      <x:c r="A478" s="33"/>
      <x:c r="B478" s="33"/>
      <x:c r="C478" s="33"/>
      <x:c r="D478" s="33"/>
      <x:c r="E478" s="33"/>
      <x:c r="F478" s="33"/>
      <x:c r="G478" s="33"/>
      <x:c r="H478" s="33"/>
      <x:c r="I478" s="33"/>
      <x:c r="J478" s="33"/>
      <x:c r="K478" s="33"/>
      <x:c r="L478" s="33"/>
      <x:c r="M478" s="3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>
      <x:c r="A479" s="33"/>
      <x:c r="B479" s="33"/>
      <x:c r="C479" s="33"/>
      <x:c r="D479" s="33"/>
      <x:c r="E479" s="33"/>
      <x:c r="F479" s="33"/>
      <x:c r="G479" s="33"/>
      <x:c r="H479" s="33"/>
      <x:c r="I479" s="33"/>
      <x:c r="J479" s="33"/>
      <x:c r="K479" s="33"/>
      <x:c r="L479" s="33"/>
      <x:c r="M479" s="3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>
      <x:c r="A480" s="33"/>
      <x:c r="B480" s="33"/>
      <x:c r="C480" s="33"/>
      <x:c r="D480" s="33"/>
      <x:c r="E480" s="33"/>
      <x:c r="F480" s="33"/>
      <x:c r="G480" s="33"/>
      <x:c r="H480" s="33"/>
      <x:c r="I480" s="33"/>
      <x:c r="J480" s="33"/>
      <x:c r="K480" s="33"/>
      <x:c r="L480" s="33"/>
      <x:c r="M480" s="3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>
      <x:c r="A481" s="33"/>
      <x:c r="B481" s="33"/>
      <x:c r="C481" s="33"/>
      <x:c r="D481" s="33"/>
      <x:c r="E481" s="33"/>
      <x:c r="F481" s="33"/>
      <x:c r="G481" s="33"/>
      <x:c r="H481" s="33"/>
      <x:c r="I481" s="33"/>
      <x:c r="J481" s="33"/>
      <x:c r="K481" s="33"/>
      <x:c r="L481" s="33"/>
      <x:c r="M481" s="3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>
      <x:c r="A482" s="33"/>
      <x:c r="B482" s="33"/>
      <x:c r="C482" s="33"/>
      <x:c r="D482" s="33"/>
      <x:c r="E482" s="33"/>
      <x:c r="F482" s="33"/>
      <x:c r="G482" s="33"/>
      <x:c r="H482" s="33"/>
      <x:c r="I482" s="33"/>
      <x:c r="J482" s="33"/>
      <x:c r="K482" s="33"/>
      <x:c r="L482" s="33"/>
      <x:c r="M482" s="3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>
      <x:c r="A483" s="33"/>
      <x:c r="B483" s="33"/>
      <x:c r="C483" s="33"/>
      <x:c r="D483" s="33"/>
      <x:c r="E483" s="33"/>
      <x:c r="F483" s="33"/>
      <x:c r="G483" s="33"/>
      <x:c r="H483" s="33"/>
      <x:c r="I483" s="33"/>
      <x:c r="J483" s="33"/>
      <x:c r="K483" s="33"/>
      <x:c r="L483" s="33"/>
      <x:c r="M483" s="3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>
      <x:c r="A484" s="33"/>
      <x:c r="B484" s="33"/>
      <x:c r="C484" s="33"/>
      <x:c r="D484" s="33"/>
      <x:c r="E484" s="33"/>
      <x:c r="F484" s="33"/>
      <x:c r="G484" s="33"/>
      <x:c r="H484" s="33"/>
      <x:c r="I484" s="33"/>
      <x:c r="J484" s="33"/>
      <x:c r="K484" s="33"/>
      <x:c r="L484" s="33"/>
      <x:c r="M484" s="3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>
      <x:c r="A485" s="33"/>
      <x:c r="B485" s="33"/>
      <x:c r="C485" s="33"/>
      <x:c r="D485" s="33"/>
      <x:c r="E485" s="33"/>
      <x:c r="F485" s="33"/>
      <x:c r="G485" s="33"/>
      <x:c r="H485" s="33"/>
      <x:c r="I485" s="33"/>
      <x:c r="J485" s="33"/>
      <x:c r="K485" s="33"/>
      <x:c r="L485" s="33"/>
      <x:c r="M485" s="3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>
      <x:c r="A486" s="33"/>
      <x:c r="B486" s="33"/>
      <x:c r="C486" s="33"/>
      <x:c r="D486" s="33"/>
      <x:c r="E486" s="33"/>
      <x:c r="F486" s="33"/>
      <x:c r="G486" s="33"/>
      <x:c r="H486" s="33"/>
      <x:c r="I486" s="33"/>
      <x:c r="J486" s="33"/>
      <x:c r="K486" s="33"/>
      <x:c r="L486" s="33"/>
      <x:c r="M486" s="3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>
      <x:c r="A487" s="33"/>
      <x:c r="B487" s="33"/>
      <x:c r="C487" s="33"/>
      <x:c r="D487" s="33"/>
      <x:c r="E487" s="33"/>
      <x:c r="F487" s="33"/>
      <x:c r="G487" s="33"/>
      <x:c r="H487" s="33"/>
      <x:c r="I487" s="33"/>
      <x:c r="J487" s="33"/>
      <x:c r="K487" s="33"/>
      <x:c r="L487" s="33"/>
      <x:c r="M487" s="3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>
      <x:c r="A488" s="33"/>
      <x:c r="B488" s="33"/>
      <x:c r="C488" s="33"/>
      <x:c r="D488" s="33"/>
      <x:c r="E488" s="33"/>
      <x:c r="F488" s="33"/>
      <x:c r="G488" s="33"/>
      <x:c r="H488" s="33"/>
      <x:c r="I488" s="33"/>
      <x:c r="J488" s="33"/>
      <x:c r="K488" s="33"/>
      <x:c r="L488" s="33"/>
      <x:c r="M488" s="3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>
      <x:c r="A489" s="33"/>
      <x:c r="B489" s="33"/>
      <x:c r="C489" s="33"/>
      <x:c r="D489" s="33"/>
      <x:c r="E489" s="33"/>
      <x:c r="F489" s="33"/>
      <x:c r="G489" s="33"/>
      <x:c r="H489" s="33"/>
      <x:c r="I489" s="33"/>
      <x:c r="J489" s="33"/>
      <x:c r="K489" s="33"/>
      <x:c r="L489" s="33"/>
      <x:c r="M489" s="3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>
      <x:c r="A490" s="33"/>
      <x:c r="B490" s="33"/>
      <x:c r="C490" s="33"/>
      <x:c r="D490" s="33"/>
      <x:c r="E490" s="33"/>
      <x:c r="F490" s="33"/>
      <x:c r="G490" s="33"/>
      <x:c r="H490" s="33"/>
      <x:c r="I490" s="33"/>
      <x:c r="J490" s="33"/>
      <x:c r="K490" s="33"/>
      <x:c r="L490" s="33"/>
      <x:c r="M490" s="3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>
      <x:c r="A491" s="33"/>
      <x:c r="B491" s="33"/>
      <x:c r="C491" s="33"/>
      <x:c r="D491" s="33"/>
      <x:c r="E491" s="33"/>
      <x:c r="F491" s="33"/>
      <x:c r="G491" s="33"/>
      <x:c r="H491" s="33"/>
      <x:c r="I491" s="33"/>
      <x:c r="J491" s="33"/>
      <x:c r="K491" s="33"/>
      <x:c r="L491" s="33"/>
      <x:c r="M491" s="3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>
      <x:c r="A492" s="33"/>
      <x:c r="B492" s="33"/>
      <x:c r="C492" s="33"/>
      <x:c r="D492" s="33"/>
      <x:c r="E492" s="33"/>
      <x:c r="F492" s="33"/>
      <x:c r="G492" s="33"/>
      <x:c r="H492" s="33"/>
      <x:c r="I492" s="33"/>
      <x:c r="J492" s="33"/>
      <x:c r="K492" s="33"/>
      <x:c r="L492" s="33"/>
      <x:c r="M492" s="3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>
      <x:c r="A493" s="33"/>
      <x:c r="B493" s="33"/>
      <x:c r="C493" s="33"/>
      <x:c r="D493" s="33"/>
      <x:c r="E493" s="33"/>
      <x:c r="F493" s="33"/>
      <x:c r="G493" s="33"/>
      <x:c r="H493" s="33"/>
      <x:c r="I493" s="33"/>
      <x:c r="J493" s="33"/>
      <x:c r="K493" s="33"/>
      <x:c r="L493" s="33"/>
      <x:c r="M493" s="3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>
      <x:c r="A494" s="33"/>
      <x:c r="B494" s="33"/>
      <x:c r="C494" s="33"/>
      <x:c r="D494" s="33"/>
      <x:c r="E494" s="33"/>
      <x:c r="F494" s="33"/>
      <x:c r="G494" s="33"/>
      <x:c r="H494" s="33"/>
      <x:c r="I494" s="33"/>
      <x:c r="J494" s="33"/>
      <x:c r="K494" s="33"/>
      <x:c r="L494" s="33"/>
      <x:c r="M494" s="3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>
      <x:c r="A495" s="33"/>
      <x:c r="B495" s="33"/>
      <x:c r="C495" s="33"/>
      <x:c r="D495" s="33"/>
      <x:c r="E495" s="33"/>
      <x:c r="F495" s="33"/>
      <x:c r="G495" s="33"/>
      <x:c r="H495" s="33"/>
      <x:c r="I495" s="33"/>
      <x:c r="J495" s="33"/>
      <x:c r="K495" s="33"/>
      <x:c r="L495" s="33"/>
      <x:c r="M495" s="3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>
      <x:c r="A496" s="33"/>
      <x:c r="B496" s="33"/>
      <x:c r="C496" s="33"/>
      <x:c r="D496" s="33"/>
      <x:c r="E496" s="33"/>
      <x:c r="F496" s="33"/>
      <x:c r="G496" s="33"/>
      <x:c r="H496" s="33"/>
      <x:c r="I496" s="33"/>
      <x:c r="J496" s="33"/>
      <x:c r="K496" s="33"/>
      <x:c r="L496" s="33"/>
      <x:c r="M496" s="3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>
      <x:c r="A497" s="33"/>
      <x:c r="B497" s="33"/>
      <x:c r="C497" s="33"/>
      <x:c r="D497" s="33"/>
      <x:c r="E497" s="33"/>
      <x:c r="F497" s="33"/>
      <x:c r="G497" s="33"/>
      <x:c r="H497" s="33"/>
      <x:c r="I497" s="33"/>
      <x:c r="J497" s="33"/>
      <x:c r="K497" s="33"/>
      <x:c r="L497" s="33"/>
      <x:c r="M497" s="3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>
      <x:c r="A498" s="33"/>
      <x:c r="B498" s="33"/>
      <x:c r="C498" s="33"/>
      <x:c r="D498" s="33"/>
      <x:c r="E498" s="33"/>
      <x:c r="F498" s="33"/>
      <x:c r="G498" s="33"/>
      <x:c r="H498" s="33"/>
      <x:c r="I498" s="33"/>
      <x:c r="J498" s="33"/>
      <x:c r="K498" s="33"/>
      <x:c r="L498" s="33"/>
      <x:c r="M498" s="3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>
      <x:c r="A499" s="33"/>
      <x:c r="B499" s="33"/>
      <x:c r="C499" s="33"/>
      <x:c r="D499" s="33"/>
      <x:c r="E499" s="33"/>
      <x:c r="F499" s="33"/>
      <x:c r="G499" s="33"/>
      <x:c r="H499" s="33"/>
      <x:c r="I499" s="33"/>
      <x:c r="J499" s="33"/>
      <x:c r="K499" s="33"/>
      <x:c r="L499" s="33"/>
      <x:c r="M499" s="3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>
      <x:c r="A500" s="33"/>
      <x:c r="B500" s="33"/>
      <x:c r="C500" s="33"/>
      <x:c r="D500" s="33"/>
      <x:c r="E500" s="33"/>
      <x:c r="F500" s="33"/>
      <x:c r="G500" s="33"/>
      <x:c r="H500" s="33"/>
      <x:c r="I500" s="33"/>
      <x:c r="J500" s="33"/>
      <x:c r="K500" s="33"/>
      <x:c r="L500" s="33"/>
      <x:c r="M500" s="3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</x:sheetData>
  <x:mergeCells>
    <x:mergeCell ref="A1:I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16" hidden="0" customWidth="1"/>
    <x:col min="4" max="4" width="18" hidden="0" customWidth="1"/>
    <x:col min="5" max="5" width="20" hidden="0" customWidth="1"/>
    <x:col min="6" max="6" width="40" hidden="0" customWidth="1"/>
    <x:col min="7" max="7" width="32" hidden="0" customWidth="1"/>
  </x:cols>
  <x:sheetData>
    <x:row r="1" ht="26" customHeight="1">
      <x:c r="A1" s="3" t="str">
        <x:v>12_Cap_nhat_phap_ly</x:v>
      </x:c>
      <x:c r="B1" s="3"/>
      <x:c r="C1" s="3"/>
      <x:c r="D1" s="3"/>
      <x:c r="E1" s="3"/>
      <x:c r="F1" s="3"/>
      <x:c r="G1" s="3"/>
    </x:row>
    <x:row r="3">
      <x:c r="A3" s="9" t="str">
        <x:v>Số hiệu</x:v>
      </x:c>
      <x:c r="B3" s="9" t="str">
        <x:v>Tên văn bản</x:v>
      </x:c>
      <x:c r="C3" s="9" t="str">
        <x:v>Hiệu lực</x:v>
      </x:c>
      <x:c r="D3" s="9" t="str">
        <x:v>Trạng thái</x:v>
      </x:c>
      <x:c r="E3" s="9" t="str">
        <x:v>Nhóm</x:v>
      </x:c>
      <x:c r="F3" s="9" t="str">
        <x:v>Tác động/việc cần rà</x:v>
      </x:c>
      <x:c r="G3" s="9" t="str">
        <x:v>Nguồn chính thức</x:v>
      </x:c>
    </x:row>
    <x:row r="4">
      <x:c r="A4" s="14" t="str">
        <x:v>Luật 31/2024/QH15</x:v>
      </x:c>
      <x:c r="B4" s="14" t="str">
        <x:v>Luật Đất đai 2024</x:v>
      </x:c>
      <x:c r="C4" s="14" t="str">
        <x:v>01/08/2024</x:v>
      </x:c>
      <x:c r="D4" s="14" t="str">
        <x:v>Có hiệu lực</x:v>
      </x:c>
      <x:c r="E4" s="14" t="str">
        <x:v>Đất đai</x:v>
      </x:c>
      <x:c r="F4" s="14" t="str">
        <x:v>Nền tảng quản lý đất đai dự án</x:v>
      </x:c>
      <x:c r="G4" s="14" t="str">
        <x:v>https://vanban.chinhphu.vn/</x:v>
      </x:c>
    </x:row>
    <x:row r="5">
      <x:c r="A5" s="14" t="str">
        <x:v>Luật 27/2023/QH15</x:v>
      </x:c>
      <x:c r="B5" s="14" t="str">
        <x:v>Luật Nhà ở 2023</x:v>
      </x:c>
      <x:c r="C5" s="14" t="str">
        <x:v>01/08/2024</x:v>
      </x:c>
      <x:c r="D5" s="14" t="str">
        <x:v>Có hiệu lực</x:v>
      </x:c>
      <x:c r="E5" s="14" t="str">
        <x:v>Nhà ở</x:v>
      </x:c>
      <x:c r="F5" s="14" t="str">
        <x:v>Điều kiện phát triển, kinh doanh, bàn giao nhà ở</x:v>
      </x:c>
      <x:c r="G5" s="14" t="str">
        <x:v>https://vanban.chinhphu.vn/</x:v>
      </x:c>
    </x:row>
    <x:row r="6">
      <x:c r="A6" s="14" t="str">
        <x:v>Luật 29/2023/QH15</x:v>
      </x:c>
      <x:c r="B6" s="14" t="str">
        <x:v>Luật Kinh doanh BĐS 2023</x:v>
      </x:c>
      <x:c r="C6" s="14" t="str">
        <x:v>01/08/2024</x:v>
      </x:c>
      <x:c r="D6" s="14" t="str">
        <x:v>Có hiệu lực</x:v>
      </x:c>
      <x:c r="E6" s="14" t="str">
        <x:v>Kinh doanh BĐS</x:v>
      </x:c>
      <x:c r="F6" s="14" t="str">
        <x:v>Điều kiện kinh doanh, công khai thông tin, giao dịch</x:v>
      </x:c>
      <x:c r="G6" s="14" t="str">
        <x:v>https://vanban.chinhphu.vn/</x:v>
      </x:c>
    </x:row>
    <x:row r="7">
      <x:c r="A7" s="14" t="str">
        <x:v>NĐ 96/2024/NĐ-CP</x:v>
      </x:c>
      <x:c r="B7" s="14" t="str">
        <x:v>Quy định chi tiết Luật KDBĐS</x:v>
      </x:c>
      <x:c r="C7" s="14" t="str">
        <x:v>01/08/2024</x:v>
      </x:c>
      <x:c r="D7" s="14" t="str">
        <x:v>Có hiệu lực</x:v>
      </x:c>
      <x:c r="E7" s="14" t="str">
        <x:v>Kinh doanh BĐS</x:v>
      </x:c>
      <x:c r="F7" s="14" t="str">
        <x:v>Checklist mở bán/kinh doanh</x:v>
      </x:c>
      <x:c r="G7" s="14" t="str">
        <x:v>https://vanban.chinhphu.vn/</x:v>
      </x:c>
    </x:row>
    <x:row r="8">
      <x:c r="A8" s="14" t="str">
        <x:v>NĐ 102/2024/NĐ-CP</x:v>
      </x:c>
      <x:c r="B8" s="14" t="str">
        <x:v>Quy định chi tiết Luật Đất đai</x:v>
      </x:c>
      <x:c r="C8" s="14" t="str">
        <x:v>01/08/2024</x:v>
      </x:c>
      <x:c r="D8" s="14" t="str">
        <x:v>Có hiệu lực</x:v>
      </x:c>
      <x:c r="E8" s="14" t="str">
        <x:v>Đất đai</x:v>
      </x:c>
      <x:c r="F8" s="14" t="str">
        <x:v>Thủ tục đất đai</x:v>
      </x:c>
      <x:c r="G8" s="14" t="str">
        <x:v>https://vanban.chinhphu.vn/</x:v>
      </x:c>
    </x:row>
    <x:row r="9">
      <x:c r="A9" s="14" t="str">
        <x:v>NĐ 175/2024/NĐ-CP</x:v>
      </x:c>
      <x:c r="B9" s="14" t="str">
        <x:v>Quản lý hoạt động xây dựng</x:v>
      </x:c>
      <x:c r="C9" s="14" t="str">
        <x:v>30/12/2024</x:v>
      </x:c>
      <x:c r="D9" s="14" t="str">
        <x:v>Có hiệu lực</x:v>
      </x:c>
      <x:c r="E9" s="14" t="str">
        <x:v>Xây dựng</x:v>
      </x:c>
      <x:c r="F9" s="14" t="str">
        <x:v>Thiết kế, GPXD, quản lý xây dựng</x:v>
      </x:c>
      <x:c r="G9" s="14" t="str">
        <x:v>https://vanban.chinhphu.vn/</x:v>
      </x:c>
    </x:row>
    <x:row r="10">
      <x:c r="A10" s="14" t="str">
        <x:v>NĐ 105/2025/NĐ-CP</x:v>
      </x:c>
      <x:c r="B10" s="14" t="str">
        <x:v>PCCC và cứu nạn cứu hộ</x:v>
      </x:c>
      <x:c r="C10" s="14" t="str">
        <x:v>01/07/2025</x:v>
      </x:c>
      <x:c r="D10" s="14" t="str">
        <x:v>Có hiệu lực</x:v>
      </x:c>
      <x:c r="E10" s="14" t="str">
        <x:v>PCCC</x:v>
      </x:c>
      <x:c r="F10" s="14" t="str">
        <x:v>Rà soát hồ sơ PCCC áp dụng</x:v>
      </x:c>
      <x:c r="G10" s="14" t="str">
        <x:v>https://vanban.chinhphu.vn/</x:v>
      </x:c>
    </x:row>
    <x:row r="11">
      <x:c r="A11" s="14" t="str">
        <x:v>NĐ 151/2025/NĐ-CP</x:v>
      </x:c>
      <x:c r="B11" s="14" t="str">
        <x:v>Phân định thẩm quyền đất đai theo chính quyền địa phương 2 cấp</x:v>
      </x:c>
      <x:c r="C11" s="14" t="str">
        <x:v>01/07/2025</x:v>
      </x:c>
      <x:c r="D11" s="14" t="str">
        <x:v>Có hiệu lực</x:v>
      </x:c>
      <x:c r="E11" s="14" t="str">
        <x:v>Đất đai</x:v>
      </x:c>
      <x:c r="F11" s="14" t="str">
        <x:v>Cập nhật cơ quan xử lý hồ sơ</x:v>
      </x:c>
      <x:c r="G11" s="14" t="str">
        <x:v>https://vanban.chinhphu.vn/</x:v>
      </x:c>
    </x:row>
    <x:row r="12">
      <x:c r="A12" s="14" t="str">
        <x:v>NĐ 50/2026/NĐ-CP</x:v>
      </x:c>
      <x:c r="B12" s="14" t="str">
        <x:v>Tiền sử dụng đất, tiền thuê đất</x:v>
      </x:c>
      <x:c r="C12" s="14" t="str">
        <x:v>2026</x:v>
      </x:c>
      <x:c r="D12" s="14" t="str">
        <x:v>Có hiệu lực</x:v>
      </x:c>
      <x:c r="E12" s="14" t="str">
        <x:v>Tài chính đất</x:v>
      </x:c>
      <x:c r="F12" s="14" t="str">
        <x:v>Rà nghĩa vụ tài chính đất</x:v>
      </x:c>
      <x:c r="G12" s="14" t="str">
        <x:v>https://vanban.chinhphu.vn/</x:v>
      </x:c>
    </x:row>
    <x:row r="13">
      <x:c r="A13" s="14" t="str">
        <x:v>NĐ 54/2026/NĐ-CP</x:v>
      </x:c>
      <x:c r="B13" s="14" t="str">
        <x:v>Sửa đổi quy định nhà ở và KDBĐS</x:v>
      </x:c>
      <x:c r="C13" s="14" t="str">
        <x:v>2026</x:v>
      </x:c>
      <x:c r="D13" s="14" t="str">
        <x:v>Có hiệu lực</x:v>
      </x:c>
      <x:c r="E13" s="14" t="str">
        <x:v>Nhà ở/KDBĐS</x:v>
      </x:c>
      <x:c r="F13" s="14" t="str">
        <x:v>Cập nhật checklist điều kiện kinh doanh</x:v>
      </x:c>
      <x:c r="G13" s="14" t="str">
        <x:v>https://vanban.chinhphu.vn/</x:v>
      </x:c>
    </x:row>
    <x:row r="14">
      <x:c r="A14" s="14" t="str">
        <x:v>NĐ 217/2026/NĐ-CP</x:v>
      </x:c>
      <x:c r="B14" s="14" t="str">
        <x:v>Quản lý hoạt động xây dựng</x:v>
      </x:c>
      <x:c r="C14" s="14" t="str">
        <x:v>01/07/2026</x:v>
      </x:c>
      <x:c r="D14" s="14" t="str">
        <x:v>Có hiệu lực</x:v>
      </x:c>
      <x:c r="E14" s="14" t="str">
        <x:v>Xây dựng</x:v>
      </x:c>
      <x:c r="F14" s="14" t="str">
        <x:v>Cập nhật thủ tục quản lý xây dựng</x:v>
      </x:c>
      <x:c r="G14" s="14" t="str">
        <x:v>https://vanban.chinhphu.vn/</x:v>
      </x:c>
    </x:row>
    <x:row r="15">
      <x:c r="A15" s="14" t="str">
        <x:v>NĐ 274/2026/NĐ-CP</x:v>
      </x:c>
      <x:c r="B15" s="14" t="str">
        <x:v>Lựa chọn nhà đầu tư</x:v>
      </x:c>
      <x:c r="C15" s="14" t="str">
        <x:v>21/08/2026</x:v>
      </x:c>
      <x:c r="D15" s="14" t="str">
        <x:v>Sắp có hiệu lực</x:v>
      </x:c>
      <x:c r="E15" s="14" t="str">
        <x:v>Đầu tư</x:v>
      </x:c>
      <x:c r="F15" s="14" t="str">
        <x:v>Policy watch tại ngày 13/08/2026</x:v>
      </x:c>
      <x:c r="G15" s="14" t="str">
        <x:v>https://vanban.chinhphu.vn/</x:v>
      </x:c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0" hidden="0" customWidth="1"/>
    <x:col min="4" max="4" width="42" hidden="0" customWidth="1"/>
    <x:col min="5" max="5" width="12" hidden="0" customWidth="1"/>
    <x:col min="6" max="6" width="18" hidden="0" customWidth="1"/>
    <x:col min="7" max="7" width="14" hidden="0" customWidth="1"/>
    <x:col min="8" max="8" width="22" hidden="0" customWidth="1"/>
    <x:col min="9" max="9" width="30" hidden="0" customWidth="1"/>
    <x:col min="10" max="10" width="40" hidden="0" customWidth="1"/>
  </x:cols>
  <x:sheetData>
    <x:row r="1" ht="26" customHeight="1">
      <x:c r="A1" s="3" t="str">
        <x:v>13_Checklist_phap_ly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Mã dự án</x:v>
      </x:c>
      <x:c r="B3" s="9" t="str">
        <x:v>Mã</x:v>
      </x:c>
      <x:c r="C3" s="9" t="str">
        <x:v>Giai đoạn</x:v>
      </x:c>
      <x:c r="D3" s="9" t="str">
        <x:v>Đầu việc/hồ sơ cần hoàn thiện</x:v>
      </x:c>
      <x:c r="E3" s="9" t="str">
        <x:v>Áp dụng?</x:v>
      </x:c>
      <x:c r="F3" s="9" t="str">
        <x:v>Trạng thái</x:v>
      </x:c>
      <x:c r="G3" s="9" t="str">
        <x:v>Mức độ</x:v>
      </x:c>
      <x:c r="H3" s="9" t="str">
        <x:v>Chủ trì</x:v>
      </x:c>
      <x:c r="I3" s="9" t="str">
        <x:v>Căn cứ pháp lý</x:v>
      </x:c>
      <x:c r="J3" s="9" t="str">
        <x:v>Lưu ý</x:v>
      </x:c>
    </x:row>
    <x:row r="4">
      <x:c r="A4" s="14" t="str">
        <x:v>DA01</x:v>
      </x:c>
      <x:c r="B4" s="14" t="str">
        <x:v>CK01</x:v>
      </x:c>
      <x:c r="C4" s="14" t="str">
        <x:v>Tiền đầu tư &amp; quỹ đất</x:v>
      </x:c>
      <x:c r="D4" s="14" t="str">
        <x:v>Rà soát nguồn gốc/quyền sử dụng đất</x:v>
      </x:c>
      <x:c r="E4" s="14" t="str">
        <x:v>Có</x:v>
      </x:c>
      <x:c r="F4" s="14" t="str">
        <x:v>Hoàn thành</x:v>
      </x:c>
      <x:c r="G4" s="14" t="str">
        <x:v>Rất cao</x:v>
      </x:c>
      <x:c r="H4" s="14" t="str">
        <x:v>Pháp chế/Phát triển dự án</x:v>
      </x:c>
      <x:c r="I4" s="14" t="str">
        <x:v>Theo hồ sơ dự án</x:v>
      </x:c>
      <x:c r="J4" s="14" t="str">
        <x:v>Cần xác định áp dụng theo dự án/địa phương</x:v>
      </x:c>
    </x:row>
    <x:row r="5">
      <x:c r="A5" s="14" t="str">
        <x:v>DA01</x:v>
      </x:c>
      <x:c r="B5" s="14" t="str">
        <x:v>CK02</x:v>
      </x:c>
      <x:c r="C5" s="14" t="str">
        <x:v>Đầu tư</x:v>
      </x:c>
      <x:c r="D5" s="14" t="str">
        <x:v>Chấp thuận/chủ trương đầu tư, lựa chọn NĐT nếu áp dụng</x:v>
      </x:c>
      <x:c r="E5" s="14" t="str">
        <x:v>Có</x:v>
      </x:c>
      <x:c r="F5" s="14" t="str">
        <x:v>Hoàn thành</x:v>
      </x:c>
      <x:c r="G5" s="14" t="str">
        <x:v>Rất cao</x:v>
      </x:c>
      <x:c r="H5" s="14" t="str">
        <x:v>Pháp chế/Phát triển dự án</x:v>
      </x:c>
      <x:c r="I5" s="14" t="str">
        <x:v>Theo hồ sơ dự án</x:v>
      </x:c>
      <x:c r="J5" s="14" t="str">
        <x:v>Cần xác định áp dụng theo dự án/địa phương</x:v>
      </x:c>
    </x:row>
    <x:row r="6">
      <x:c r="A6" s="14" t="str">
        <x:v>DA01</x:v>
      </x:c>
      <x:c r="B6" s="14" t="str">
        <x:v>CK03</x:v>
      </x:c>
      <x:c r="C6" s="14" t="str">
        <x:v>Quy hoạch</x:v>
      </x:c>
      <x:c r="D6" s="14" t="str">
        <x:v>Quy hoạch chi tiết và chỉ tiêu quy hoạch</x:v>
      </x:c>
      <x:c r="E6" s="14" t="str">
        <x:v>Có</x:v>
      </x:c>
      <x:c r="F6" s="14" t="str">
        <x:v>Đang thực hiện</x:v>
      </x:c>
      <x:c r="G6" s="14" t="str">
        <x:v>Rất cao</x:v>
      </x:c>
      <x:c r="H6" s="14" t="str">
        <x:v>Pháp chế/Phát triển dự án</x:v>
      </x:c>
      <x:c r="I6" s="14" t="str">
        <x:v>Theo hồ sơ dự án</x:v>
      </x:c>
      <x:c r="J6" s="14" t="str">
        <x:v>Cần xác định áp dụng theo dự án/địa phương</x:v>
      </x:c>
    </x:row>
    <x:row r="7">
      <x:c r="A7" s="14" t="str">
        <x:v>DA01</x:v>
      </x:c>
      <x:c r="B7" s="14" t="str">
        <x:v>CK04</x:v>
      </x:c>
      <x:c r="C7" s="14" t="str">
        <x:v>Đất đai</x:v>
      </x:c>
      <x:c r="D7" s="14" t="str">
        <x:v>GPMB, giao/thuê/chuyển mục đích, GCN QSDĐ</x:v>
      </x:c>
      <x:c r="E7" s="14" t="str">
        <x:v>Có</x:v>
      </x:c>
      <x:c r="F7" s="14" t="str">
        <x:v>Đang thực hiện</x:v>
      </x:c>
      <x:c r="G7" s="14" t="str">
        <x:v>Rất cao</x:v>
      </x:c>
      <x:c r="H7" s="14" t="str">
        <x:v>Pháp chế/Phát triển dự án</x:v>
      </x:c>
      <x:c r="I7" s="14" t="str">
        <x:v>Theo hồ sơ dự án</x:v>
      </x:c>
      <x:c r="J7" s="14" t="str">
        <x:v>Cần xác định áp dụng theo dự án/địa phương</x:v>
      </x:c>
    </x:row>
    <x:row r="8">
      <x:c r="A8" s="14" t="str">
        <x:v>DA01</x:v>
      </x:c>
      <x:c r="B8" s="14" t="str">
        <x:v>CK05</x:v>
      </x:c>
      <x:c r="C8" s="14" t="str">
        <x:v>Tài chính đất</x:v>
      </x:c>
      <x:c r="D8" s="14" t="str">
        <x:v>Xác định và hoàn thành nghĩa vụ tài chính đất</x:v>
      </x:c>
      <x:c r="E8" s="14" t="str">
        <x:v>Có</x:v>
      </x:c>
      <x:c r="F8" s="14" t="str">
        <x:v>Chưa bắt đầu</x:v>
      </x:c>
      <x:c r="G8" s="14" t="str">
        <x:v>Rất cao</x:v>
      </x:c>
      <x:c r="H8" s="14" t="str">
        <x:v>Pháp chế/Phát triển dự án</x:v>
      </x:c>
      <x:c r="I8" s="14" t="str">
        <x:v>Theo hồ sơ dự án</x:v>
      </x:c>
      <x:c r="J8" s="14" t="str">
        <x:v>Cần xác định áp dụng theo dự án/địa phương</x:v>
      </x:c>
    </x:row>
    <x:row r="9">
      <x:c r="A9" s="14" t="str">
        <x:v>DA01</x:v>
      </x:c>
      <x:c r="B9" s="14" t="str">
        <x:v>CK06</x:v>
      </x:c>
      <x:c r="C9" s="14" t="str">
        <x:v>Môi trường</x:v>
      </x:c>
      <x:c r="D9" s="14" t="str">
        <x:v>ĐTM/Giấy phép môi trường theo đối tượng áp dụng</x:v>
      </x:c>
      <x:c r="E9" s="14" t="str">
        <x:v>Có</x:v>
      </x:c>
      <x:c r="F9" s="14" t="str">
        <x:v>Chưa bắt đầu</x:v>
      </x:c>
      <x:c r="G9" s="14" t="str">
        <x:v>Cao</x:v>
      </x:c>
      <x:c r="H9" s="14" t="str">
        <x:v>Pháp chế/Phát triển dự án</x:v>
      </x:c>
      <x:c r="I9" s="14" t="str">
        <x:v>Theo hồ sơ dự án</x:v>
      </x:c>
      <x:c r="J9" s="14" t="str">
        <x:v>Cần xác định áp dụng theo dự án/địa phương</x:v>
      </x:c>
    </x:row>
    <x:row r="10">
      <x:c r="A10" s="14" t="str">
        <x:v>DA01</x:v>
      </x:c>
      <x:c r="B10" s="14" t="str">
        <x:v>CK07</x:v>
      </x:c>
      <x:c r="C10" s="14" t="str">
        <x:v>Thiết kế &amp; PCCC</x:v>
      </x:c>
      <x:c r="D10" s="14" t="str">
        <x:v>Thẩm định thiết kế, PCCC theo đối tượng áp dụng</x:v>
      </x:c>
      <x:c r="E10" s="14" t="str">
        <x:v>Có</x:v>
      </x:c>
      <x:c r="F10" s="14" t="str">
        <x:v>Chưa bắt đầu</x:v>
      </x:c>
      <x:c r="G10" s="14" t="str">
        <x:v>Cao</x:v>
      </x:c>
      <x:c r="H10" s="14" t="str">
        <x:v>Pháp chế/Phát triển dự án</x:v>
      </x:c>
      <x:c r="I10" s="14" t="str">
        <x:v>Theo hồ sơ dự án</x:v>
      </x:c>
      <x:c r="J10" s="14" t="str">
        <x:v>Cần xác định áp dụng theo dự án/địa phương</x:v>
      </x:c>
    </x:row>
    <x:row r="11">
      <x:c r="A11" s="14" t="str">
        <x:v>DA01</x:v>
      </x:c>
      <x:c r="B11" s="14" t="str">
        <x:v>CK08</x:v>
      </x:c>
      <x:c r="C11" s="14" t="str">
        <x:v>Xây dựng</x:v>
      </x:c>
      <x:c r="D11" s="14" t="str">
        <x:v>GPXD/điều kiện khởi công theo trường hợp áp dụng</x:v>
      </x:c>
      <x:c r="E11" s="14" t="str">
        <x:v>Có</x:v>
      </x:c>
      <x:c r="F11" s="14" t="str">
        <x:v>Chưa bắt đầu</x:v>
      </x:c>
      <x:c r="G11" s="14" t="str">
        <x:v>Rất cao</x:v>
      </x:c>
      <x:c r="H11" s="14" t="str">
        <x:v>Pháp chế/Phát triển dự án</x:v>
      </x:c>
      <x:c r="I11" s="14" t="str">
        <x:v>Theo hồ sơ dự án</x:v>
      </x:c>
      <x:c r="J11" s="14" t="str">
        <x:v>Cần xác định áp dụng theo dự án/địa phương</x:v>
      </x:c>
    </x:row>
    <x:row r="12">
      <x:c r="A12" s="14" t="str">
        <x:v>DA01</x:v>
      </x:c>
      <x:c r="B12" s="14" t="str">
        <x:v>CK09</x:v>
      </x:c>
      <x:c r="C12" s="14" t="str">
        <x:v>Kinh doanh BĐS</x:v>
      </x:c>
      <x:c r="D12" s="14" t="str">
        <x:v>Điều kiện đưa sản phẩm vào kinh doanh/mở bán</x:v>
      </x:c>
      <x:c r="E12" s="14" t="str">
        <x:v>Có</x:v>
      </x:c>
      <x:c r="F12" s="14" t="str">
        <x:v>Chưa bắt đầu</x:v>
      </x:c>
      <x:c r="G12" s="14" t="str">
        <x:v>Rất cao</x:v>
      </x:c>
      <x:c r="H12" s="14" t="str">
        <x:v>Pháp chế/Phát triển dự án</x:v>
      </x:c>
      <x:c r="I12" s="14" t="str">
        <x:v>Theo hồ sơ dự án</x:v>
      </x:c>
      <x:c r="J12" s="14" t="str">
        <x:v>Cần xác định áp dụng theo dự án/địa phương</x:v>
      </x:c>
    </x:row>
    <x:row r="13">
      <x:c r="A13" s="14" t="str">
        <x:v>DA01</x:v>
      </x:c>
      <x:c r="B13" s="14" t="str">
        <x:v>CK10</x:v>
      </x:c>
      <x:c r="C13" s="14" t="str">
        <x:v>Bàn giao</x:v>
      </x:c>
      <x:c r="D13" s="14" t="str">
        <x:v>Nghiệm thu, vận hành, bàn giao</x:v>
      </x:c>
      <x:c r="E13" s="14" t="str">
        <x:v>Có</x:v>
      </x:c>
      <x:c r="F13" s="14" t="str">
        <x:v>Chưa bắt đầu</x:v>
      </x:c>
      <x:c r="G13" s="14" t="str">
        <x:v>Cao</x:v>
      </x:c>
      <x:c r="H13" s="14" t="str">
        <x:v>Pháp chế/Phát triển dự án</x:v>
      </x:c>
      <x:c r="I13" s="14" t="str">
        <x:v>Theo hồ sơ dự án</x:v>
      </x:c>
      <x:c r="J13" s="14" t="str">
        <x:v>Cần xác định áp dụng theo dự án/địa phương</x:v>
      </x:c>
    </x:row>
    <x:row r="14">
      <x:c r="A14" s="14" t="str">
        <x:v>DA01</x:v>
      </x:c>
      <x:c r="B14" s="14" t="str">
        <x:v>CK11</x:v>
      </x:c>
      <x:c r="C14" s="14" t="str">
        <x:v>GCN khách hàng</x:v>
      </x:c>
      <x:c r="D14" s="14" t="str">
        <x:v>Hồ sơ cấp GCN cho người mua</x:v>
      </x:c>
      <x:c r="E14" s="14" t="str">
        <x:v>Có</x:v>
      </x:c>
      <x:c r="F14" s="14" t="str">
        <x:v>Chưa bắt đầu</x:v>
      </x:c>
      <x:c r="G14" s="14" t="str">
        <x:v>Cao</x:v>
      </x:c>
      <x:c r="H14" s="14" t="str">
        <x:v>Pháp chế/Phát triển dự án</x:v>
      </x:c>
      <x:c r="I14" s="14" t="str">
        <x:v>Theo hồ sơ dự án</x:v>
      </x:c>
      <x:c r="J14" s="14" t="str">
        <x:v>Cần xác định áp dụng theo dự án/địa phương</x:v>
      </x:c>
    </x:row>
    <x:row r="15">
      <x:c r="A15" s="14" t="str">
        <x:v>DA02</x:v>
      </x:c>
      <x:c r="B15" s="14" t="str">
        <x:v>CK01</x:v>
      </x:c>
      <x:c r="C15" s="14" t="str">
        <x:v>Tiền đầu tư &amp; quỹ đất</x:v>
      </x:c>
      <x:c r="D15" s="14" t="str">
        <x:v>Rà soát nguồn gốc/quyền sử dụng đất</x:v>
      </x:c>
      <x:c r="E15" s="14" t="str">
        <x:v>Có</x:v>
      </x:c>
      <x:c r="F15" s="14" t="str">
        <x:v>Hoàn thành</x:v>
      </x:c>
      <x:c r="G15" s="14" t="str">
        <x:v>Rất cao</x:v>
      </x:c>
      <x:c r="H15" s="14" t="str">
        <x:v>Pháp chế/Phát triển dự án</x:v>
      </x:c>
      <x:c r="I15" s="14" t="str">
        <x:v>Theo hồ sơ dự án</x:v>
      </x:c>
      <x:c r="J15" s="14" t="str">
        <x:v>Cần xác định áp dụng theo dự án/địa phương</x:v>
      </x:c>
    </x:row>
    <x:row r="16">
      <x:c r="A16" s="14" t="str">
        <x:v>DA02</x:v>
      </x:c>
      <x:c r="B16" s="14" t="str">
        <x:v>CK02</x:v>
      </x:c>
      <x:c r="C16" s="14" t="str">
        <x:v>Đầu tư</x:v>
      </x:c>
      <x:c r="D16" s="14" t="str">
        <x:v>Chấp thuận/chủ trương đầu tư, lựa chọn NĐT nếu áp dụng</x:v>
      </x:c>
      <x:c r="E16" s="14" t="str">
        <x:v>Có</x:v>
      </x:c>
      <x:c r="F16" s="14" t="str">
        <x:v>Hoàn thành</x:v>
      </x:c>
      <x:c r="G16" s="14" t="str">
        <x:v>Rất cao</x:v>
      </x:c>
      <x:c r="H16" s="14" t="str">
        <x:v>Pháp chế/Phát triển dự án</x:v>
      </x:c>
      <x:c r="I16" s="14" t="str">
        <x:v>Theo hồ sơ dự án</x:v>
      </x:c>
      <x:c r="J16" s="14" t="str">
        <x:v>Cần xác định áp dụng theo dự án/địa phương</x:v>
      </x:c>
    </x:row>
    <x:row r="17">
      <x:c r="A17" s="14" t="str">
        <x:v>DA02</x:v>
      </x:c>
      <x:c r="B17" s="14" t="str">
        <x:v>CK03</x:v>
      </x:c>
      <x:c r="C17" s="14" t="str">
        <x:v>Quy hoạch</x:v>
      </x:c>
      <x:c r="D17" s="14" t="str">
        <x:v>Quy hoạch chi tiết và chỉ tiêu quy hoạch</x:v>
      </x:c>
      <x:c r="E17" s="14" t="str">
        <x:v>Có</x:v>
      </x:c>
      <x:c r="F17" s="14" t="str">
        <x:v>Hoàn thành</x:v>
      </x:c>
      <x:c r="G17" s="14" t="str">
        <x:v>Rất cao</x:v>
      </x:c>
      <x:c r="H17" s="14" t="str">
        <x:v>Pháp chế/Phát triển dự án</x:v>
      </x:c>
      <x:c r="I17" s="14" t="str">
        <x:v>Theo hồ sơ dự án</x:v>
      </x:c>
      <x:c r="J17" s="14" t="str">
        <x:v>Cần xác định áp dụng theo dự án/địa phương</x:v>
      </x:c>
    </x:row>
    <x:row r="18">
      <x:c r="A18" s="14" t="str">
        <x:v>DA02</x:v>
      </x:c>
      <x:c r="B18" s="14" t="str">
        <x:v>CK04</x:v>
      </x:c>
      <x:c r="C18" s="14" t="str">
        <x:v>Đất đai</x:v>
      </x:c>
      <x:c r="D18" s="14" t="str">
        <x:v>GPMB, giao/thuê/chuyển mục đích, GCN QSDĐ</x:v>
      </x:c>
      <x:c r="E18" s="14" t="str">
        <x:v>Có</x:v>
      </x:c>
      <x:c r="F18" s="14" t="str">
        <x:v>Hoàn thành</x:v>
      </x:c>
      <x:c r="G18" s="14" t="str">
        <x:v>Rất cao</x:v>
      </x:c>
      <x:c r="H18" s="14" t="str">
        <x:v>Pháp chế/Phát triển dự án</x:v>
      </x:c>
      <x:c r="I18" s="14" t="str">
        <x:v>Theo hồ sơ dự án</x:v>
      </x:c>
      <x:c r="J18" s="14" t="str">
        <x:v>Cần xác định áp dụng theo dự án/địa phương</x:v>
      </x:c>
    </x:row>
    <x:row r="19">
      <x:c r="A19" s="14" t="str">
        <x:v>DA02</x:v>
      </x:c>
      <x:c r="B19" s="14" t="str">
        <x:v>CK05</x:v>
      </x:c>
      <x:c r="C19" s="14" t="str">
        <x:v>Tài chính đất</x:v>
      </x:c>
      <x:c r="D19" s="14" t="str">
        <x:v>Xác định và hoàn thành nghĩa vụ tài chính đất</x:v>
      </x:c>
      <x:c r="E19" s="14" t="str">
        <x:v>Có</x:v>
      </x:c>
      <x:c r="F19" s="14" t="str">
        <x:v>Hoàn thành</x:v>
      </x:c>
      <x:c r="G19" s="14" t="str">
        <x:v>Rất cao</x:v>
      </x:c>
      <x:c r="H19" s="14" t="str">
        <x:v>Pháp chế/Phát triển dự án</x:v>
      </x:c>
      <x:c r="I19" s="14" t="str">
        <x:v>Theo hồ sơ dự án</x:v>
      </x:c>
      <x:c r="J19" s="14" t="str">
        <x:v>Cần xác định áp dụng theo dự án/địa phương</x:v>
      </x:c>
    </x:row>
    <x:row r="20">
      <x:c r="A20" s="14" t="str">
        <x:v>DA02</x:v>
      </x:c>
      <x:c r="B20" s="14" t="str">
        <x:v>CK06</x:v>
      </x:c>
      <x:c r="C20" s="14" t="str">
        <x:v>Môi trường</x:v>
      </x:c>
      <x:c r="D20" s="14" t="str">
        <x:v>ĐTM/Giấy phép môi trường theo đối tượng áp dụng</x:v>
      </x:c>
      <x:c r="E20" s="14" t="str">
        <x:v>Có</x:v>
      </x:c>
      <x:c r="F20" s="14" t="str">
        <x:v>Hoàn thành</x:v>
      </x:c>
      <x:c r="G20" s="14" t="str">
        <x:v>Cao</x:v>
      </x:c>
      <x:c r="H20" s="14" t="str">
        <x:v>Pháp chế/Phát triển dự án</x:v>
      </x:c>
      <x:c r="I20" s="14" t="str">
        <x:v>Theo hồ sơ dự án</x:v>
      </x:c>
      <x:c r="J20" s="14" t="str">
        <x:v>Cần xác định áp dụng theo dự án/địa phương</x:v>
      </x:c>
    </x:row>
    <x:row r="21">
      <x:c r="A21" s="14" t="str">
        <x:v>DA02</x:v>
      </x:c>
      <x:c r="B21" s="14" t="str">
        <x:v>CK07</x:v>
      </x:c>
      <x:c r="C21" s="14" t="str">
        <x:v>Thiết kế &amp; PCCC</x:v>
      </x:c>
      <x:c r="D21" s="14" t="str">
        <x:v>Thẩm định thiết kế, PCCC theo đối tượng áp dụng</x:v>
      </x:c>
      <x:c r="E21" s="14" t="str">
        <x:v>Có</x:v>
      </x:c>
      <x:c r="F21" s="14" t="str">
        <x:v>Hoàn thành</x:v>
      </x:c>
      <x:c r="G21" s="14" t="str">
        <x:v>Cao</x:v>
      </x:c>
      <x:c r="H21" s="14" t="str">
        <x:v>Pháp chế/Phát triển dự án</x:v>
      </x:c>
      <x:c r="I21" s="14" t="str">
        <x:v>Theo hồ sơ dự án</x:v>
      </x:c>
      <x:c r="J21" s="14" t="str">
        <x:v>Cần xác định áp dụng theo dự án/địa phương</x:v>
      </x:c>
    </x:row>
    <x:row r="22">
      <x:c r="A22" s="14" t="str">
        <x:v>DA02</x:v>
      </x:c>
      <x:c r="B22" s="14" t="str">
        <x:v>CK08</x:v>
      </x:c>
      <x:c r="C22" s="14" t="str">
        <x:v>Xây dựng</x:v>
      </x:c>
      <x:c r="D22" s="14" t="str">
        <x:v>GPXD/điều kiện khởi công theo trường hợp áp dụng</x:v>
      </x:c>
      <x:c r="E22" s="14" t="str">
        <x:v>Có</x:v>
      </x:c>
      <x:c r="F22" s="14" t="str">
        <x:v>Đang thực hiện</x:v>
      </x:c>
      <x:c r="G22" s="14" t="str">
        <x:v>Rất cao</x:v>
      </x:c>
      <x:c r="H22" s="14" t="str">
        <x:v>Pháp chế/Phát triển dự án</x:v>
      </x:c>
      <x:c r="I22" s="14" t="str">
        <x:v>Theo hồ sơ dự án</x:v>
      </x:c>
      <x:c r="J22" s="14" t="str">
        <x:v>Cần xác định áp dụng theo dự án/địa phương</x:v>
      </x:c>
    </x:row>
    <x:row r="23">
      <x:c r="A23" s="14" t="str">
        <x:v>DA02</x:v>
      </x:c>
      <x:c r="B23" s="14" t="str">
        <x:v>CK09</x:v>
      </x:c>
      <x:c r="C23" s="14" t="str">
        <x:v>Kinh doanh BĐS</x:v>
      </x:c>
      <x:c r="D23" s="14" t="str">
        <x:v>Điều kiện đưa sản phẩm vào kinh doanh/mở bán</x:v>
      </x:c>
      <x:c r="E23" s="14" t="str">
        <x:v>Có</x:v>
      </x:c>
      <x:c r="F23" s="14" t="str">
        <x:v>Đang thực hiện</x:v>
      </x:c>
      <x:c r="G23" s="14" t="str">
        <x:v>Rất cao</x:v>
      </x:c>
      <x:c r="H23" s="14" t="str">
        <x:v>Pháp chế/Phát triển dự án</x:v>
      </x:c>
      <x:c r="I23" s="14" t="str">
        <x:v>Theo hồ sơ dự án</x:v>
      </x:c>
      <x:c r="J23" s="14" t="str">
        <x:v>Cần xác định áp dụng theo dự án/địa phương</x:v>
      </x:c>
    </x:row>
    <x:row r="24">
      <x:c r="A24" s="14" t="str">
        <x:v>DA02</x:v>
      </x:c>
      <x:c r="B24" s="14" t="str">
        <x:v>CK10</x:v>
      </x:c>
      <x:c r="C24" s="14" t="str">
        <x:v>Bàn giao</x:v>
      </x:c>
      <x:c r="D24" s="14" t="str">
        <x:v>Nghiệm thu, vận hành, bàn giao</x:v>
      </x:c>
      <x:c r="E24" s="14" t="str">
        <x:v>Có</x:v>
      </x:c>
      <x:c r="F24" s="14" t="str">
        <x:v>Chưa bắt đầu</x:v>
      </x:c>
      <x:c r="G24" s="14" t="str">
        <x:v>Cao</x:v>
      </x:c>
      <x:c r="H24" s="14" t="str">
        <x:v>Pháp chế/Phát triển dự án</x:v>
      </x:c>
      <x:c r="I24" s="14" t="str">
        <x:v>Theo hồ sơ dự án</x:v>
      </x:c>
      <x:c r="J24" s="14" t="str">
        <x:v>Cần xác định áp dụng theo dự án/địa phương</x:v>
      </x:c>
    </x:row>
    <x:row r="25">
      <x:c r="A25" s="14" t="str">
        <x:v>DA02</x:v>
      </x:c>
      <x:c r="B25" s="14" t="str">
        <x:v>CK11</x:v>
      </x:c>
      <x:c r="C25" s="14" t="str">
        <x:v>GCN khách hàng</x:v>
      </x:c>
      <x:c r="D25" s="14" t="str">
        <x:v>Hồ sơ cấp GCN cho người mua</x:v>
      </x:c>
      <x:c r="E25" s="14" t="str">
        <x:v>Có</x:v>
      </x:c>
      <x:c r="F25" s="14" t="str">
        <x:v>Chưa bắt đầu</x:v>
      </x:c>
      <x:c r="G25" s="14" t="str">
        <x:v>Cao</x:v>
      </x:c>
      <x:c r="H25" s="14" t="str">
        <x:v>Pháp chế/Phát triển dự án</x:v>
      </x:c>
      <x:c r="I25" s="14" t="str">
        <x:v>Theo hồ sơ dự án</x:v>
      </x:c>
      <x:c r="J25" s="14" t="str">
        <x:v>Cần xác định áp dụng theo dự án/địa phương</x:v>
      </x:c>
    </x:row>
    <x:row r="26">
      <x:c r="A26" s="14" t="str">
        <x:v>DA03</x:v>
      </x:c>
      <x:c r="B26" s="14" t="str">
        <x:v>CK01</x:v>
      </x:c>
      <x:c r="C26" s="14" t="str">
        <x:v>Tiền đầu tư &amp; quỹ đất</x:v>
      </x:c>
      <x:c r="D26" s="14" t="str">
        <x:v>Rà soát nguồn gốc/quyền sử dụng đất</x:v>
      </x:c>
      <x:c r="E26" s="14" t="str">
        <x:v>Có</x:v>
      </x:c>
      <x:c r="F26" s="14" t="str">
        <x:v>Hoàn thành</x:v>
      </x:c>
      <x:c r="G26" s="14" t="str">
        <x:v>Rất cao</x:v>
      </x:c>
      <x:c r="H26" s="14" t="str">
        <x:v>Pháp chế/Phát triển dự án</x:v>
      </x:c>
      <x:c r="I26" s="14" t="str">
        <x:v>Theo hồ sơ dự án</x:v>
      </x:c>
      <x:c r="J26" s="14" t="str">
        <x:v>Cần xác định áp dụng theo dự án/địa phương</x:v>
      </x:c>
    </x:row>
    <x:row r="27">
      <x:c r="A27" s="14" t="str">
        <x:v>DA03</x:v>
      </x:c>
      <x:c r="B27" s="14" t="str">
        <x:v>CK02</x:v>
      </x:c>
      <x:c r="C27" s="14" t="str">
        <x:v>Đầu tư</x:v>
      </x:c>
      <x:c r="D27" s="14" t="str">
        <x:v>Chấp thuận/chủ trương đầu tư, lựa chọn NĐT nếu áp dụng</x:v>
      </x:c>
      <x:c r="E27" s="14" t="str">
        <x:v>Có</x:v>
      </x:c>
      <x:c r="F27" s="14" t="str">
        <x:v>Hoàn thành</x:v>
      </x:c>
      <x:c r="G27" s="14" t="str">
        <x:v>Rất cao</x:v>
      </x:c>
      <x:c r="H27" s="14" t="str">
        <x:v>Pháp chế/Phát triển dự án</x:v>
      </x:c>
      <x:c r="I27" s="14" t="str">
        <x:v>Theo hồ sơ dự án</x:v>
      </x:c>
      <x:c r="J27" s="14" t="str">
        <x:v>Cần xác định áp dụng theo dự án/địa phương</x:v>
      </x:c>
    </x:row>
    <x:row r="28">
      <x:c r="A28" s="14" t="str">
        <x:v>DA03</x:v>
      </x:c>
      <x:c r="B28" s="14" t="str">
        <x:v>CK03</x:v>
      </x:c>
      <x:c r="C28" s="14" t="str">
        <x:v>Quy hoạch</x:v>
      </x:c>
      <x:c r="D28" s="14" t="str">
        <x:v>Quy hoạch chi tiết và chỉ tiêu quy hoạch</x:v>
      </x:c>
      <x:c r="E28" s="14" t="str">
        <x:v>Có</x:v>
      </x:c>
      <x:c r="F28" s="14" t="str">
        <x:v>Hoàn thành</x:v>
      </x:c>
      <x:c r="G28" s="14" t="str">
        <x:v>Rất cao</x:v>
      </x:c>
      <x:c r="H28" s="14" t="str">
        <x:v>Pháp chế/Phát triển dự án</x:v>
      </x:c>
      <x:c r="I28" s="14" t="str">
        <x:v>Theo hồ sơ dự án</x:v>
      </x:c>
      <x:c r="J28" s="14" t="str">
        <x:v>Cần xác định áp dụng theo dự án/địa phương</x:v>
      </x:c>
    </x:row>
    <x:row r="29">
      <x:c r="A29" s="14" t="str">
        <x:v>DA03</x:v>
      </x:c>
      <x:c r="B29" s="14" t="str">
        <x:v>CK04</x:v>
      </x:c>
      <x:c r="C29" s="14" t="str">
        <x:v>Đất đai</x:v>
      </x:c>
      <x:c r="D29" s="14" t="str">
        <x:v>GPMB, giao/thuê/chuyển mục đích, GCN QSDĐ</x:v>
      </x:c>
      <x:c r="E29" s="14" t="str">
        <x:v>Có</x:v>
      </x:c>
      <x:c r="F29" s="14" t="str">
        <x:v>Hoàn thành</x:v>
      </x:c>
      <x:c r="G29" s="14" t="str">
        <x:v>Rất cao</x:v>
      </x:c>
      <x:c r="H29" s="14" t="str">
        <x:v>Pháp chế/Phát triển dự án</x:v>
      </x:c>
      <x:c r="I29" s="14" t="str">
        <x:v>Theo hồ sơ dự án</x:v>
      </x:c>
      <x:c r="J29" s="14" t="str">
        <x:v>Cần xác định áp dụng theo dự án/địa phương</x:v>
      </x:c>
    </x:row>
    <x:row r="30">
      <x:c r="A30" s="14" t="str">
        <x:v>DA03</x:v>
      </x:c>
      <x:c r="B30" s="14" t="str">
        <x:v>CK05</x:v>
      </x:c>
      <x:c r="C30" s="14" t="str">
        <x:v>Tài chính đất</x:v>
      </x:c>
      <x:c r="D30" s="14" t="str">
        <x:v>Xác định và hoàn thành nghĩa vụ tài chính đất</x:v>
      </x:c>
      <x:c r="E30" s="14" t="str">
        <x:v>Có</x:v>
      </x:c>
      <x:c r="F30" s="14" t="str">
        <x:v>Hoàn thành</x:v>
      </x:c>
      <x:c r="G30" s="14" t="str">
        <x:v>Rất cao</x:v>
      </x:c>
      <x:c r="H30" s="14" t="str">
        <x:v>Pháp chế/Phát triển dự án</x:v>
      </x:c>
      <x:c r="I30" s="14" t="str">
        <x:v>Theo hồ sơ dự án</x:v>
      </x:c>
      <x:c r="J30" s="14" t="str">
        <x:v>Cần xác định áp dụng theo dự án/địa phương</x:v>
      </x:c>
    </x:row>
    <x:row r="31">
      <x:c r="A31" s="14" t="str">
        <x:v>DA03</x:v>
      </x:c>
      <x:c r="B31" s="14" t="str">
        <x:v>CK06</x:v>
      </x:c>
      <x:c r="C31" s="14" t="str">
        <x:v>Môi trường</x:v>
      </x:c>
      <x:c r="D31" s="14" t="str">
        <x:v>ĐTM/Giấy phép môi trường theo đối tượng áp dụng</x:v>
      </x:c>
      <x:c r="E31" s="14" t="str">
        <x:v>Có</x:v>
      </x:c>
      <x:c r="F31" s="14" t="str">
        <x:v>Hoàn thành</x:v>
      </x:c>
      <x:c r="G31" s="14" t="str">
        <x:v>Cao</x:v>
      </x:c>
      <x:c r="H31" s="14" t="str">
        <x:v>Pháp chế/Phát triển dự án</x:v>
      </x:c>
      <x:c r="I31" s="14" t="str">
        <x:v>Theo hồ sơ dự án</x:v>
      </x:c>
      <x:c r="J31" s="14" t="str">
        <x:v>Cần xác định áp dụng theo dự án/địa phương</x:v>
      </x:c>
    </x:row>
    <x:row r="32">
      <x:c r="A32" s="14" t="str">
        <x:v>DA03</x:v>
      </x:c>
      <x:c r="B32" s="14" t="str">
        <x:v>CK07</x:v>
      </x:c>
      <x:c r="C32" s="14" t="str">
        <x:v>Thiết kế &amp; PCCC</x:v>
      </x:c>
      <x:c r="D32" s="14" t="str">
        <x:v>Thẩm định thiết kế, PCCC theo đối tượng áp dụng</x:v>
      </x:c>
      <x:c r="E32" s="14" t="str">
        <x:v>Có</x:v>
      </x:c>
      <x:c r="F32" s="14" t="str">
        <x:v>Hoàn thành</x:v>
      </x:c>
      <x:c r="G32" s="14" t="str">
        <x:v>Cao</x:v>
      </x:c>
      <x:c r="H32" s="14" t="str">
        <x:v>Pháp chế/Phát triển dự án</x:v>
      </x:c>
      <x:c r="I32" s="14" t="str">
        <x:v>Theo hồ sơ dự án</x:v>
      </x:c>
      <x:c r="J32" s="14" t="str">
        <x:v>Cần xác định áp dụng theo dự án/địa phương</x:v>
      </x:c>
    </x:row>
    <x:row r="33">
      <x:c r="A33" s="14" t="str">
        <x:v>DA03</x:v>
      </x:c>
      <x:c r="B33" s="14" t="str">
        <x:v>CK08</x:v>
      </x:c>
      <x:c r="C33" s="14" t="str">
        <x:v>Xây dựng</x:v>
      </x:c>
      <x:c r="D33" s="14" t="str">
        <x:v>GPXD/điều kiện khởi công theo trường hợp áp dụng</x:v>
      </x:c>
      <x:c r="E33" s="14" t="str">
        <x:v>Có</x:v>
      </x:c>
      <x:c r="F33" s="14" t="str">
        <x:v>Hoàn thành</x:v>
      </x:c>
      <x:c r="G33" s="14" t="str">
        <x:v>Rất cao</x:v>
      </x:c>
      <x:c r="H33" s="14" t="str">
        <x:v>Pháp chế/Phát triển dự án</x:v>
      </x:c>
      <x:c r="I33" s="14" t="str">
        <x:v>Theo hồ sơ dự án</x:v>
      </x:c>
      <x:c r="J33" s="14" t="str">
        <x:v>Cần xác định áp dụng theo dự án/địa phương</x:v>
      </x:c>
    </x:row>
    <x:row r="34">
      <x:c r="A34" s="14" t="str">
        <x:v>DA03</x:v>
      </x:c>
      <x:c r="B34" s="14" t="str">
        <x:v>CK09</x:v>
      </x:c>
      <x:c r="C34" s="14" t="str">
        <x:v>Kinh doanh BĐS</x:v>
      </x:c>
      <x:c r="D34" s="14" t="str">
        <x:v>Điều kiện đưa sản phẩm vào kinh doanh/mở bán</x:v>
      </x:c>
      <x:c r="E34" s="14" t="str">
        <x:v>Có</x:v>
      </x:c>
      <x:c r="F34" s="14" t="str">
        <x:v>Hoàn thành</x:v>
      </x:c>
      <x:c r="G34" s="14" t="str">
        <x:v>Rất cao</x:v>
      </x:c>
      <x:c r="H34" s="14" t="str">
        <x:v>Pháp chế/Phát triển dự án</x:v>
      </x:c>
      <x:c r="I34" s="14" t="str">
        <x:v>Theo hồ sơ dự án</x:v>
      </x:c>
      <x:c r="J34" s="14" t="str">
        <x:v>Cần xác định áp dụng theo dự án/địa phương</x:v>
      </x:c>
    </x:row>
    <x:row r="35">
      <x:c r="A35" s="14" t="str">
        <x:v>DA03</x:v>
      </x:c>
      <x:c r="B35" s="14" t="str">
        <x:v>CK10</x:v>
      </x:c>
      <x:c r="C35" s="14" t="str">
        <x:v>Bàn giao</x:v>
      </x:c>
      <x:c r="D35" s="14" t="str">
        <x:v>Nghiệm thu, vận hành, bàn giao</x:v>
      </x:c>
      <x:c r="E35" s="14" t="str">
        <x:v>Có</x:v>
      </x:c>
      <x:c r="F35" s="14" t="str">
        <x:v>Hoàn thành</x:v>
      </x:c>
      <x:c r="G35" s="14" t="str">
        <x:v>Cao</x:v>
      </x:c>
      <x:c r="H35" s="14" t="str">
        <x:v>Pháp chế/Phát triển dự án</x:v>
      </x:c>
      <x:c r="I35" s="14" t="str">
        <x:v>Theo hồ sơ dự án</x:v>
      </x:c>
      <x:c r="J35" s="14" t="str">
        <x:v>Cần xác định áp dụng theo dự án/địa phương</x:v>
      </x:c>
    </x:row>
    <x:row r="36">
      <x:c r="A36" s="14" t="str">
        <x:v>DA03</x:v>
      </x:c>
      <x:c r="B36" s="14" t="str">
        <x:v>CK11</x:v>
      </x:c>
      <x:c r="C36" s="14" t="str">
        <x:v>GCN khách hàng</x:v>
      </x:c>
      <x:c r="D36" s="14" t="str">
        <x:v>Hồ sơ cấp GCN cho người mua</x:v>
      </x:c>
      <x:c r="E36" s="14" t="str">
        <x:v>Có</x:v>
      </x:c>
      <x:c r="F36" s="14" t="str">
        <x:v>Đang thực hiện</x:v>
      </x:c>
      <x:c r="G36" s="14" t="str">
        <x:v>Cao</x:v>
      </x:c>
      <x:c r="H36" s="14" t="str">
        <x:v>Pháp chế/Phát triển dự án</x:v>
      </x:c>
      <x:c r="I36" s="14" t="str">
        <x:v>Theo hồ sơ dự án</x:v>
      </x:c>
      <x:c r="J36" s="14" t="str">
        <x:v>Cần xác định áp dụng theo dự án/địa phương</x:v>
      </x:c>
    </x:row>
    <x:row r="37">
      <x:c r="A37" s="14" t="str">
        <x:v>DA04</x:v>
      </x:c>
      <x:c r="B37" s="14" t="str">
        <x:v>CK01</x:v>
      </x:c>
      <x:c r="C37" s="14" t="str">
        <x:v>Tiền đầu tư &amp; quỹ đất</x:v>
      </x:c>
      <x:c r="D37" s="14" t="str">
        <x:v>Rà soát nguồn gốc/quyền sử dụng đất</x:v>
      </x:c>
      <x:c r="E37" s="14" t="str">
        <x:v>Có</x:v>
      </x:c>
      <x:c r="F37" s="14" t="str">
        <x:v>Hoàn thành</x:v>
      </x:c>
      <x:c r="G37" s="14" t="str">
        <x:v>Rất cao</x:v>
      </x:c>
      <x:c r="H37" s="14" t="str">
        <x:v>Pháp chế/Phát triển dự án</x:v>
      </x:c>
      <x:c r="I37" s="14" t="str">
        <x:v>Theo hồ sơ dự án</x:v>
      </x:c>
      <x:c r="J37" s="14" t="str">
        <x:v>Cần xác định áp dụng theo dự án/địa phương</x:v>
      </x:c>
    </x:row>
    <x:row r="38">
      <x:c r="A38" s="14" t="str">
        <x:v>DA04</x:v>
      </x:c>
      <x:c r="B38" s="14" t="str">
        <x:v>CK02</x:v>
      </x:c>
      <x:c r="C38" s="14" t="str">
        <x:v>Đầu tư</x:v>
      </x:c>
      <x:c r="D38" s="14" t="str">
        <x:v>Chấp thuận/chủ trương đầu tư, lựa chọn NĐT nếu áp dụng</x:v>
      </x:c>
      <x:c r="E38" s="14" t="str">
        <x:v>Có</x:v>
      </x:c>
      <x:c r="F38" s="14" t="str">
        <x:v>Hoàn thành</x:v>
      </x:c>
      <x:c r="G38" s="14" t="str">
        <x:v>Rất cao</x:v>
      </x:c>
      <x:c r="H38" s="14" t="str">
        <x:v>Pháp chế/Phát triển dự án</x:v>
      </x:c>
      <x:c r="I38" s="14" t="str">
        <x:v>Theo hồ sơ dự án</x:v>
      </x:c>
      <x:c r="J38" s="14" t="str">
        <x:v>Cần xác định áp dụng theo dự án/địa phương</x:v>
      </x:c>
    </x:row>
    <x:row r="39">
      <x:c r="A39" s="14" t="str">
        <x:v>DA04</x:v>
      </x:c>
      <x:c r="B39" s="14" t="str">
        <x:v>CK03</x:v>
      </x:c>
      <x:c r="C39" s="14" t="str">
        <x:v>Quy hoạch</x:v>
      </x:c>
      <x:c r="D39" s="14" t="str">
        <x:v>Quy hoạch chi tiết và chỉ tiêu quy hoạch</x:v>
      </x:c>
      <x:c r="E39" s="14" t="str">
        <x:v>Có</x:v>
      </x:c>
      <x:c r="F39" s="14" t="str">
        <x:v>Hoàn thành</x:v>
      </x:c>
      <x:c r="G39" s="14" t="str">
        <x:v>Rất cao</x:v>
      </x:c>
      <x:c r="H39" s="14" t="str">
        <x:v>Pháp chế/Phát triển dự án</x:v>
      </x:c>
      <x:c r="I39" s="14" t="str">
        <x:v>Theo hồ sơ dự án</x:v>
      </x:c>
      <x:c r="J39" s="14" t="str">
        <x:v>Cần xác định áp dụng theo dự án/địa phương</x:v>
      </x:c>
    </x:row>
    <x:row r="40">
      <x:c r="A40" s="14" t="str">
        <x:v>DA04</x:v>
      </x:c>
      <x:c r="B40" s="14" t="str">
        <x:v>CK04</x:v>
      </x:c>
      <x:c r="C40" s="14" t="str">
        <x:v>Đất đai</x:v>
      </x:c>
      <x:c r="D40" s="14" t="str">
        <x:v>GPMB, giao/thuê/chuyển mục đích, GCN QSDĐ</x:v>
      </x:c>
      <x:c r="E40" s="14" t="str">
        <x:v>Có</x:v>
      </x:c>
      <x:c r="F40" s="14" t="str">
        <x:v>Hoàn thành</x:v>
      </x:c>
      <x:c r="G40" s="14" t="str">
        <x:v>Rất cao</x:v>
      </x:c>
      <x:c r="H40" s="14" t="str">
        <x:v>Pháp chế/Phát triển dự án</x:v>
      </x:c>
      <x:c r="I40" s="14" t="str">
        <x:v>Theo hồ sơ dự án</x:v>
      </x:c>
      <x:c r="J40" s="14" t="str">
        <x:v>Cần xác định áp dụng theo dự án/địa phương</x:v>
      </x:c>
    </x:row>
    <x:row r="41">
      <x:c r="A41" s="14" t="str">
        <x:v>DA04</x:v>
      </x:c>
      <x:c r="B41" s="14" t="str">
        <x:v>CK05</x:v>
      </x:c>
      <x:c r="C41" s="14" t="str">
        <x:v>Tài chính đất</x:v>
      </x:c>
      <x:c r="D41" s="14" t="str">
        <x:v>Xác định và hoàn thành nghĩa vụ tài chính đất</x:v>
      </x:c>
      <x:c r="E41" s="14" t="str">
        <x:v>Có</x:v>
      </x:c>
      <x:c r="F41" s="14" t="str">
        <x:v>Hoàn thành</x:v>
      </x:c>
      <x:c r="G41" s="14" t="str">
        <x:v>Rất cao</x:v>
      </x:c>
      <x:c r="H41" s="14" t="str">
        <x:v>Pháp chế/Phát triển dự án</x:v>
      </x:c>
      <x:c r="I41" s="14" t="str">
        <x:v>Theo hồ sơ dự án</x:v>
      </x:c>
      <x:c r="J41" s="14" t="str">
        <x:v>Cần xác định áp dụng theo dự án/địa phương</x:v>
      </x:c>
    </x:row>
    <x:row r="42">
      <x:c r="A42" s="14" t="str">
        <x:v>DA04</x:v>
      </x:c>
      <x:c r="B42" s="14" t="str">
        <x:v>CK06</x:v>
      </x:c>
      <x:c r="C42" s="14" t="str">
        <x:v>Môi trường</x:v>
      </x:c>
      <x:c r="D42" s="14" t="str">
        <x:v>ĐTM/Giấy phép môi trường theo đối tượng áp dụng</x:v>
      </x:c>
      <x:c r="E42" s="14" t="str">
        <x:v>Có</x:v>
      </x:c>
      <x:c r="F42" s="14" t="str">
        <x:v>Hoàn thành</x:v>
      </x:c>
      <x:c r="G42" s="14" t="str">
        <x:v>Cao</x:v>
      </x:c>
      <x:c r="H42" s="14" t="str">
        <x:v>Pháp chế/Phát triển dự án</x:v>
      </x:c>
      <x:c r="I42" s="14" t="str">
        <x:v>Theo hồ sơ dự án</x:v>
      </x:c>
      <x:c r="J42" s="14" t="str">
        <x:v>Cần xác định áp dụng theo dự án/địa phương</x:v>
      </x:c>
    </x:row>
    <x:row r="43">
      <x:c r="A43" s="14" t="str">
        <x:v>DA04</x:v>
      </x:c>
      <x:c r="B43" s="14" t="str">
        <x:v>CK07</x:v>
      </x:c>
      <x:c r="C43" s="14" t="str">
        <x:v>Thiết kế &amp; PCCC</x:v>
      </x:c>
      <x:c r="D43" s="14" t="str">
        <x:v>Thẩm định thiết kế, PCCC theo đối tượng áp dụng</x:v>
      </x:c>
      <x:c r="E43" s="14" t="str">
        <x:v>Có</x:v>
      </x:c>
      <x:c r="F43" s="14" t="str">
        <x:v>Hoàn thành</x:v>
      </x:c>
      <x:c r="G43" s="14" t="str">
        <x:v>Cao</x:v>
      </x:c>
      <x:c r="H43" s="14" t="str">
        <x:v>Pháp chế/Phát triển dự án</x:v>
      </x:c>
      <x:c r="I43" s="14" t="str">
        <x:v>Theo hồ sơ dự án</x:v>
      </x:c>
      <x:c r="J43" s="14" t="str">
        <x:v>Cần xác định áp dụng theo dự án/địa phương</x:v>
      </x:c>
    </x:row>
    <x:row r="44">
      <x:c r="A44" s="14" t="str">
        <x:v>DA04</x:v>
      </x:c>
      <x:c r="B44" s="14" t="str">
        <x:v>CK08</x:v>
      </x:c>
      <x:c r="C44" s="14" t="str">
        <x:v>Xây dựng</x:v>
      </x:c>
      <x:c r="D44" s="14" t="str">
        <x:v>GPXD/điều kiện khởi công theo trường hợp áp dụng</x:v>
      </x:c>
      <x:c r="E44" s="14" t="str">
        <x:v>Có</x:v>
      </x:c>
      <x:c r="F44" s="14" t="str">
        <x:v>Hoàn thành</x:v>
      </x:c>
      <x:c r="G44" s="14" t="str">
        <x:v>Rất cao</x:v>
      </x:c>
      <x:c r="H44" s="14" t="str">
        <x:v>Pháp chế/Phát triển dự án</x:v>
      </x:c>
      <x:c r="I44" s="14" t="str">
        <x:v>Theo hồ sơ dự án</x:v>
      </x:c>
      <x:c r="J44" s="14" t="str">
        <x:v>Cần xác định áp dụng theo dự án/địa phương</x:v>
      </x:c>
    </x:row>
    <x:row r="45">
      <x:c r="A45" s="14" t="str">
        <x:v>DA04</x:v>
      </x:c>
      <x:c r="B45" s="14" t="str">
        <x:v>CK09</x:v>
      </x:c>
      <x:c r="C45" s="14" t="str">
        <x:v>Kinh doanh BĐS</x:v>
      </x:c>
      <x:c r="D45" s="14" t="str">
        <x:v>Điều kiện đưa sản phẩm vào kinh doanh/mở bán</x:v>
      </x:c>
      <x:c r="E45" s="14" t="str">
        <x:v>Có</x:v>
      </x:c>
      <x:c r="F45" s="14" t="str">
        <x:v>Hoàn thành</x:v>
      </x:c>
      <x:c r="G45" s="14" t="str">
        <x:v>Rất cao</x:v>
      </x:c>
      <x:c r="H45" s="14" t="str">
        <x:v>Pháp chế/Phát triển dự án</x:v>
      </x:c>
      <x:c r="I45" s="14" t="str">
        <x:v>Theo hồ sơ dự án</x:v>
      </x:c>
      <x:c r="J45" s="14" t="str">
        <x:v>Cần xác định áp dụng theo dự án/địa phương</x:v>
      </x:c>
    </x:row>
    <x:row r="46">
      <x:c r="A46" s="14" t="str">
        <x:v>DA04</x:v>
      </x:c>
      <x:c r="B46" s="14" t="str">
        <x:v>CK10</x:v>
      </x:c>
      <x:c r="C46" s="14" t="str">
        <x:v>Bàn giao</x:v>
      </x:c>
      <x:c r="D46" s="14" t="str">
        <x:v>Nghiệm thu, vận hành, bàn giao</x:v>
      </x:c>
      <x:c r="E46" s="14" t="str">
        <x:v>Có</x:v>
      </x:c>
      <x:c r="F46" s="14" t="str">
        <x:v>Hoàn thành</x:v>
      </x:c>
      <x:c r="G46" s="14" t="str">
        <x:v>Cao</x:v>
      </x:c>
      <x:c r="H46" s="14" t="str">
        <x:v>Pháp chế/Phát triển dự án</x:v>
      </x:c>
      <x:c r="I46" s="14" t="str">
        <x:v>Theo hồ sơ dự án</x:v>
      </x:c>
      <x:c r="J46" s="14" t="str">
        <x:v>Cần xác định áp dụng theo dự án/địa phương</x:v>
      </x:c>
    </x:row>
    <x:row r="47">
      <x:c r="A47" s="14" t="str">
        <x:v>DA04</x:v>
      </x:c>
      <x:c r="B47" s="14" t="str">
        <x:v>CK11</x:v>
      </x:c>
      <x:c r="C47" s="14" t="str">
        <x:v>GCN khách hàng</x:v>
      </x:c>
      <x:c r="D47" s="14" t="str">
        <x:v>Hồ sơ cấp GCN cho người mua</x:v>
      </x:c>
      <x:c r="E47" s="14" t="str">
        <x:v>Có</x:v>
      </x:c>
      <x:c r="F47" s="14" t="str">
        <x:v>Hoàn thành</x:v>
      </x:c>
      <x:c r="G47" s="14" t="str">
        <x:v>Cao</x:v>
      </x:c>
      <x:c r="H47" s="14" t="str">
        <x:v>Pháp chế/Phát triển dự án</x:v>
      </x:c>
      <x:c r="I47" s="14" t="str">
        <x:v>Theo hồ sơ dự án</x:v>
      </x:c>
      <x:c r="J47" s="14" t="str">
        <x:v>Cần xác định áp dụng theo dự án/địa phương</x:v>
      </x:c>
    </x:row>
    <x:row r="48">
      <x:c r="A48" s="14" t="str">
        <x:v>DA05</x:v>
      </x:c>
      <x:c r="B48" s="14" t="str">
        <x:v>CK01</x:v>
      </x:c>
      <x:c r="C48" s="14" t="str">
        <x:v>Tiền đầu tư &amp; quỹ đất</x:v>
      </x:c>
      <x:c r="D48" s="14" t="str">
        <x:v>Rà soát nguồn gốc/quyền sử dụng đất</x:v>
      </x:c>
      <x:c r="E48" s="14" t="str">
        <x:v>Có</x:v>
      </x:c>
      <x:c r="F48" s="14" t="str">
        <x:v>Hoàn thành</x:v>
      </x:c>
      <x:c r="G48" s="14" t="str">
        <x:v>Rất cao</x:v>
      </x:c>
      <x:c r="H48" s="14" t="str">
        <x:v>Pháp chế/Phát triển dự án</x:v>
      </x:c>
      <x:c r="I48" s="14" t="str">
        <x:v>Theo hồ sơ dự án</x:v>
      </x:c>
      <x:c r="J48" s="14" t="str">
        <x:v>Cần xác định áp dụng theo dự án/địa phương</x:v>
      </x:c>
    </x:row>
    <x:row r="49">
      <x:c r="A49" s="14" t="str">
        <x:v>DA05</x:v>
      </x:c>
      <x:c r="B49" s="14" t="str">
        <x:v>CK02</x:v>
      </x:c>
      <x:c r="C49" s="14" t="str">
        <x:v>Đầu tư</x:v>
      </x:c>
      <x:c r="D49" s="14" t="str">
        <x:v>Chấp thuận/chủ trương đầu tư, lựa chọn NĐT nếu áp dụng</x:v>
      </x:c>
      <x:c r="E49" s="14" t="str">
        <x:v>Có</x:v>
      </x:c>
      <x:c r="F49" s="14" t="str">
        <x:v>Hoàn thành</x:v>
      </x:c>
      <x:c r="G49" s="14" t="str">
        <x:v>Rất cao</x:v>
      </x:c>
      <x:c r="H49" s="14" t="str">
        <x:v>Pháp chế/Phát triển dự án</x:v>
      </x:c>
      <x:c r="I49" s="14" t="str">
        <x:v>Theo hồ sơ dự án</x:v>
      </x:c>
      <x:c r="J49" s="14" t="str">
        <x:v>Cần xác định áp dụng theo dự án/địa phương</x:v>
      </x:c>
    </x:row>
    <x:row r="50">
      <x:c r="A50" s="14" t="str">
        <x:v>DA05</x:v>
      </x:c>
      <x:c r="B50" s="14" t="str">
        <x:v>CK03</x:v>
      </x:c>
      <x:c r="C50" s="14" t="str">
        <x:v>Quy hoạch</x:v>
      </x:c>
      <x:c r="D50" s="14" t="str">
        <x:v>Quy hoạch chi tiết và chỉ tiêu quy hoạch</x:v>
      </x:c>
      <x:c r="E50" s="14" t="str">
        <x:v>Có</x:v>
      </x:c>
      <x:c r="F50" s="14" t="str">
        <x:v>Hoàn thành</x:v>
      </x:c>
      <x:c r="G50" s="14" t="str">
        <x:v>Rất cao</x:v>
      </x:c>
      <x:c r="H50" s="14" t="str">
        <x:v>Pháp chế/Phát triển dự án</x:v>
      </x:c>
      <x:c r="I50" s="14" t="str">
        <x:v>Theo hồ sơ dự án</x:v>
      </x:c>
      <x:c r="J50" s="14" t="str">
        <x:v>Cần xác định áp dụng theo dự án/địa phương</x:v>
      </x:c>
    </x:row>
    <x:row r="51">
      <x:c r="A51" s="14" t="str">
        <x:v>DA05</x:v>
      </x:c>
      <x:c r="B51" s="14" t="str">
        <x:v>CK04</x:v>
      </x:c>
      <x:c r="C51" s="14" t="str">
        <x:v>Đất đai</x:v>
      </x:c>
      <x:c r="D51" s="14" t="str">
        <x:v>GPMB, giao/thuê/chuyển mục đích, GCN QSDĐ</x:v>
      </x:c>
      <x:c r="E51" s="14" t="str">
        <x:v>Có</x:v>
      </x:c>
      <x:c r="F51" s="14" t="str">
        <x:v>Hoàn thành</x:v>
      </x:c>
      <x:c r="G51" s="14" t="str">
        <x:v>Rất cao</x:v>
      </x:c>
      <x:c r="H51" s="14" t="str">
        <x:v>Pháp chế/Phát triển dự án</x:v>
      </x:c>
      <x:c r="I51" s="14" t="str">
        <x:v>Theo hồ sơ dự án</x:v>
      </x:c>
      <x:c r="J51" s="14" t="str">
        <x:v>Cần xác định áp dụng theo dự án/địa phương</x:v>
      </x:c>
    </x:row>
    <x:row r="52">
      <x:c r="A52" s="14" t="str">
        <x:v>DA05</x:v>
      </x:c>
      <x:c r="B52" s="14" t="str">
        <x:v>CK05</x:v>
      </x:c>
      <x:c r="C52" s="14" t="str">
        <x:v>Tài chính đất</x:v>
      </x:c>
      <x:c r="D52" s="14" t="str">
        <x:v>Xác định và hoàn thành nghĩa vụ tài chính đất</x:v>
      </x:c>
      <x:c r="E52" s="14" t="str">
        <x:v>Có</x:v>
      </x:c>
      <x:c r="F52" s="14" t="str">
        <x:v>Hoàn thành</x:v>
      </x:c>
      <x:c r="G52" s="14" t="str">
        <x:v>Rất cao</x:v>
      </x:c>
      <x:c r="H52" s="14" t="str">
        <x:v>Pháp chế/Phát triển dự án</x:v>
      </x:c>
      <x:c r="I52" s="14" t="str">
        <x:v>Theo hồ sơ dự án</x:v>
      </x:c>
      <x:c r="J52" s="14" t="str">
        <x:v>Cần xác định áp dụng theo dự án/địa phương</x:v>
      </x:c>
    </x:row>
    <x:row r="53">
      <x:c r="A53" s="14" t="str">
        <x:v>DA05</x:v>
      </x:c>
      <x:c r="B53" s="14" t="str">
        <x:v>CK06</x:v>
      </x:c>
      <x:c r="C53" s="14" t="str">
        <x:v>Môi trường</x:v>
      </x:c>
      <x:c r="D53" s="14" t="str">
        <x:v>ĐTM/Giấy phép môi trường theo đối tượng áp dụng</x:v>
      </x:c>
      <x:c r="E53" s="14" t="str">
        <x:v>Có</x:v>
      </x:c>
      <x:c r="F53" s="14" t="str">
        <x:v>Hoàn thành</x:v>
      </x:c>
      <x:c r="G53" s="14" t="str">
        <x:v>Cao</x:v>
      </x:c>
      <x:c r="H53" s="14" t="str">
        <x:v>Pháp chế/Phát triển dự án</x:v>
      </x:c>
      <x:c r="I53" s="14" t="str">
        <x:v>Theo hồ sơ dự án</x:v>
      </x:c>
      <x:c r="J53" s="14" t="str">
        <x:v>Cần xác định áp dụng theo dự án/địa phương</x:v>
      </x:c>
    </x:row>
    <x:row r="54">
      <x:c r="A54" s="14" t="str">
        <x:v>DA05</x:v>
      </x:c>
      <x:c r="B54" s="14" t="str">
        <x:v>CK07</x:v>
      </x:c>
      <x:c r="C54" s="14" t="str">
        <x:v>Thiết kế &amp; PCCC</x:v>
      </x:c>
      <x:c r="D54" s="14" t="str">
        <x:v>Thẩm định thiết kế, PCCC theo đối tượng áp dụng</x:v>
      </x:c>
      <x:c r="E54" s="14" t="str">
        <x:v>Có</x:v>
      </x:c>
      <x:c r="F54" s="14" t="str">
        <x:v>Hoàn thành</x:v>
      </x:c>
      <x:c r="G54" s="14" t="str">
        <x:v>Cao</x:v>
      </x:c>
      <x:c r="H54" s="14" t="str">
        <x:v>Pháp chế/Phát triển dự án</x:v>
      </x:c>
      <x:c r="I54" s="14" t="str">
        <x:v>Theo hồ sơ dự án</x:v>
      </x:c>
      <x:c r="J54" s="14" t="str">
        <x:v>Cần xác định áp dụng theo dự án/địa phương</x:v>
      </x:c>
    </x:row>
    <x:row r="55">
      <x:c r="A55" s="14" t="str">
        <x:v>DA05</x:v>
      </x:c>
      <x:c r="B55" s="14" t="str">
        <x:v>CK08</x:v>
      </x:c>
      <x:c r="C55" s="14" t="str">
        <x:v>Xây dựng</x:v>
      </x:c>
      <x:c r="D55" s="14" t="str">
        <x:v>GPXD/điều kiện khởi công theo trường hợp áp dụng</x:v>
      </x:c>
      <x:c r="E55" s="14" t="str">
        <x:v>Có</x:v>
      </x:c>
      <x:c r="F55" s="14" t="str">
        <x:v>Hoàn thành</x:v>
      </x:c>
      <x:c r="G55" s="14" t="str">
        <x:v>Rất cao</x:v>
      </x:c>
      <x:c r="H55" s="14" t="str">
        <x:v>Pháp chế/Phát triển dự án</x:v>
      </x:c>
      <x:c r="I55" s="14" t="str">
        <x:v>Theo hồ sơ dự án</x:v>
      </x:c>
      <x:c r="J55" s="14" t="str">
        <x:v>Cần xác định áp dụng theo dự án/địa phương</x:v>
      </x:c>
    </x:row>
    <x:row r="56">
      <x:c r="A56" s="14" t="str">
        <x:v>DA05</x:v>
      </x:c>
      <x:c r="B56" s="14" t="str">
        <x:v>CK09</x:v>
      </x:c>
      <x:c r="C56" s="14" t="str">
        <x:v>Kinh doanh BĐS</x:v>
      </x:c>
      <x:c r="D56" s="14" t="str">
        <x:v>Điều kiện đưa sản phẩm vào kinh doanh/mở bán</x:v>
      </x:c>
      <x:c r="E56" s="14" t="str">
        <x:v>Có</x:v>
      </x:c>
      <x:c r="F56" s="14" t="str">
        <x:v>Hoàn thành</x:v>
      </x:c>
      <x:c r="G56" s="14" t="str">
        <x:v>Rất cao</x:v>
      </x:c>
      <x:c r="H56" s="14" t="str">
        <x:v>Pháp chế/Phát triển dự án</x:v>
      </x:c>
      <x:c r="I56" s="14" t="str">
        <x:v>Theo hồ sơ dự án</x:v>
      </x:c>
      <x:c r="J56" s="14" t="str">
        <x:v>Cần xác định áp dụng theo dự án/địa phương</x:v>
      </x:c>
    </x:row>
    <x:row r="57">
      <x:c r="A57" s="14" t="str">
        <x:v>DA05</x:v>
      </x:c>
      <x:c r="B57" s="14" t="str">
        <x:v>CK10</x:v>
      </x:c>
      <x:c r="C57" s="14" t="str">
        <x:v>Bàn giao</x:v>
      </x:c>
      <x:c r="D57" s="14" t="str">
        <x:v>Nghiệm thu, vận hành, bàn giao</x:v>
      </x:c>
      <x:c r="E57" s="14" t="str">
        <x:v>Có</x:v>
      </x:c>
      <x:c r="F57" s="14" t="str">
        <x:v>Hoàn thành</x:v>
      </x:c>
      <x:c r="G57" s="14" t="str">
        <x:v>Cao</x:v>
      </x:c>
      <x:c r="H57" s="14" t="str">
        <x:v>Pháp chế/Phát triển dự án</x:v>
      </x:c>
      <x:c r="I57" s="14" t="str">
        <x:v>Theo hồ sơ dự án</x:v>
      </x:c>
      <x:c r="J57" s="14" t="str">
        <x:v>Cần xác định áp dụng theo dự án/địa phương</x:v>
      </x:c>
    </x:row>
    <x:row r="58">
      <x:c r="A58" s="14" t="str">
        <x:v>DA05</x:v>
      </x:c>
      <x:c r="B58" s="14" t="str">
        <x:v>CK11</x:v>
      </x:c>
      <x:c r="C58" s="14" t="str">
        <x:v>GCN khách hàng</x:v>
      </x:c>
      <x:c r="D58" s="14" t="str">
        <x:v>Hồ sơ cấp GCN cho người mua</x:v>
      </x:c>
      <x:c r="E58" s="14" t="str">
        <x:v>Có</x:v>
      </x:c>
      <x:c r="F58" s="14" t="str">
        <x:v>Hoàn thành</x:v>
      </x:c>
      <x:c r="G58" s="14" t="str">
        <x:v>Cao</x:v>
      </x:c>
      <x:c r="H58" s="14" t="str">
        <x:v>Pháp chế/Phát triển dự án</x:v>
      </x:c>
      <x:c r="I58" s="14" t="str">
        <x:v>Theo hồ sơ dự án</x:v>
      </x:c>
      <x:c r="J58" s="14" t="str">
        <x:v>Cần xác định áp dụng theo dự án/địa phương</x:v>
      </x:c>
    </x:row>
    <x:row r="59">
      <x:c r="A59" s="14" t="str">
        <x:v>DA06</x:v>
      </x:c>
      <x:c r="B59" s="14" t="str">
        <x:v>CK01</x:v>
      </x:c>
      <x:c r="C59" s="14" t="str">
        <x:v>Tiền đầu tư &amp; quỹ đất</x:v>
      </x:c>
      <x:c r="D59" s="14" t="str">
        <x:v>Rà soát nguồn gốc/quyền sử dụng đất</x:v>
      </x:c>
      <x:c r="E59" s="14" t="str">
        <x:v>Có</x:v>
      </x:c>
      <x:c r="F59" s="14" t="str">
        <x:v>Hoàn thành</x:v>
      </x:c>
      <x:c r="G59" s="14" t="str">
        <x:v>Rất cao</x:v>
      </x:c>
      <x:c r="H59" s="14" t="str">
        <x:v>Pháp chế/Phát triển dự án</x:v>
      </x:c>
      <x:c r="I59" s="14" t="str">
        <x:v>Theo hồ sơ dự án</x:v>
      </x:c>
      <x:c r="J59" s="14" t="str">
        <x:v>Cần xác định áp dụng theo dự án/địa phương</x:v>
      </x:c>
    </x:row>
    <x:row r="60">
      <x:c r="A60" s="14" t="str">
        <x:v>DA06</x:v>
      </x:c>
      <x:c r="B60" s="14" t="str">
        <x:v>CK02</x:v>
      </x:c>
      <x:c r="C60" s="14" t="str">
        <x:v>Đầu tư</x:v>
      </x:c>
      <x:c r="D60" s="14" t="str">
        <x:v>Chấp thuận/chủ trương đầu tư, lựa chọn NĐT nếu áp dụng</x:v>
      </x:c>
      <x:c r="E60" s="14" t="str">
        <x:v>Có</x:v>
      </x:c>
      <x:c r="F60" s="14" t="str">
        <x:v>Đang thực hiện</x:v>
      </x:c>
      <x:c r="G60" s="14" t="str">
        <x:v>Rất cao</x:v>
      </x:c>
      <x:c r="H60" s="14" t="str">
        <x:v>Pháp chế/Phát triển dự án</x:v>
      </x:c>
      <x:c r="I60" s="14" t="str">
        <x:v>Theo hồ sơ dự án</x:v>
      </x:c>
      <x:c r="J60" s="14" t="str">
        <x:v>Cần xác định áp dụng theo dự án/địa phương</x:v>
      </x:c>
    </x:row>
    <x:row r="61">
      <x:c r="A61" s="14" t="str">
        <x:v>DA06</x:v>
      </x:c>
      <x:c r="B61" s="14" t="str">
        <x:v>CK03</x:v>
      </x:c>
      <x:c r="C61" s="14" t="str">
        <x:v>Quy hoạch</x:v>
      </x:c>
      <x:c r="D61" s="14" t="str">
        <x:v>Quy hoạch chi tiết và chỉ tiêu quy hoạch</x:v>
      </x:c>
      <x:c r="E61" s="14" t="str">
        <x:v>Có</x:v>
      </x:c>
      <x:c r="F61" s="14" t="str">
        <x:v>Đang thực hiện</x:v>
      </x:c>
      <x:c r="G61" s="14" t="str">
        <x:v>Rất cao</x:v>
      </x:c>
      <x:c r="H61" s="14" t="str">
        <x:v>Pháp chế/Phát triển dự án</x:v>
      </x:c>
      <x:c r="I61" s="14" t="str">
        <x:v>Theo hồ sơ dự án</x:v>
      </x:c>
      <x:c r="J61" s="14" t="str">
        <x:v>Cần xác định áp dụng theo dự án/địa phương</x:v>
      </x:c>
    </x:row>
    <x:row r="62">
      <x:c r="A62" s="14" t="str">
        <x:v>DA06</x:v>
      </x:c>
      <x:c r="B62" s="14" t="str">
        <x:v>CK04</x:v>
      </x:c>
      <x:c r="C62" s="14" t="str">
        <x:v>Đất đai</x:v>
      </x:c>
      <x:c r="D62" s="14" t="str">
        <x:v>GPMB, giao/thuê/chuyển mục đích, GCN QSDĐ</x:v>
      </x:c>
      <x:c r="E62" s="14" t="str">
        <x:v>Có</x:v>
      </x:c>
      <x:c r="F62" s="14" t="str">
        <x:v>Chưa bắt đầu</x:v>
      </x:c>
      <x:c r="G62" s="14" t="str">
        <x:v>Rất cao</x:v>
      </x:c>
      <x:c r="H62" s="14" t="str">
        <x:v>Pháp chế/Phát triển dự án</x:v>
      </x:c>
      <x:c r="I62" s="14" t="str">
        <x:v>Theo hồ sơ dự án</x:v>
      </x:c>
      <x:c r="J62" s="14" t="str">
        <x:v>Cần xác định áp dụng theo dự án/địa phương</x:v>
      </x:c>
    </x:row>
    <x:row r="63">
      <x:c r="A63" s="14" t="str">
        <x:v>DA06</x:v>
      </x:c>
      <x:c r="B63" s="14" t="str">
        <x:v>CK05</x:v>
      </x:c>
      <x:c r="C63" s="14" t="str">
        <x:v>Tài chính đất</x:v>
      </x:c>
      <x:c r="D63" s="14" t="str">
        <x:v>Xác định và hoàn thành nghĩa vụ tài chính đất</x:v>
      </x:c>
      <x:c r="E63" s="14" t="str">
        <x:v>Có</x:v>
      </x:c>
      <x:c r="F63" s="14" t="str">
        <x:v>Chưa bắt đầu</x:v>
      </x:c>
      <x:c r="G63" s="14" t="str">
        <x:v>Rất cao</x:v>
      </x:c>
      <x:c r="H63" s="14" t="str">
        <x:v>Pháp chế/Phát triển dự án</x:v>
      </x:c>
      <x:c r="I63" s="14" t="str">
        <x:v>Theo hồ sơ dự án</x:v>
      </x:c>
      <x:c r="J63" s="14" t="str">
        <x:v>Cần xác định áp dụng theo dự án/địa phương</x:v>
      </x:c>
    </x:row>
    <x:row r="64">
      <x:c r="A64" s="14" t="str">
        <x:v>DA06</x:v>
      </x:c>
      <x:c r="B64" s="14" t="str">
        <x:v>CK06</x:v>
      </x:c>
      <x:c r="C64" s="14" t="str">
        <x:v>Môi trường</x:v>
      </x:c>
      <x:c r="D64" s="14" t="str">
        <x:v>ĐTM/Giấy phép môi trường theo đối tượng áp dụng</x:v>
      </x:c>
      <x:c r="E64" s="14" t="str">
        <x:v>Có</x:v>
      </x:c>
      <x:c r="F64" s="14" t="str">
        <x:v>Chưa bắt đầu</x:v>
      </x:c>
      <x:c r="G64" s="14" t="str">
        <x:v>Cao</x:v>
      </x:c>
      <x:c r="H64" s="14" t="str">
        <x:v>Pháp chế/Phát triển dự án</x:v>
      </x:c>
      <x:c r="I64" s="14" t="str">
        <x:v>Theo hồ sơ dự án</x:v>
      </x:c>
      <x:c r="J64" s="14" t="str">
        <x:v>Cần xác định áp dụng theo dự án/địa phương</x:v>
      </x:c>
    </x:row>
    <x:row r="65">
      <x:c r="A65" s="14" t="str">
        <x:v>DA06</x:v>
      </x:c>
      <x:c r="B65" s="14" t="str">
        <x:v>CK07</x:v>
      </x:c>
      <x:c r="C65" s="14" t="str">
        <x:v>Thiết kế &amp; PCCC</x:v>
      </x:c>
      <x:c r="D65" s="14" t="str">
        <x:v>Thẩm định thiết kế, PCCC theo đối tượng áp dụng</x:v>
      </x:c>
      <x:c r="E65" s="14" t="str">
        <x:v>Có</x:v>
      </x:c>
      <x:c r="F65" s="14" t="str">
        <x:v>Chưa bắt đầu</x:v>
      </x:c>
      <x:c r="G65" s="14" t="str">
        <x:v>Cao</x:v>
      </x:c>
      <x:c r="H65" s="14" t="str">
        <x:v>Pháp chế/Phát triển dự án</x:v>
      </x:c>
      <x:c r="I65" s="14" t="str">
        <x:v>Theo hồ sơ dự án</x:v>
      </x:c>
      <x:c r="J65" s="14" t="str">
        <x:v>Cần xác định áp dụng theo dự án/địa phương</x:v>
      </x:c>
    </x:row>
    <x:row r="66">
      <x:c r="A66" s="14" t="str">
        <x:v>DA06</x:v>
      </x:c>
      <x:c r="B66" s="14" t="str">
        <x:v>CK08</x:v>
      </x:c>
      <x:c r="C66" s="14" t="str">
        <x:v>Xây dựng</x:v>
      </x:c>
      <x:c r="D66" s="14" t="str">
        <x:v>GPXD/điều kiện khởi công theo trường hợp áp dụng</x:v>
      </x:c>
      <x:c r="E66" s="14" t="str">
        <x:v>Có</x:v>
      </x:c>
      <x:c r="F66" s="14" t="str">
        <x:v>Chưa bắt đầu</x:v>
      </x:c>
      <x:c r="G66" s="14" t="str">
        <x:v>Rất cao</x:v>
      </x:c>
      <x:c r="H66" s="14" t="str">
        <x:v>Pháp chế/Phát triển dự án</x:v>
      </x:c>
      <x:c r="I66" s="14" t="str">
        <x:v>Theo hồ sơ dự án</x:v>
      </x:c>
      <x:c r="J66" s="14" t="str">
        <x:v>Cần xác định áp dụng theo dự án/địa phương</x:v>
      </x:c>
    </x:row>
    <x:row r="67">
      <x:c r="A67" s="14" t="str">
        <x:v>DA06</x:v>
      </x:c>
      <x:c r="B67" s="14" t="str">
        <x:v>CK09</x:v>
      </x:c>
      <x:c r="C67" s="14" t="str">
        <x:v>Kinh doanh BĐS</x:v>
      </x:c>
      <x:c r="D67" s="14" t="str">
        <x:v>Điều kiện đưa sản phẩm vào kinh doanh/mở bán</x:v>
      </x:c>
      <x:c r="E67" s="14" t="str">
        <x:v>Có</x:v>
      </x:c>
      <x:c r="F67" s="14" t="str">
        <x:v>Chưa bắt đầu</x:v>
      </x:c>
      <x:c r="G67" s="14" t="str">
        <x:v>Rất cao</x:v>
      </x:c>
      <x:c r="H67" s="14" t="str">
        <x:v>Pháp chế/Phát triển dự án</x:v>
      </x:c>
      <x:c r="I67" s="14" t="str">
        <x:v>Theo hồ sơ dự án</x:v>
      </x:c>
      <x:c r="J67" s="14" t="str">
        <x:v>Cần xác định áp dụng theo dự án/địa phương</x:v>
      </x:c>
    </x:row>
    <x:row r="68">
      <x:c r="A68" s="14" t="str">
        <x:v>DA06</x:v>
      </x:c>
      <x:c r="B68" s="14" t="str">
        <x:v>CK10</x:v>
      </x:c>
      <x:c r="C68" s="14" t="str">
        <x:v>Bàn giao</x:v>
      </x:c>
      <x:c r="D68" s="14" t="str">
        <x:v>Nghiệm thu, vận hành, bàn giao</x:v>
      </x:c>
      <x:c r="E68" s="14" t="str">
        <x:v>Có</x:v>
      </x:c>
      <x:c r="F68" s="14" t="str">
        <x:v>Chưa bắt đầu</x:v>
      </x:c>
      <x:c r="G68" s="14" t="str">
        <x:v>Cao</x:v>
      </x:c>
      <x:c r="H68" s="14" t="str">
        <x:v>Pháp chế/Phát triển dự án</x:v>
      </x:c>
      <x:c r="I68" s="14" t="str">
        <x:v>Theo hồ sơ dự án</x:v>
      </x:c>
      <x:c r="J68" s="14" t="str">
        <x:v>Cần xác định áp dụng theo dự án/địa phương</x:v>
      </x:c>
    </x:row>
    <x:row r="69">
      <x:c r="A69" s="14" t="str">
        <x:v>DA06</x:v>
      </x:c>
      <x:c r="B69" s="14" t="str">
        <x:v>CK11</x:v>
      </x:c>
      <x:c r="C69" s="14" t="str">
        <x:v>GCN khách hàng</x:v>
      </x:c>
      <x:c r="D69" s="14" t="str">
        <x:v>Hồ sơ cấp GCN cho người mua</x:v>
      </x:c>
      <x:c r="E69" s="14" t="str">
        <x:v>Có</x:v>
      </x:c>
      <x:c r="F69" s="14" t="str">
        <x:v>Chưa bắt đầu</x:v>
      </x:c>
      <x:c r="G69" s="14" t="str">
        <x:v>Cao</x:v>
      </x:c>
      <x:c r="H69" s="14" t="str">
        <x:v>Pháp chế/Phát triển dự án</x:v>
      </x:c>
      <x:c r="I69" s="14" t="str">
        <x:v>Theo hồ sơ dự án</x:v>
      </x:c>
      <x:c r="J69" s="14" t="str">
        <x:v>Cần xác định áp dụng theo dự án/địa phương</x:v>
      </x:c>
    </x:row>
  </x:sheetData>
  <x:mergeCells>
    <x:mergeCell ref="A1:J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0" hidden="0" customWidth="1"/>
    <x:col min="4" max="4" width="16" hidden="0" customWidth="1"/>
    <x:col min="5" max="5" width="16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16" hidden="0" customWidth="1"/>
    <x:col min="11" max="11" width="38" hidden="0" customWidth="1"/>
  </x:cols>
  <x:sheetData>
    <x:row r="1" ht="26" customHeight="1">
      <x:c r="A1" s="3" t="str">
        <x:v>14_Duong_gang_PL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9" t="str">
        <x:v>Mã dự án</x:v>
      </x:c>
      <x:c r="B3" s="9" t="str">
        <x:v>Mã</x:v>
      </x:c>
      <x:c r="C3" s="9" t="str">
        <x:v>Mốc/đầu việc</x:v>
      </x:c>
      <x:c r="D3" s="9" t="str">
        <x:v>Mã tiền nhiệm</x:v>
      </x:c>
      <x:c r="E3" s="9" t="str">
        <x:v>Ngày bắt đầu KH</x:v>
      </x:c>
      <x:c r="F3" s="9" t="str">
        <x:v>Ngày kết thúc KH</x:v>
      </x:c>
      <x:c r="G3" s="9" t="str">
        <x:v>Ngày kết thúc dự báo</x:v>
      </x:c>
      <x:c r="H3" s="9" t="str">
        <x:v>Chậm thực tế (ngày)</x:v>
      </x:c>
      <x:c r="I3" s="9" t="str">
        <x:v>Trạng thái</x:v>
      </x:c>
      <x:c r="J3" s="9" t="str">
        <x:v>Mốc khóa</x:v>
      </x:c>
      <x:c r="K3" s="9" t="str">
        <x:v>Ảnh hưởng khi chậm</x:v>
      </x:c>
    </x:row>
    <x:row r="4">
      <x:c r="A4" s="14" t="str">
        <x:v>DA01</x:v>
      </x:c>
      <x:c r="B4" s="14" t="str">
        <x:v>LG01</x:v>
      </x:c>
      <x:c r="C4" s="14" t="str">
        <x:v>Chủ trương/đầu tư</x:v>
      </x:c>
      <x:c r="D4" s="14" t="str"/>
      <x:c r="E4" s="28" t="n">
        <x:v>46023</x:v>
      </x:c>
      <x:c r="F4" s="28" t="n">
        <x:v>46083</x:v>
      </x:c>
      <x:c r="G4" s="28" t="n">
        <x:v>46083</x:v>
      </x:c>
      <x:c r="H4" s="14" t="n">
        <x:v>0</x:v>
      </x:c>
      <x:c r="I4" s="14" t="str">
        <x:v>Hoàn thành</x:v>
      </x:c>
      <x:c r="J4" s="14" t="str">
        <x:v>Tiền đề</x:v>
      </x:c>
      <x:c r="K4" s="14" t="str">
        <x:v>Chậm Chủ trương/đầu tư làm dịch các mốc sau</x:v>
      </x:c>
    </x:row>
    <x:row r="5">
      <x:c r="A5" s="14" t="str">
        <x:v>DA01</x:v>
      </x:c>
      <x:c r="B5" s="14" t="str">
        <x:v>LG02</x:v>
      </x:c>
      <x:c r="C5" s="14" t="str">
        <x:v>Quy hoạch</x:v>
      </x:c>
      <x:c r="D5" s="14" t="str">
        <x:v>LG01</x:v>
      </x:c>
      <x:c r="E5" s="28" t="n">
        <x:v>46083</x:v>
      </x:c>
      <x:c r="F5" s="28" t="n">
        <x:v>46143</x:v>
      </x:c>
      <x:c r="G5" s="28" t="n">
        <x:v>46143</x:v>
      </x:c>
      <x:c r="H5" s="14" t="n">
        <x:v>0</x:v>
      </x:c>
      <x:c r="I5" s="14" t="str">
        <x:v>Hoàn thành</x:v>
      </x:c>
      <x:c r="J5" s="14" t="str">
        <x:v>Tiền đề</x:v>
      </x:c>
      <x:c r="K5" s="14" t="str">
        <x:v>Chậm Quy hoạch làm dịch các mốc sau</x:v>
      </x:c>
    </x:row>
    <x:row r="6">
      <x:c r="A6" s="14" t="str">
        <x:v>DA01</x:v>
      </x:c>
      <x:c r="B6" s="14" t="str">
        <x:v>LG03</x:v>
      </x:c>
      <x:c r="C6" s="14" t="str">
        <x:v>Đất đai/GPMB</x:v>
      </x:c>
      <x:c r="D6" s="14" t="str">
        <x:v>LG02</x:v>
      </x:c>
      <x:c r="E6" s="28" t="n">
        <x:v>46143</x:v>
      </x:c>
      <x:c r="F6" s="28" t="n">
        <x:v>46203</x:v>
      </x:c>
      <x:c r="G6" s="28" t="n">
        <x:v>46203</x:v>
      </x:c>
      <x:c r="H6" s="14" t="n">
        <x:v>0</x:v>
      </x:c>
      <x:c r="I6" s="14" t="str">
        <x:v>Đang/chưa thực hiện</x:v>
      </x:c>
      <x:c r="J6" s="14" t="str">
        <x:v>Mốc khóa</x:v>
      </x:c>
      <x:c r="K6" s="14" t="str">
        <x:v>Chậm Đất đai/GPMB làm dịch các mốc sau</x:v>
      </x:c>
    </x:row>
    <x:row r="7">
      <x:c r="A7" s="14" t="str">
        <x:v>DA01</x:v>
      </x:c>
      <x:c r="B7" s="14" t="str">
        <x:v>LG04</x:v>
      </x:c>
      <x:c r="C7" s="14" t="str">
        <x:v>Nghĩa vụ tài chính đất</x:v>
      </x:c>
      <x:c r="D7" s="14" t="str">
        <x:v>LG03</x:v>
      </x:c>
      <x:c r="E7" s="28" t="n">
        <x:v>46203</x:v>
      </x:c>
      <x:c r="F7" s="28" t="n">
        <x:v>46263</x:v>
      </x:c>
      <x:c r="G7" s="28" t="n">
        <x:v>46263</x:v>
      </x:c>
      <x:c r="H7" s="14" t="n">
        <x:v>0</x:v>
      </x:c>
      <x:c r="I7" s="14" t="str">
        <x:v>Đang/chưa thực hiện</x:v>
      </x:c>
      <x:c r="J7" s="14" t="str">
        <x:v>Mốc khóa</x:v>
      </x:c>
      <x:c r="K7" s="14" t="str">
        <x:v>Chậm Nghĩa vụ tài chính đất làm dịch các mốc sau</x:v>
      </x:c>
    </x:row>
    <x:row r="8">
      <x:c r="A8" s="14" t="str">
        <x:v>DA01</x:v>
      </x:c>
      <x:c r="B8" s="14" t="str">
        <x:v>LG05</x:v>
      </x:c>
      <x:c r="C8" s="14" t="str">
        <x:v>Thiết kế/PCCC/MT</x:v>
      </x:c>
      <x:c r="D8" s="14" t="str">
        <x:v>LG04</x:v>
      </x:c>
      <x:c r="E8" s="28" t="n">
        <x:v>46263</x:v>
      </x:c>
      <x:c r="F8" s="28" t="n">
        <x:v>46308</x:v>
      </x:c>
      <x:c r="G8" s="28" t="n">
        <x:v>46308</x:v>
      </x:c>
      <x:c r="H8" s="14" t="n">
        <x:v>0</x:v>
      </x:c>
      <x:c r="I8" s="14" t="str">
        <x:v>Đang/chưa thực hiện</x:v>
      </x:c>
      <x:c r="J8" s="14" t="str">
        <x:v>Tiền đề</x:v>
      </x:c>
      <x:c r="K8" s="14" t="str">
        <x:v>Chậm Thiết kế/PCCC/MT làm dịch các mốc sau</x:v>
      </x:c>
    </x:row>
    <x:row r="9">
      <x:c r="A9" s="14" t="str">
        <x:v>DA01</x:v>
      </x:c>
      <x:c r="B9" s="14" t="str">
        <x:v>LG06</x:v>
      </x:c>
      <x:c r="C9" s="14" t="str">
        <x:v>GPXD/Khởi công</x:v>
      </x:c>
      <x:c r="D9" s="14" t="str">
        <x:v>LG05</x:v>
      </x:c>
      <x:c r="E9" s="28" t="n">
        <x:v>46308</x:v>
      </x:c>
      <x:c r="F9" s="28" t="n">
        <x:v>46353</x:v>
      </x:c>
      <x:c r="G9" s="28" t="n">
        <x:v>46353</x:v>
      </x:c>
      <x:c r="H9" s="14" t="n">
        <x:v>0</x:v>
      </x:c>
      <x:c r="I9" s="14" t="str">
        <x:v>Đang/chưa thực hiện</x:v>
      </x:c>
      <x:c r="J9" s="14" t="str">
        <x:v>Mốc khóa</x:v>
      </x:c>
      <x:c r="K9" s="14" t="str">
        <x:v>Chậm GPXD/Khởi công làm dịch các mốc sau</x:v>
      </x:c>
    </x:row>
    <x:row r="10">
      <x:c r="A10" s="14" t="str">
        <x:v>DA01</x:v>
      </x:c>
      <x:c r="B10" s="14" t="str">
        <x:v>LG07</x:v>
      </x:c>
      <x:c r="C10" s="14" t="str">
        <x:v>Điều kiện mở bán</x:v>
      </x:c>
      <x:c r="D10" s="14" t="str">
        <x:v>LG06</x:v>
      </x:c>
      <x:c r="E10" s="28" t="n">
        <x:v>46353</x:v>
      </x:c>
      <x:c r="F10" s="28" t="n">
        <x:v>46398</x:v>
      </x:c>
      <x:c r="G10" s="28" t="n">
        <x:v>46398</x:v>
      </x:c>
      <x:c r="H10" s="14" t="n">
        <x:v>0</x:v>
      </x:c>
      <x:c r="I10" s="14" t="str">
        <x:v>Đang/chưa thực hiện</x:v>
      </x:c>
      <x:c r="J10" s="14" t="str">
        <x:v>Mốc khóa</x:v>
      </x:c>
      <x:c r="K10" s="14" t="str">
        <x:v>Chậm Điều kiện mở bán làm dịch các mốc sau</x:v>
      </x:c>
    </x:row>
    <x:row r="11">
      <x:c r="A11" s="14" t="str">
        <x:v>DA01</x:v>
      </x:c>
      <x:c r="B11" s="14" t="str">
        <x:v>LG08</x:v>
      </x:c>
      <x:c r="C11" s="14" t="str">
        <x:v>Nghiệm thu/Bàn giao</x:v>
      </x:c>
      <x:c r="D11" s="14" t="str">
        <x:v>LG07</x:v>
      </x:c>
      <x:c r="E11" s="28" t="n">
        <x:v>46398</x:v>
      </x:c>
      <x:c r="F11" s="28" t="n">
        <x:v>46443</x:v>
      </x:c>
      <x:c r="G11" s="28" t="n">
        <x:v>46443</x:v>
      </x:c>
      <x:c r="H11" s="14" t="n">
        <x:v>0</x:v>
      </x:c>
      <x:c r="I11" s="14" t="str">
        <x:v>Đang/chưa thực hiện</x:v>
      </x:c>
      <x:c r="J11" s="14" t="str">
        <x:v>Mốc khóa</x:v>
      </x:c>
      <x:c r="K11" s="14" t="str">
        <x:v>Chậm Nghiệm thu/Bàn giao làm dịch các mốc sau</x:v>
      </x:c>
    </x:row>
    <x:row r="12">
      <x:c r="A12" s="14" t="str">
        <x:v>DA01</x:v>
      </x:c>
      <x:c r="B12" s="14" t="str">
        <x:v>LG09</x:v>
      </x:c>
      <x:c r="C12" s="14" t="str">
        <x:v>GCN</x:v>
      </x:c>
      <x:c r="D12" s="14" t="str">
        <x:v>LG08</x:v>
      </x:c>
      <x:c r="E12" s="28" t="n">
        <x:v>46443</x:v>
      </x:c>
      <x:c r="F12" s="28" t="n">
        <x:v>46488</x:v>
      </x:c>
      <x:c r="G12" s="28" t="n">
        <x:v>46488</x:v>
      </x:c>
      <x:c r="H12" s="14" t="n">
        <x:v>0</x:v>
      </x:c>
      <x:c r="I12" s="14" t="str">
        <x:v>Đang/chưa thực hiện</x:v>
      </x:c>
      <x:c r="J12" s="14" t="str">
        <x:v>Tiền đề</x:v>
      </x:c>
      <x:c r="K12" s="14" t="str">
        <x:v>Chậm GCN làm dịch các mốc sau</x:v>
      </x:c>
    </x:row>
    <x:row r="13">
      <x:c r="A13" s="14" t="str">
        <x:v>DA02</x:v>
      </x:c>
      <x:c r="B13" s="14" t="str">
        <x:v>LG01</x:v>
      </x:c>
      <x:c r="C13" s="14" t="str">
        <x:v>Chủ trương/đầu tư</x:v>
      </x:c>
      <x:c r="D13" s="14" t="str"/>
      <x:c r="E13" s="28" t="n">
        <x:v>46023</x:v>
      </x:c>
      <x:c r="F13" s="28" t="n">
        <x:v>46083</x:v>
      </x:c>
      <x:c r="G13" s="28" t="n">
        <x:v>46083</x:v>
      </x:c>
      <x:c r="H13" s="14" t="n">
        <x:v>0</x:v>
      </x:c>
      <x:c r="I13" s="14" t="str">
        <x:v>Hoàn thành</x:v>
      </x:c>
      <x:c r="J13" s="14" t="str">
        <x:v>Tiền đề</x:v>
      </x:c>
      <x:c r="K13" s="14" t="str">
        <x:v>Chậm Chủ trương/đầu tư làm dịch các mốc sau</x:v>
      </x:c>
    </x:row>
    <x:row r="14">
      <x:c r="A14" s="14" t="str">
        <x:v>DA02</x:v>
      </x:c>
      <x:c r="B14" s="14" t="str">
        <x:v>LG02</x:v>
      </x:c>
      <x:c r="C14" s="14" t="str">
        <x:v>Quy hoạch</x:v>
      </x:c>
      <x:c r="D14" s="14" t="str">
        <x:v>LG01</x:v>
      </x:c>
      <x:c r="E14" s="28" t="n">
        <x:v>46083</x:v>
      </x:c>
      <x:c r="F14" s="28" t="n">
        <x:v>46143</x:v>
      </x:c>
      <x:c r="G14" s="28" t="n">
        <x:v>46143</x:v>
      </x:c>
      <x:c r="H14" s="14" t="n">
        <x:v>0</x:v>
      </x:c>
      <x:c r="I14" s="14" t="str">
        <x:v>Hoàn thành</x:v>
      </x:c>
      <x:c r="J14" s="14" t="str">
        <x:v>Tiền đề</x:v>
      </x:c>
      <x:c r="K14" s="14" t="str">
        <x:v>Chậm Quy hoạch làm dịch các mốc sau</x:v>
      </x:c>
    </x:row>
    <x:row r="15">
      <x:c r="A15" s="14" t="str">
        <x:v>DA02</x:v>
      </x:c>
      <x:c r="B15" s="14" t="str">
        <x:v>LG03</x:v>
      </x:c>
      <x:c r="C15" s="14" t="str">
        <x:v>Đất đai/GPMB</x:v>
      </x:c>
      <x:c r="D15" s="14" t="str">
        <x:v>LG02</x:v>
      </x:c>
      <x:c r="E15" s="28" t="n">
        <x:v>46143</x:v>
      </x:c>
      <x:c r="F15" s="28" t="n">
        <x:v>46203</x:v>
      </x:c>
      <x:c r="G15" s="28" t="n">
        <x:v>46203</x:v>
      </x:c>
      <x:c r="H15" s="14" t="n">
        <x:v>0</x:v>
      </x:c>
      <x:c r="I15" s="14" t="str">
        <x:v>Hoàn thành</x:v>
      </x:c>
      <x:c r="J15" s="14" t="str">
        <x:v>Mốc khóa</x:v>
      </x:c>
      <x:c r="K15" s="14" t="str">
        <x:v>Chậm Đất đai/GPMB làm dịch các mốc sau</x:v>
      </x:c>
    </x:row>
    <x:row r="16">
      <x:c r="A16" s="14" t="str">
        <x:v>DA02</x:v>
      </x:c>
      <x:c r="B16" s="14" t="str">
        <x:v>LG04</x:v>
      </x:c>
      <x:c r="C16" s="14" t="str">
        <x:v>Nghĩa vụ tài chính đất</x:v>
      </x:c>
      <x:c r="D16" s="14" t="str">
        <x:v>LG03</x:v>
      </x:c>
      <x:c r="E16" s="28" t="n">
        <x:v>46203</x:v>
      </x:c>
      <x:c r="F16" s="28" t="n">
        <x:v>46263</x:v>
      </x:c>
      <x:c r="G16" s="28" t="n">
        <x:v>46353</x:v>
      </x:c>
      <x:c r="H16" s="14" t="n">
        <x:v>90</x:v>
      </x:c>
      <x:c r="I16" s="14" t="str">
        <x:v>Hoàn thành</x:v>
      </x:c>
      <x:c r="J16" s="14" t="str">
        <x:v>Mốc khóa</x:v>
      </x:c>
      <x:c r="K16" s="14" t="str">
        <x:v>Chậm Nghĩa vụ tài chính đất làm dịch các mốc sau</x:v>
      </x:c>
    </x:row>
    <x:row r="17">
      <x:c r="A17" s="14" t="str">
        <x:v>DA02</x:v>
      </x:c>
      <x:c r="B17" s="14" t="str">
        <x:v>LG05</x:v>
      </x:c>
      <x:c r="C17" s="14" t="str">
        <x:v>Thiết kế/PCCC/MT</x:v>
      </x:c>
      <x:c r="D17" s="14" t="str">
        <x:v>LG04</x:v>
      </x:c>
      <x:c r="E17" s="28" t="n">
        <x:v>46263</x:v>
      </x:c>
      <x:c r="F17" s="28" t="n">
        <x:v>46308</x:v>
      </x:c>
      <x:c r="G17" s="28" t="n">
        <x:v>46308</x:v>
      </x:c>
      <x:c r="H17" s="14" t="n">
        <x:v>0</x:v>
      </x:c>
      <x:c r="I17" s="14" t="str">
        <x:v>Hoàn thành</x:v>
      </x:c>
      <x:c r="J17" s="14" t="str">
        <x:v>Tiền đề</x:v>
      </x:c>
      <x:c r="K17" s="14" t="str">
        <x:v>Chậm Thiết kế/PCCC/MT làm dịch các mốc sau</x:v>
      </x:c>
    </x:row>
    <x:row r="18">
      <x:c r="A18" s="14" t="str">
        <x:v>DA02</x:v>
      </x:c>
      <x:c r="B18" s="14" t="str">
        <x:v>LG06</x:v>
      </x:c>
      <x:c r="C18" s="14" t="str">
        <x:v>GPXD/Khởi công</x:v>
      </x:c>
      <x:c r="D18" s="14" t="str">
        <x:v>LG05</x:v>
      </x:c>
      <x:c r="E18" s="28" t="n">
        <x:v>46308</x:v>
      </x:c>
      <x:c r="F18" s="28" t="n">
        <x:v>46353</x:v>
      </x:c>
      <x:c r="G18" s="28" t="n">
        <x:v>46353</x:v>
      </x:c>
      <x:c r="H18" s="14" t="n">
        <x:v>0</x:v>
      </x:c>
      <x:c r="I18" s="14" t="str">
        <x:v>Hoàn thành</x:v>
      </x:c>
      <x:c r="J18" s="14" t="str">
        <x:v>Mốc khóa</x:v>
      </x:c>
      <x:c r="K18" s="14" t="str">
        <x:v>Chậm GPXD/Khởi công làm dịch các mốc sau</x:v>
      </x:c>
    </x:row>
    <x:row r="19">
      <x:c r="A19" s="14" t="str">
        <x:v>DA02</x:v>
      </x:c>
      <x:c r="B19" s="14" t="str">
        <x:v>LG07</x:v>
      </x:c>
      <x:c r="C19" s="14" t="str">
        <x:v>Điều kiện mở bán</x:v>
      </x:c>
      <x:c r="D19" s="14" t="str">
        <x:v>LG06</x:v>
      </x:c>
      <x:c r="E19" s="28" t="n">
        <x:v>46353</x:v>
      </x:c>
      <x:c r="F19" s="28" t="n">
        <x:v>46398</x:v>
      </x:c>
      <x:c r="G19" s="28" t="n">
        <x:v>46398</x:v>
      </x:c>
      <x:c r="H19" s="14" t="n">
        <x:v>0</x:v>
      </x:c>
      <x:c r="I19" s="14" t="str">
        <x:v>Đang/chưa thực hiện</x:v>
      </x:c>
      <x:c r="J19" s="14" t="str">
        <x:v>Mốc khóa</x:v>
      </x:c>
      <x:c r="K19" s="14" t="str">
        <x:v>Chậm Điều kiện mở bán làm dịch các mốc sau</x:v>
      </x:c>
    </x:row>
    <x:row r="20">
      <x:c r="A20" s="14" t="str">
        <x:v>DA02</x:v>
      </x:c>
      <x:c r="B20" s="14" t="str">
        <x:v>LG08</x:v>
      </x:c>
      <x:c r="C20" s="14" t="str">
        <x:v>Nghiệm thu/Bàn giao</x:v>
      </x:c>
      <x:c r="D20" s="14" t="str">
        <x:v>LG07</x:v>
      </x:c>
      <x:c r="E20" s="28" t="n">
        <x:v>46398</x:v>
      </x:c>
      <x:c r="F20" s="28" t="n">
        <x:v>46443</x:v>
      </x:c>
      <x:c r="G20" s="28" t="n">
        <x:v>46443</x:v>
      </x:c>
      <x:c r="H20" s="14" t="n">
        <x:v>0</x:v>
      </x:c>
      <x:c r="I20" s="14" t="str">
        <x:v>Đang/chưa thực hiện</x:v>
      </x:c>
      <x:c r="J20" s="14" t="str">
        <x:v>Mốc khóa</x:v>
      </x:c>
      <x:c r="K20" s="14" t="str">
        <x:v>Chậm Nghiệm thu/Bàn giao làm dịch các mốc sau</x:v>
      </x:c>
    </x:row>
    <x:row r="21">
      <x:c r="A21" s="14" t="str">
        <x:v>DA02</x:v>
      </x:c>
      <x:c r="B21" s="14" t="str">
        <x:v>LG09</x:v>
      </x:c>
      <x:c r="C21" s="14" t="str">
        <x:v>GCN</x:v>
      </x:c>
      <x:c r="D21" s="14" t="str">
        <x:v>LG08</x:v>
      </x:c>
      <x:c r="E21" s="28" t="n">
        <x:v>46443</x:v>
      </x:c>
      <x:c r="F21" s="28" t="n">
        <x:v>46488</x:v>
      </x:c>
      <x:c r="G21" s="28" t="n">
        <x:v>46488</x:v>
      </x:c>
      <x:c r="H21" s="14" t="n">
        <x:v>0</x:v>
      </x:c>
      <x:c r="I21" s="14" t="str">
        <x:v>Đang/chưa thực hiện</x:v>
      </x:c>
      <x:c r="J21" s="14" t="str">
        <x:v>Tiền đề</x:v>
      </x:c>
      <x:c r="K21" s="14" t="str">
        <x:v>Chậm GCN làm dịch các mốc sau</x:v>
      </x:c>
    </x:row>
    <x:row r="22">
      <x:c r="A22" s="14" t="str">
        <x:v>DA03</x:v>
      </x:c>
      <x:c r="B22" s="14" t="str">
        <x:v>LG01</x:v>
      </x:c>
      <x:c r="C22" s="14" t="str">
        <x:v>Chủ trương/đầu tư</x:v>
      </x:c>
      <x:c r="D22" s="14" t="str"/>
      <x:c r="E22" s="28" t="n">
        <x:v>46023</x:v>
      </x:c>
      <x:c r="F22" s="28" t="n">
        <x:v>46083</x:v>
      </x:c>
      <x:c r="G22" s="28" t="n">
        <x:v>46083</x:v>
      </x:c>
      <x:c r="H22" s="14" t="n">
        <x:v>0</x:v>
      </x:c>
      <x:c r="I22" s="14" t="str">
        <x:v>Hoàn thành</x:v>
      </x:c>
      <x:c r="J22" s="14" t="str">
        <x:v>Tiền đề</x:v>
      </x:c>
      <x:c r="K22" s="14" t="str">
        <x:v>Chậm Chủ trương/đầu tư làm dịch các mốc sau</x:v>
      </x:c>
    </x:row>
    <x:row r="23">
      <x:c r="A23" s="14" t="str">
        <x:v>DA03</x:v>
      </x:c>
      <x:c r="B23" s="14" t="str">
        <x:v>LG02</x:v>
      </x:c>
      <x:c r="C23" s="14" t="str">
        <x:v>Quy hoạch</x:v>
      </x:c>
      <x:c r="D23" s="14" t="str">
        <x:v>LG01</x:v>
      </x:c>
      <x:c r="E23" s="28" t="n">
        <x:v>46083</x:v>
      </x:c>
      <x:c r="F23" s="28" t="n">
        <x:v>46143</x:v>
      </x:c>
      <x:c r="G23" s="28" t="n">
        <x:v>46143</x:v>
      </x:c>
      <x:c r="H23" s="14" t="n">
        <x:v>0</x:v>
      </x:c>
      <x:c r="I23" s="14" t="str">
        <x:v>Hoàn thành</x:v>
      </x:c>
      <x:c r="J23" s="14" t="str">
        <x:v>Tiền đề</x:v>
      </x:c>
      <x:c r="K23" s="14" t="str">
        <x:v>Chậm Quy hoạch làm dịch các mốc sau</x:v>
      </x:c>
    </x:row>
    <x:row r="24">
      <x:c r="A24" s="14" t="str">
        <x:v>DA03</x:v>
      </x:c>
      <x:c r="B24" s="14" t="str">
        <x:v>LG03</x:v>
      </x:c>
      <x:c r="C24" s="14" t="str">
        <x:v>Đất đai/GPMB</x:v>
      </x:c>
      <x:c r="D24" s="14" t="str">
        <x:v>LG02</x:v>
      </x:c>
      <x:c r="E24" s="28" t="n">
        <x:v>46143</x:v>
      </x:c>
      <x:c r="F24" s="28" t="n">
        <x:v>46203</x:v>
      </x:c>
      <x:c r="G24" s="28" t="n">
        <x:v>46203</x:v>
      </x:c>
      <x:c r="H24" s="14" t="n">
        <x:v>0</x:v>
      </x:c>
      <x:c r="I24" s="14" t="str">
        <x:v>Hoàn thành</x:v>
      </x:c>
      <x:c r="J24" s="14" t="str">
        <x:v>Mốc khóa</x:v>
      </x:c>
      <x:c r="K24" s="14" t="str">
        <x:v>Chậm Đất đai/GPMB làm dịch các mốc sau</x:v>
      </x:c>
    </x:row>
    <x:row r="25">
      <x:c r="A25" s="14" t="str">
        <x:v>DA03</x:v>
      </x:c>
      <x:c r="B25" s="14" t="str">
        <x:v>LG04</x:v>
      </x:c>
      <x:c r="C25" s="14" t="str">
        <x:v>Nghĩa vụ tài chính đất</x:v>
      </x:c>
      <x:c r="D25" s="14" t="str">
        <x:v>LG03</x:v>
      </x:c>
      <x:c r="E25" s="28" t="n">
        <x:v>46203</x:v>
      </x:c>
      <x:c r="F25" s="28" t="n">
        <x:v>46263</x:v>
      </x:c>
      <x:c r="G25" s="28" t="n">
        <x:v>46263</x:v>
      </x:c>
      <x:c r="H25" s="14" t="n">
        <x:v>0</x:v>
      </x:c>
      <x:c r="I25" s="14" t="str">
        <x:v>Hoàn thành</x:v>
      </x:c>
      <x:c r="J25" s="14" t="str">
        <x:v>Mốc khóa</x:v>
      </x:c>
      <x:c r="K25" s="14" t="str">
        <x:v>Chậm Nghĩa vụ tài chính đất làm dịch các mốc sau</x:v>
      </x:c>
    </x:row>
    <x:row r="26">
      <x:c r="A26" s="14" t="str">
        <x:v>DA03</x:v>
      </x:c>
      <x:c r="B26" s="14" t="str">
        <x:v>LG05</x:v>
      </x:c>
      <x:c r="C26" s="14" t="str">
        <x:v>Thiết kế/PCCC/MT</x:v>
      </x:c>
      <x:c r="D26" s="14" t="str">
        <x:v>LG04</x:v>
      </x:c>
      <x:c r="E26" s="28" t="n">
        <x:v>46263</x:v>
      </x:c>
      <x:c r="F26" s="28" t="n">
        <x:v>46308</x:v>
      </x:c>
      <x:c r="G26" s="28" t="n">
        <x:v>46308</x:v>
      </x:c>
      <x:c r="H26" s="14" t="n">
        <x:v>0</x:v>
      </x:c>
      <x:c r="I26" s="14" t="str">
        <x:v>Hoàn thành</x:v>
      </x:c>
      <x:c r="J26" s="14" t="str">
        <x:v>Tiền đề</x:v>
      </x:c>
      <x:c r="K26" s="14" t="str">
        <x:v>Chậm Thiết kế/PCCC/MT làm dịch các mốc sau</x:v>
      </x:c>
    </x:row>
    <x:row r="27">
      <x:c r="A27" s="14" t="str">
        <x:v>DA03</x:v>
      </x:c>
      <x:c r="B27" s="14" t="str">
        <x:v>LG06</x:v>
      </x:c>
      <x:c r="C27" s="14" t="str">
        <x:v>GPXD/Khởi công</x:v>
      </x:c>
      <x:c r="D27" s="14" t="str">
        <x:v>LG05</x:v>
      </x:c>
      <x:c r="E27" s="28" t="n">
        <x:v>46308</x:v>
      </x:c>
      <x:c r="F27" s="28" t="n">
        <x:v>46353</x:v>
      </x:c>
      <x:c r="G27" s="28" t="n">
        <x:v>46353</x:v>
      </x:c>
      <x:c r="H27" s="14" t="n">
        <x:v>0</x:v>
      </x:c>
      <x:c r="I27" s="14" t="str">
        <x:v>Hoàn thành</x:v>
      </x:c>
      <x:c r="J27" s="14" t="str">
        <x:v>Mốc khóa</x:v>
      </x:c>
      <x:c r="K27" s="14" t="str">
        <x:v>Chậm GPXD/Khởi công làm dịch các mốc sau</x:v>
      </x:c>
    </x:row>
    <x:row r="28">
      <x:c r="A28" s="14" t="str">
        <x:v>DA03</x:v>
      </x:c>
      <x:c r="B28" s="14" t="str">
        <x:v>LG07</x:v>
      </x:c>
      <x:c r="C28" s="14" t="str">
        <x:v>Điều kiện mở bán</x:v>
      </x:c>
      <x:c r="D28" s="14" t="str">
        <x:v>LG06</x:v>
      </x:c>
      <x:c r="E28" s="28" t="n">
        <x:v>46353</x:v>
      </x:c>
      <x:c r="F28" s="28" t="n">
        <x:v>46398</x:v>
      </x:c>
      <x:c r="G28" s="28" t="n">
        <x:v>46398</x:v>
      </x:c>
      <x:c r="H28" s="14" t="n">
        <x:v>0</x:v>
      </x:c>
      <x:c r="I28" s="14" t="str">
        <x:v>Hoàn thành</x:v>
      </x:c>
      <x:c r="J28" s="14" t="str">
        <x:v>Mốc khóa</x:v>
      </x:c>
      <x:c r="K28" s="14" t="str">
        <x:v>Chậm Điều kiện mở bán làm dịch các mốc sau</x:v>
      </x:c>
    </x:row>
    <x:row r="29">
      <x:c r="A29" s="14" t="str">
        <x:v>DA03</x:v>
      </x:c>
      <x:c r="B29" s="14" t="str">
        <x:v>LG08</x:v>
      </x:c>
      <x:c r="C29" s="14" t="str">
        <x:v>Nghiệm thu/Bàn giao</x:v>
      </x:c>
      <x:c r="D29" s="14" t="str">
        <x:v>LG07</x:v>
      </x:c>
      <x:c r="E29" s="28" t="n">
        <x:v>46398</x:v>
      </x:c>
      <x:c r="F29" s="28" t="n">
        <x:v>46443</x:v>
      </x:c>
      <x:c r="G29" s="28" t="n">
        <x:v>46443</x:v>
      </x:c>
      <x:c r="H29" s="14" t="n">
        <x:v>0</x:v>
      </x:c>
      <x:c r="I29" s="14" t="str">
        <x:v>Hoàn thành</x:v>
      </x:c>
      <x:c r="J29" s="14" t="str">
        <x:v>Mốc khóa</x:v>
      </x:c>
      <x:c r="K29" s="14" t="str">
        <x:v>Chậm Nghiệm thu/Bàn giao làm dịch các mốc sau</x:v>
      </x:c>
    </x:row>
    <x:row r="30">
      <x:c r="A30" s="14" t="str">
        <x:v>DA03</x:v>
      </x:c>
      <x:c r="B30" s="14" t="str">
        <x:v>LG09</x:v>
      </x:c>
      <x:c r="C30" s="14" t="str">
        <x:v>GCN</x:v>
      </x:c>
      <x:c r="D30" s="14" t="str">
        <x:v>LG08</x:v>
      </x:c>
      <x:c r="E30" s="28" t="n">
        <x:v>46443</x:v>
      </x:c>
      <x:c r="F30" s="28" t="n">
        <x:v>46488</x:v>
      </x:c>
      <x:c r="G30" s="28" t="n">
        <x:v>46488</x:v>
      </x:c>
      <x:c r="H30" s="14" t="n">
        <x:v>0</x:v>
      </x:c>
      <x:c r="I30" s="14" t="str">
        <x:v>Đang/chưa thực hiện</x:v>
      </x:c>
      <x:c r="J30" s="14" t="str">
        <x:v>Tiền đề</x:v>
      </x:c>
      <x:c r="K30" s="14" t="str">
        <x:v>Chậm GCN làm dịch các mốc sau</x:v>
      </x:c>
    </x:row>
    <x:row r="31">
      <x:c r="A31" s="14" t="str">
        <x:v>DA04</x:v>
      </x:c>
      <x:c r="B31" s="14" t="str">
        <x:v>LG01</x:v>
      </x:c>
      <x:c r="C31" s="14" t="str">
        <x:v>Chủ trương/đầu tư</x:v>
      </x:c>
      <x:c r="D31" s="14" t="str"/>
      <x:c r="E31" s="28" t="n">
        <x:v>46023</x:v>
      </x:c>
      <x:c r="F31" s="28" t="n">
        <x:v>46083</x:v>
      </x:c>
      <x:c r="G31" s="28" t="n">
        <x:v>46083</x:v>
      </x:c>
      <x:c r="H31" s="14" t="n">
        <x:v>0</x:v>
      </x:c>
      <x:c r="I31" s="14" t="str">
        <x:v>Hoàn thành</x:v>
      </x:c>
      <x:c r="J31" s="14" t="str">
        <x:v>Tiền đề</x:v>
      </x:c>
      <x:c r="K31" s="14" t="str">
        <x:v>Chậm Chủ trương/đầu tư làm dịch các mốc sau</x:v>
      </x:c>
    </x:row>
    <x:row r="32">
      <x:c r="A32" s="14" t="str">
        <x:v>DA04</x:v>
      </x:c>
      <x:c r="B32" s="14" t="str">
        <x:v>LG02</x:v>
      </x:c>
      <x:c r="C32" s="14" t="str">
        <x:v>Quy hoạch</x:v>
      </x:c>
      <x:c r="D32" s="14" t="str">
        <x:v>LG01</x:v>
      </x:c>
      <x:c r="E32" s="28" t="n">
        <x:v>46083</x:v>
      </x:c>
      <x:c r="F32" s="28" t="n">
        <x:v>46143</x:v>
      </x:c>
      <x:c r="G32" s="28" t="n">
        <x:v>46143</x:v>
      </x:c>
      <x:c r="H32" s="14" t="n">
        <x:v>0</x:v>
      </x:c>
      <x:c r="I32" s="14" t="str">
        <x:v>Hoàn thành</x:v>
      </x:c>
      <x:c r="J32" s="14" t="str">
        <x:v>Tiền đề</x:v>
      </x:c>
      <x:c r="K32" s="14" t="str">
        <x:v>Chậm Quy hoạch làm dịch các mốc sau</x:v>
      </x:c>
    </x:row>
    <x:row r="33">
      <x:c r="A33" s="14" t="str">
        <x:v>DA04</x:v>
      </x:c>
      <x:c r="B33" s="14" t="str">
        <x:v>LG03</x:v>
      </x:c>
      <x:c r="C33" s="14" t="str">
        <x:v>Đất đai/GPMB</x:v>
      </x:c>
      <x:c r="D33" s="14" t="str">
        <x:v>LG02</x:v>
      </x:c>
      <x:c r="E33" s="28" t="n">
        <x:v>46143</x:v>
      </x:c>
      <x:c r="F33" s="28" t="n">
        <x:v>46203</x:v>
      </x:c>
      <x:c r="G33" s="28" t="n">
        <x:v>46203</x:v>
      </x:c>
      <x:c r="H33" s="14" t="n">
        <x:v>0</x:v>
      </x:c>
      <x:c r="I33" s="14" t="str">
        <x:v>Hoàn thành</x:v>
      </x:c>
      <x:c r="J33" s="14" t="str">
        <x:v>Mốc khóa</x:v>
      </x:c>
      <x:c r="K33" s="14" t="str">
        <x:v>Chậm Đất đai/GPMB làm dịch các mốc sau</x:v>
      </x:c>
    </x:row>
    <x:row r="34">
      <x:c r="A34" s="14" t="str">
        <x:v>DA04</x:v>
      </x:c>
      <x:c r="B34" s="14" t="str">
        <x:v>LG04</x:v>
      </x:c>
      <x:c r="C34" s="14" t="str">
        <x:v>Nghĩa vụ tài chính đất</x:v>
      </x:c>
      <x:c r="D34" s="14" t="str">
        <x:v>LG03</x:v>
      </x:c>
      <x:c r="E34" s="28" t="n">
        <x:v>46203</x:v>
      </x:c>
      <x:c r="F34" s="28" t="n">
        <x:v>46263</x:v>
      </x:c>
      <x:c r="G34" s="28" t="n">
        <x:v>46263</x:v>
      </x:c>
      <x:c r="H34" s="14" t="n">
        <x:v>0</x:v>
      </x:c>
      <x:c r="I34" s="14" t="str">
        <x:v>Hoàn thành</x:v>
      </x:c>
      <x:c r="J34" s="14" t="str">
        <x:v>Mốc khóa</x:v>
      </x:c>
      <x:c r="K34" s="14" t="str">
        <x:v>Chậm Nghĩa vụ tài chính đất làm dịch các mốc sau</x:v>
      </x:c>
    </x:row>
    <x:row r="35">
      <x:c r="A35" s="14" t="str">
        <x:v>DA04</x:v>
      </x:c>
      <x:c r="B35" s="14" t="str">
        <x:v>LG05</x:v>
      </x:c>
      <x:c r="C35" s="14" t="str">
        <x:v>Thiết kế/PCCC/MT</x:v>
      </x:c>
      <x:c r="D35" s="14" t="str">
        <x:v>LG04</x:v>
      </x:c>
      <x:c r="E35" s="28" t="n">
        <x:v>46263</x:v>
      </x:c>
      <x:c r="F35" s="28" t="n">
        <x:v>46308</x:v>
      </x:c>
      <x:c r="G35" s="28" t="n">
        <x:v>46308</x:v>
      </x:c>
      <x:c r="H35" s="14" t="n">
        <x:v>0</x:v>
      </x:c>
      <x:c r="I35" s="14" t="str">
        <x:v>Hoàn thành</x:v>
      </x:c>
      <x:c r="J35" s="14" t="str">
        <x:v>Tiền đề</x:v>
      </x:c>
      <x:c r="K35" s="14" t="str">
        <x:v>Chậm Thiết kế/PCCC/MT làm dịch các mốc sau</x:v>
      </x:c>
    </x:row>
    <x:row r="36">
      <x:c r="A36" s="14" t="str">
        <x:v>DA04</x:v>
      </x:c>
      <x:c r="B36" s="14" t="str">
        <x:v>LG06</x:v>
      </x:c>
      <x:c r="C36" s="14" t="str">
        <x:v>GPXD/Khởi công</x:v>
      </x:c>
      <x:c r="D36" s="14" t="str">
        <x:v>LG05</x:v>
      </x:c>
      <x:c r="E36" s="28" t="n">
        <x:v>46308</x:v>
      </x:c>
      <x:c r="F36" s="28" t="n">
        <x:v>46353</x:v>
      </x:c>
      <x:c r="G36" s="28" t="n">
        <x:v>46353</x:v>
      </x:c>
      <x:c r="H36" s="14" t="n">
        <x:v>0</x:v>
      </x:c>
      <x:c r="I36" s="14" t="str">
        <x:v>Hoàn thành</x:v>
      </x:c>
      <x:c r="J36" s="14" t="str">
        <x:v>Mốc khóa</x:v>
      </x:c>
      <x:c r="K36" s="14" t="str">
        <x:v>Chậm GPXD/Khởi công làm dịch các mốc sau</x:v>
      </x:c>
    </x:row>
    <x:row r="37">
      <x:c r="A37" s="14" t="str">
        <x:v>DA04</x:v>
      </x:c>
      <x:c r="B37" s="14" t="str">
        <x:v>LG07</x:v>
      </x:c>
      <x:c r="C37" s="14" t="str">
        <x:v>Điều kiện mở bán</x:v>
      </x:c>
      <x:c r="D37" s="14" t="str">
        <x:v>LG06</x:v>
      </x:c>
      <x:c r="E37" s="28" t="n">
        <x:v>46353</x:v>
      </x:c>
      <x:c r="F37" s="28" t="n">
        <x:v>46398</x:v>
      </x:c>
      <x:c r="G37" s="28" t="n">
        <x:v>46398</x:v>
      </x:c>
      <x:c r="H37" s="14" t="n">
        <x:v>0</x:v>
      </x:c>
      <x:c r="I37" s="14" t="str">
        <x:v>Hoàn thành</x:v>
      </x:c>
      <x:c r="J37" s="14" t="str">
        <x:v>Mốc khóa</x:v>
      </x:c>
      <x:c r="K37" s="14" t="str">
        <x:v>Chậm Điều kiện mở bán làm dịch các mốc sau</x:v>
      </x:c>
    </x:row>
    <x:row r="38">
      <x:c r="A38" s="14" t="str">
        <x:v>DA04</x:v>
      </x:c>
      <x:c r="B38" s="14" t="str">
        <x:v>LG08</x:v>
      </x:c>
      <x:c r="C38" s="14" t="str">
        <x:v>Nghiệm thu/Bàn giao</x:v>
      </x:c>
      <x:c r="D38" s="14" t="str">
        <x:v>LG07</x:v>
      </x:c>
      <x:c r="E38" s="28" t="n">
        <x:v>46398</x:v>
      </x:c>
      <x:c r="F38" s="28" t="n">
        <x:v>46443</x:v>
      </x:c>
      <x:c r="G38" s="28" t="n">
        <x:v>46443</x:v>
      </x:c>
      <x:c r="H38" s="14" t="n">
        <x:v>0</x:v>
      </x:c>
      <x:c r="I38" s="14" t="str">
        <x:v>Hoàn thành</x:v>
      </x:c>
      <x:c r="J38" s="14" t="str">
        <x:v>Mốc khóa</x:v>
      </x:c>
      <x:c r="K38" s="14" t="str">
        <x:v>Chậm Nghiệm thu/Bàn giao làm dịch các mốc sau</x:v>
      </x:c>
    </x:row>
    <x:row r="39">
      <x:c r="A39" s="14" t="str">
        <x:v>DA04</x:v>
      </x:c>
      <x:c r="B39" s="14" t="str">
        <x:v>LG09</x:v>
      </x:c>
      <x:c r="C39" s="14" t="str">
        <x:v>GCN</x:v>
      </x:c>
      <x:c r="D39" s="14" t="str">
        <x:v>LG08</x:v>
      </x:c>
      <x:c r="E39" s="28" t="n">
        <x:v>46443</x:v>
      </x:c>
      <x:c r="F39" s="28" t="n">
        <x:v>46488</x:v>
      </x:c>
      <x:c r="G39" s="28" t="n">
        <x:v>46488</x:v>
      </x:c>
      <x:c r="H39" s="14" t="n">
        <x:v>0</x:v>
      </x:c>
      <x:c r="I39" s="14" t="str">
        <x:v>Hoàn thành</x:v>
      </x:c>
      <x:c r="J39" s="14" t="str">
        <x:v>Tiền đề</x:v>
      </x:c>
      <x:c r="K39" s="14" t="str">
        <x:v>Chậm GCN làm dịch các mốc sau</x:v>
      </x:c>
    </x:row>
    <x:row r="40">
      <x:c r="A40" s="14" t="str">
        <x:v>DA05</x:v>
      </x:c>
      <x:c r="B40" s="14" t="str">
        <x:v>LG01</x:v>
      </x:c>
      <x:c r="C40" s="14" t="str">
        <x:v>Chủ trương/đầu tư</x:v>
      </x:c>
      <x:c r="D40" s="14" t="str"/>
      <x:c r="E40" s="28" t="n">
        <x:v>46023</x:v>
      </x:c>
      <x:c r="F40" s="28" t="n">
        <x:v>46083</x:v>
      </x:c>
      <x:c r="G40" s="28" t="n">
        <x:v>46083</x:v>
      </x:c>
      <x:c r="H40" s="14" t="n">
        <x:v>0</x:v>
      </x:c>
      <x:c r="I40" s="14" t="str">
        <x:v>Hoàn thành</x:v>
      </x:c>
      <x:c r="J40" s="14" t="str">
        <x:v>Tiền đề</x:v>
      </x:c>
      <x:c r="K40" s="14" t="str">
        <x:v>Chậm Chủ trương/đầu tư làm dịch các mốc sau</x:v>
      </x:c>
    </x:row>
    <x:row r="41">
      <x:c r="A41" s="14" t="str">
        <x:v>DA05</x:v>
      </x:c>
      <x:c r="B41" s="14" t="str">
        <x:v>LG02</x:v>
      </x:c>
      <x:c r="C41" s="14" t="str">
        <x:v>Quy hoạch</x:v>
      </x:c>
      <x:c r="D41" s="14" t="str">
        <x:v>LG01</x:v>
      </x:c>
      <x:c r="E41" s="28" t="n">
        <x:v>46083</x:v>
      </x:c>
      <x:c r="F41" s="28" t="n">
        <x:v>46143</x:v>
      </x:c>
      <x:c r="G41" s="28" t="n">
        <x:v>46143</x:v>
      </x:c>
      <x:c r="H41" s="14" t="n">
        <x:v>0</x:v>
      </x:c>
      <x:c r="I41" s="14" t="str">
        <x:v>Hoàn thành</x:v>
      </x:c>
      <x:c r="J41" s="14" t="str">
        <x:v>Tiền đề</x:v>
      </x:c>
      <x:c r="K41" s="14" t="str">
        <x:v>Chậm Quy hoạch làm dịch các mốc sau</x:v>
      </x:c>
    </x:row>
    <x:row r="42">
      <x:c r="A42" s="14" t="str">
        <x:v>DA05</x:v>
      </x:c>
      <x:c r="B42" s="14" t="str">
        <x:v>LG03</x:v>
      </x:c>
      <x:c r="C42" s="14" t="str">
        <x:v>Đất đai/GPMB</x:v>
      </x:c>
      <x:c r="D42" s="14" t="str">
        <x:v>LG02</x:v>
      </x:c>
      <x:c r="E42" s="28" t="n">
        <x:v>46143</x:v>
      </x:c>
      <x:c r="F42" s="28" t="n">
        <x:v>46203</x:v>
      </x:c>
      <x:c r="G42" s="28" t="n">
        <x:v>46203</x:v>
      </x:c>
      <x:c r="H42" s="14" t="n">
        <x:v>0</x:v>
      </x:c>
      <x:c r="I42" s="14" t="str">
        <x:v>Hoàn thành</x:v>
      </x:c>
      <x:c r="J42" s="14" t="str">
        <x:v>Mốc khóa</x:v>
      </x:c>
      <x:c r="K42" s="14" t="str">
        <x:v>Chậm Đất đai/GPMB làm dịch các mốc sau</x:v>
      </x:c>
    </x:row>
    <x:row r="43">
      <x:c r="A43" s="14" t="str">
        <x:v>DA05</x:v>
      </x:c>
      <x:c r="B43" s="14" t="str">
        <x:v>LG04</x:v>
      </x:c>
      <x:c r="C43" s="14" t="str">
        <x:v>Nghĩa vụ tài chính đất</x:v>
      </x:c>
      <x:c r="D43" s="14" t="str">
        <x:v>LG03</x:v>
      </x:c>
      <x:c r="E43" s="28" t="n">
        <x:v>46203</x:v>
      </x:c>
      <x:c r="F43" s="28" t="n">
        <x:v>46263</x:v>
      </x:c>
      <x:c r="G43" s="28" t="n">
        <x:v>46263</x:v>
      </x:c>
      <x:c r="H43" s="14" t="n">
        <x:v>0</x:v>
      </x:c>
      <x:c r="I43" s="14" t="str">
        <x:v>Hoàn thành</x:v>
      </x:c>
      <x:c r="J43" s="14" t="str">
        <x:v>Mốc khóa</x:v>
      </x:c>
      <x:c r="K43" s="14" t="str">
        <x:v>Chậm Nghĩa vụ tài chính đất làm dịch các mốc sau</x:v>
      </x:c>
    </x:row>
    <x:row r="44">
      <x:c r="A44" s="14" t="str">
        <x:v>DA05</x:v>
      </x:c>
      <x:c r="B44" s="14" t="str">
        <x:v>LG05</x:v>
      </x:c>
      <x:c r="C44" s="14" t="str">
        <x:v>Thiết kế/PCCC/MT</x:v>
      </x:c>
      <x:c r="D44" s="14" t="str">
        <x:v>LG04</x:v>
      </x:c>
      <x:c r="E44" s="28" t="n">
        <x:v>46263</x:v>
      </x:c>
      <x:c r="F44" s="28" t="n">
        <x:v>46308</x:v>
      </x:c>
      <x:c r="G44" s="28" t="n">
        <x:v>46308</x:v>
      </x:c>
      <x:c r="H44" s="14" t="n">
        <x:v>0</x:v>
      </x:c>
      <x:c r="I44" s="14" t="str">
        <x:v>Hoàn thành</x:v>
      </x:c>
      <x:c r="J44" s="14" t="str">
        <x:v>Tiền đề</x:v>
      </x:c>
      <x:c r="K44" s="14" t="str">
        <x:v>Chậm Thiết kế/PCCC/MT làm dịch các mốc sau</x:v>
      </x:c>
    </x:row>
    <x:row r="45">
      <x:c r="A45" s="14" t="str">
        <x:v>DA05</x:v>
      </x:c>
      <x:c r="B45" s="14" t="str">
        <x:v>LG06</x:v>
      </x:c>
      <x:c r="C45" s="14" t="str">
        <x:v>GPXD/Khởi công</x:v>
      </x:c>
      <x:c r="D45" s="14" t="str">
        <x:v>LG05</x:v>
      </x:c>
      <x:c r="E45" s="28" t="n">
        <x:v>46308</x:v>
      </x:c>
      <x:c r="F45" s="28" t="n">
        <x:v>46353</x:v>
      </x:c>
      <x:c r="G45" s="28" t="n">
        <x:v>46353</x:v>
      </x:c>
      <x:c r="H45" s="14" t="n">
        <x:v>0</x:v>
      </x:c>
      <x:c r="I45" s="14" t="str">
        <x:v>Hoàn thành</x:v>
      </x:c>
      <x:c r="J45" s="14" t="str">
        <x:v>Mốc khóa</x:v>
      </x:c>
      <x:c r="K45" s="14" t="str">
        <x:v>Chậm GPXD/Khởi công làm dịch các mốc sau</x:v>
      </x:c>
    </x:row>
    <x:row r="46">
      <x:c r="A46" s="14" t="str">
        <x:v>DA05</x:v>
      </x:c>
      <x:c r="B46" s="14" t="str">
        <x:v>LG07</x:v>
      </x:c>
      <x:c r="C46" s="14" t="str">
        <x:v>Điều kiện mở bán</x:v>
      </x:c>
      <x:c r="D46" s="14" t="str">
        <x:v>LG06</x:v>
      </x:c>
      <x:c r="E46" s="28" t="n">
        <x:v>46353</x:v>
      </x:c>
      <x:c r="F46" s="28" t="n">
        <x:v>46398</x:v>
      </x:c>
      <x:c r="G46" s="28" t="n">
        <x:v>46398</x:v>
      </x:c>
      <x:c r="H46" s="14" t="n">
        <x:v>0</x:v>
      </x:c>
      <x:c r="I46" s="14" t="str">
        <x:v>Hoàn thành</x:v>
      </x:c>
      <x:c r="J46" s="14" t="str">
        <x:v>Mốc khóa</x:v>
      </x:c>
      <x:c r="K46" s="14" t="str">
        <x:v>Chậm Điều kiện mở bán làm dịch các mốc sau</x:v>
      </x:c>
    </x:row>
    <x:row r="47">
      <x:c r="A47" s="14" t="str">
        <x:v>DA05</x:v>
      </x:c>
      <x:c r="B47" s="14" t="str">
        <x:v>LG08</x:v>
      </x:c>
      <x:c r="C47" s="14" t="str">
        <x:v>Nghiệm thu/Bàn giao</x:v>
      </x:c>
      <x:c r="D47" s="14" t="str">
        <x:v>LG07</x:v>
      </x:c>
      <x:c r="E47" s="28" t="n">
        <x:v>46398</x:v>
      </x:c>
      <x:c r="F47" s="28" t="n">
        <x:v>46443</x:v>
      </x:c>
      <x:c r="G47" s="28" t="n">
        <x:v>46443</x:v>
      </x:c>
      <x:c r="H47" s="14" t="n">
        <x:v>0</x:v>
      </x:c>
      <x:c r="I47" s="14" t="str">
        <x:v>Hoàn thành</x:v>
      </x:c>
      <x:c r="J47" s="14" t="str">
        <x:v>Mốc khóa</x:v>
      </x:c>
      <x:c r="K47" s="14" t="str">
        <x:v>Chậm Nghiệm thu/Bàn giao làm dịch các mốc sau</x:v>
      </x:c>
    </x:row>
    <x:row r="48">
      <x:c r="A48" s="14" t="str">
        <x:v>DA05</x:v>
      </x:c>
      <x:c r="B48" s="14" t="str">
        <x:v>LG09</x:v>
      </x:c>
      <x:c r="C48" s="14" t="str">
        <x:v>GCN</x:v>
      </x:c>
      <x:c r="D48" s="14" t="str">
        <x:v>LG08</x:v>
      </x:c>
      <x:c r="E48" s="28" t="n">
        <x:v>46443</x:v>
      </x:c>
      <x:c r="F48" s="28" t="n">
        <x:v>46488</x:v>
      </x:c>
      <x:c r="G48" s="28" t="n">
        <x:v>46488</x:v>
      </x:c>
      <x:c r="H48" s="14" t="n">
        <x:v>0</x:v>
      </x:c>
      <x:c r="I48" s="14" t="str">
        <x:v>Hoàn thành</x:v>
      </x:c>
      <x:c r="J48" s="14" t="str">
        <x:v>Tiền đề</x:v>
      </x:c>
      <x:c r="K48" s="14" t="str">
        <x:v>Chậm GCN làm dịch các mốc sau</x:v>
      </x:c>
    </x:row>
    <x:row r="49">
      <x:c r="A49" s="14" t="str">
        <x:v>DA06</x:v>
      </x:c>
      <x:c r="B49" s="14" t="str">
        <x:v>LG01</x:v>
      </x:c>
      <x:c r="C49" s="14" t="str">
        <x:v>Chủ trương/đầu tư</x:v>
      </x:c>
      <x:c r="D49" s="14" t="str"/>
      <x:c r="E49" s="28" t="n">
        <x:v>46023</x:v>
      </x:c>
      <x:c r="F49" s="28" t="n">
        <x:v>46083</x:v>
      </x:c>
      <x:c r="G49" s="28" t="n">
        <x:v>46083</x:v>
      </x:c>
      <x:c r="H49" s="14" t="n">
        <x:v>0</x:v>
      </x:c>
      <x:c r="I49" s="14" t="str">
        <x:v>Hoàn thành</x:v>
      </x:c>
      <x:c r="J49" s="14" t="str">
        <x:v>Tiền đề</x:v>
      </x:c>
      <x:c r="K49" s="14" t="str">
        <x:v>Chậm Chủ trương/đầu tư làm dịch các mốc sau</x:v>
      </x:c>
    </x:row>
    <x:row r="50">
      <x:c r="A50" s="14" t="str">
        <x:v>DA06</x:v>
      </x:c>
      <x:c r="B50" s="14" t="str">
        <x:v>LG02</x:v>
      </x:c>
      <x:c r="C50" s="14" t="str">
        <x:v>Quy hoạch</x:v>
      </x:c>
      <x:c r="D50" s="14" t="str">
        <x:v>LG01</x:v>
      </x:c>
      <x:c r="E50" s="28" t="n">
        <x:v>46083</x:v>
      </x:c>
      <x:c r="F50" s="28" t="n">
        <x:v>46143</x:v>
      </x:c>
      <x:c r="G50" s="28" t="n">
        <x:v>46143</x:v>
      </x:c>
      <x:c r="H50" s="14" t="n">
        <x:v>0</x:v>
      </x:c>
      <x:c r="I50" s="14" t="str">
        <x:v>Đang/chưa thực hiện</x:v>
      </x:c>
      <x:c r="J50" s="14" t="str">
        <x:v>Tiền đề</x:v>
      </x:c>
      <x:c r="K50" s="14" t="str">
        <x:v>Chậm Quy hoạch làm dịch các mốc sau</x:v>
      </x:c>
    </x:row>
    <x:row r="51">
      <x:c r="A51" s="14" t="str">
        <x:v>DA06</x:v>
      </x:c>
      <x:c r="B51" s="14" t="str">
        <x:v>LG03</x:v>
      </x:c>
      <x:c r="C51" s="14" t="str">
        <x:v>Đất đai/GPMB</x:v>
      </x:c>
      <x:c r="D51" s="14" t="str">
        <x:v>LG02</x:v>
      </x:c>
      <x:c r="E51" s="28" t="n">
        <x:v>46143</x:v>
      </x:c>
      <x:c r="F51" s="28" t="n">
        <x:v>46203</x:v>
      </x:c>
      <x:c r="G51" s="28" t="n">
        <x:v>46203</x:v>
      </x:c>
      <x:c r="H51" s="14" t="n">
        <x:v>0</x:v>
      </x:c>
      <x:c r="I51" s="14" t="str">
        <x:v>Đang/chưa thực hiện</x:v>
      </x:c>
      <x:c r="J51" s="14" t="str">
        <x:v>Mốc khóa</x:v>
      </x:c>
      <x:c r="K51" s="14" t="str">
        <x:v>Chậm Đất đai/GPMB làm dịch các mốc sau</x:v>
      </x:c>
    </x:row>
    <x:row r="52">
      <x:c r="A52" s="14" t="str">
        <x:v>DA06</x:v>
      </x:c>
      <x:c r="B52" s="14" t="str">
        <x:v>LG04</x:v>
      </x:c>
      <x:c r="C52" s="14" t="str">
        <x:v>Nghĩa vụ tài chính đất</x:v>
      </x:c>
      <x:c r="D52" s="14" t="str">
        <x:v>LG03</x:v>
      </x:c>
      <x:c r="E52" s="28" t="n">
        <x:v>46203</x:v>
      </x:c>
      <x:c r="F52" s="28" t="n">
        <x:v>46263</x:v>
      </x:c>
      <x:c r="G52" s="28" t="n">
        <x:v>46263</x:v>
      </x:c>
      <x:c r="H52" s="14" t="n">
        <x:v>0</x:v>
      </x:c>
      <x:c r="I52" s="14" t="str">
        <x:v>Đang/chưa thực hiện</x:v>
      </x:c>
      <x:c r="J52" s="14" t="str">
        <x:v>Mốc khóa</x:v>
      </x:c>
      <x:c r="K52" s="14" t="str">
        <x:v>Chậm Nghĩa vụ tài chính đất làm dịch các mốc sau</x:v>
      </x:c>
    </x:row>
    <x:row r="53">
      <x:c r="A53" s="14" t="str">
        <x:v>DA06</x:v>
      </x:c>
      <x:c r="B53" s="14" t="str">
        <x:v>LG05</x:v>
      </x:c>
      <x:c r="C53" s="14" t="str">
        <x:v>Thiết kế/PCCC/MT</x:v>
      </x:c>
      <x:c r="D53" s="14" t="str">
        <x:v>LG04</x:v>
      </x:c>
      <x:c r="E53" s="28" t="n">
        <x:v>46263</x:v>
      </x:c>
      <x:c r="F53" s="28" t="n">
        <x:v>46308</x:v>
      </x:c>
      <x:c r="G53" s="28" t="n">
        <x:v>46308</x:v>
      </x:c>
      <x:c r="H53" s="14" t="n">
        <x:v>0</x:v>
      </x:c>
      <x:c r="I53" s="14" t="str">
        <x:v>Đang/chưa thực hiện</x:v>
      </x:c>
      <x:c r="J53" s="14" t="str">
        <x:v>Tiền đề</x:v>
      </x:c>
      <x:c r="K53" s="14" t="str">
        <x:v>Chậm Thiết kế/PCCC/MT làm dịch các mốc sau</x:v>
      </x:c>
    </x:row>
    <x:row r="54">
      <x:c r="A54" s="14" t="str">
        <x:v>DA06</x:v>
      </x:c>
      <x:c r="B54" s="14" t="str">
        <x:v>LG06</x:v>
      </x:c>
      <x:c r="C54" s="14" t="str">
        <x:v>GPXD/Khởi công</x:v>
      </x:c>
      <x:c r="D54" s="14" t="str">
        <x:v>LG05</x:v>
      </x:c>
      <x:c r="E54" s="28" t="n">
        <x:v>46308</x:v>
      </x:c>
      <x:c r="F54" s="28" t="n">
        <x:v>46353</x:v>
      </x:c>
      <x:c r="G54" s="28" t="n">
        <x:v>46353</x:v>
      </x:c>
      <x:c r="H54" s="14" t="n">
        <x:v>0</x:v>
      </x:c>
      <x:c r="I54" s="14" t="str">
        <x:v>Đang/chưa thực hiện</x:v>
      </x:c>
      <x:c r="J54" s="14" t="str">
        <x:v>Mốc khóa</x:v>
      </x:c>
      <x:c r="K54" s="14" t="str">
        <x:v>Chậm GPXD/Khởi công làm dịch các mốc sau</x:v>
      </x:c>
    </x:row>
    <x:row r="55">
      <x:c r="A55" s="14" t="str">
        <x:v>DA06</x:v>
      </x:c>
      <x:c r="B55" s="14" t="str">
        <x:v>LG07</x:v>
      </x:c>
      <x:c r="C55" s="14" t="str">
        <x:v>Điều kiện mở bán</x:v>
      </x:c>
      <x:c r="D55" s="14" t="str">
        <x:v>LG06</x:v>
      </x:c>
      <x:c r="E55" s="28" t="n">
        <x:v>46353</x:v>
      </x:c>
      <x:c r="F55" s="28" t="n">
        <x:v>46398</x:v>
      </x:c>
      <x:c r="G55" s="28" t="n">
        <x:v>46398</x:v>
      </x:c>
      <x:c r="H55" s="14" t="n">
        <x:v>0</x:v>
      </x:c>
      <x:c r="I55" s="14" t="str">
        <x:v>Đang/chưa thực hiện</x:v>
      </x:c>
      <x:c r="J55" s="14" t="str">
        <x:v>Mốc khóa</x:v>
      </x:c>
      <x:c r="K55" s="14" t="str">
        <x:v>Chậm Điều kiện mở bán làm dịch các mốc sau</x:v>
      </x:c>
    </x:row>
    <x:row r="56">
      <x:c r="A56" s="14" t="str">
        <x:v>DA06</x:v>
      </x:c>
      <x:c r="B56" s="14" t="str">
        <x:v>LG08</x:v>
      </x:c>
      <x:c r="C56" s="14" t="str">
        <x:v>Nghiệm thu/Bàn giao</x:v>
      </x:c>
      <x:c r="D56" s="14" t="str">
        <x:v>LG07</x:v>
      </x:c>
      <x:c r="E56" s="28" t="n">
        <x:v>46398</x:v>
      </x:c>
      <x:c r="F56" s="28" t="n">
        <x:v>46443</x:v>
      </x:c>
      <x:c r="G56" s="28" t="n">
        <x:v>46443</x:v>
      </x:c>
      <x:c r="H56" s="14" t="n">
        <x:v>0</x:v>
      </x:c>
      <x:c r="I56" s="14" t="str">
        <x:v>Đang/chưa thực hiện</x:v>
      </x:c>
      <x:c r="J56" s="14" t="str">
        <x:v>Mốc khóa</x:v>
      </x:c>
      <x:c r="K56" s="14" t="str">
        <x:v>Chậm Nghiệm thu/Bàn giao làm dịch các mốc sau</x:v>
      </x:c>
    </x:row>
    <x:row r="57">
      <x:c r="A57" s="14" t="str">
        <x:v>DA06</x:v>
      </x:c>
      <x:c r="B57" s="14" t="str">
        <x:v>LG09</x:v>
      </x:c>
      <x:c r="C57" s="14" t="str">
        <x:v>GCN</x:v>
      </x:c>
      <x:c r="D57" s="14" t="str">
        <x:v>LG08</x:v>
      </x:c>
      <x:c r="E57" s="28" t="n">
        <x:v>46443</x:v>
      </x:c>
      <x:c r="F57" s="28" t="n">
        <x:v>46488</x:v>
      </x:c>
      <x:c r="G57" s="28" t="n">
        <x:v>46488</x:v>
      </x:c>
      <x:c r="H57" s="14" t="n">
        <x:v>0</x:v>
      </x:c>
      <x:c r="I57" s="14" t="str">
        <x:v>Đang/chưa thực hiện</x:v>
      </x:c>
      <x:c r="J57" s="14" t="str">
        <x:v>Tiền đề</x:v>
      </x:c>
      <x:c r="K57" s="14" t="str">
        <x:v>Chậm GCN làm dịch các mốc sau</x:v>
      </x:c>
    </x:row>
    <x:row r="58">
      <x:c r="E58" s="29"/>
      <x:c r="F58" s="29"/>
      <x:c r="G58" s="29"/>
    </x:row>
    <x:row r="59">
      <x:c r="E59" s="29"/>
      <x:c r="F59" s="29"/>
      <x:c r="G59" s="29"/>
    </x:row>
    <x:row r="60">
      <x:c r="E60" s="29"/>
      <x:c r="F60" s="29"/>
      <x:c r="G60" s="29"/>
    </x:row>
    <x:row r="61">
      <x:c r="E61" s="29"/>
      <x:c r="F61" s="29"/>
      <x:c r="G61" s="29"/>
    </x:row>
    <x:row r="62">
      <x:c r="E62" s="29"/>
      <x:c r="F62" s="29"/>
      <x:c r="G62" s="29"/>
    </x:row>
    <x:row r="63">
      <x:c r="E63" s="29"/>
      <x:c r="F63" s="29"/>
      <x:c r="G63" s="29"/>
    </x:row>
    <x:row r="64">
      <x:c r="E64" s="29"/>
      <x:c r="F64" s="29"/>
      <x:c r="G64" s="29"/>
    </x:row>
    <x:row r="65">
      <x:c r="E65" s="29"/>
      <x:c r="F65" s="29"/>
      <x:c r="G65" s="29"/>
    </x:row>
    <x:row r="66">
      <x:c r="E66" s="29"/>
      <x:c r="F66" s="29"/>
      <x:c r="G66" s="29"/>
    </x:row>
    <x:row r="67">
      <x:c r="E67" s="29"/>
      <x:c r="F67" s="29"/>
      <x:c r="G67" s="29"/>
    </x:row>
    <x:row r="68">
      <x:c r="E68" s="29"/>
      <x:c r="F68" s="29"/>
      <x:c r="G68" s="29"/>
    </x:row>
    <x:row r="69">
      <x:c r="E69" s="29"/>
      <x:c r="F69" s="29"/>
      <x:c r="G69" s="29"/>
    </x:row>
    <x:row r="70">
      <x:c r="E70" s="29"/>
      <x:c r="F70" s="29"/>
      <x:c r="G70" s="29"/>
    </x:row>
    <x:row r="71">
      <x:c r="E71" s="29"/>
      <x:c r="F71" s="29"/>
      <x:c r="G71" s="29"/>
    </x:row>
    <x:row r="72">
      <x:c r="E72" s="29"/>
      <x:c r="F72" s="29"/>
      <x:c r="G72" s="29"/>
    </x:row>
    <x:row r="73">
      <x:c r="E73" s="29"/>
      <x:c r="F73" s="29"/>
      <x:c r="G73" s="29"/>
    </x:row>
    <x:row r="74">
      <x:c r="E74" s="29"/>
      <x:c r="F74" s="29"/>
      <x:c r="G74" s="29"/>
    </x:row>
    <x:row r="75">
      <x:c r="E75" s="29"/>
      <x:c r="F75" s="29"/>
      <x:c r="G75" s="29"/>
    </x:row>
    <x:row r="76">
      <x:c r="E76" s="29"/>
      <x:c r="F76" s="29"/>
      <x:c r="G76" s="29"/>
    </x:row>
    <x:row r="77">
      <x:c r="E77" s="29"/>
      <x:c r="F77" s="29"/>
      <x:c r="G77" s="29"/>
    </x:row>
    <x:row r="78">
      <x:c r="E78" s="29"/>
      <x:c r="F78" s="29"/>
      <x:c r="G78" s="29"/>
    </x:row>
    <x:row r="79">
      <x:c r="E79" s="29"/>
      <x:c r="F79" s="29"/>
      <x:c r="G79" s="29"/>
    </x:row>
    <x:row r="80">
      <x:c r="E80" s="29"/>
      <x:c r="F80" s="29"/>
      <x:c r="G80" s="29"/>
    </x:row>
    <x:row r="81">
      <x:c r="E81" s="29"/>
      <x:c r="F81" s="29"/>
      <x:c r="G81" s="29"/>
    </x:row>
    <x:row r="82">
      <x:c r="E82" s="29"/>
      <x:c r="F82" s="29"/>
      <x:c r="G82" s="29"/>
    </x:row>
    <x:row r="83">
      <x:c r="E83" s="29"/>
      <x:c r="F83" s="29"/>
      <x:c r="G83" s="29"/>
    </x:row>
    <x:row r="84">
      <x:c r="E84" s="29"/>
      <x:c r="F84" s="29"/>
      <x:c r="G84" s="29"/>
    </x:row>
    <x:row r="85">
      <x:c r="E85" s="29"/>
      <x:c r="F85" s="29"/>
      <x:c r="G85" s="29"/>
    </x:row>
    <x:row r="86">
      <x:c r="E86" s="29"/>
      <x:c r="F86" s="29"/>
      <x:c r="G86" s="29"/>
    </x:row>
    <x:row r="87">
      <x:c r="E87" s="29"/>
      <x:c r="F87" s="29"/>
      <x:c r="G87" s="29"/>
    </x:row>
    <x:row r="88">
      <x:c r="E88" s="29"/>
      <x:c r="F88" s="29"/>
      <x:c r="G88" s="29"/>
    </x:row>
    <x:row r="89">
      <x:c r="E89" s="29"/>
      <x:c r="F89" s="29"/>
      <x:c r="G89" s="29"/>
    </x:row>
    <x:row r="90">
      <x:c r="E90" s="29"/>
      <x:c r="F90" s="29"/>
      <x:c r="G90" s="29"/>
    </x:row>
    <x:row r="91">
      <x:c r="E91" s="29"/>
      <x:c r="F91" s="29"/>
      <x:c r="G91" s="29"/>
    </x:row>
    <x:row r="92">
      <x:c r="E92" s="29"/>
      <x:c r="F92" s="29"/>
      <x:c r="G92" s="29"/>
    </x:row>
    <x:row r="93">
      <x:c r="E93" s="29"/>
      <x:c r="F93" s="29"/>
      <x:c r="G93" s="29"/>
    </x:row>
    <x:row r="94">
      <x:c r="E94" s="29"/>
      <x:c r="F94" s="29"/>
      <x:c r="G94" s="29"/>
    </x:row>
    <x:row r="95">
      <x:c r="E95" s="29"/>
      <x:c r="F95" s="29"/>
      <x:c r="G95" s="29"/>
    </x:row>
    <x:row r="96">
      <x:c r="E96" s="29"/>
      <x:c r="F96" s="29"/>
      <x:c r="G96" s="29"/>
    </x:row>
    <x:row r="97">
      <x:c r="E97" s="29"/>
      <x:c r="F97" s="29"/>
      <x:c r="G97" s="29"/>
    </x:row>
    <x:row r="98">
      <x:c r="E98" s="29"/>
      <x:c r="F98" s="29"/>
      <x:c r="G98" s="29"/>
    </x:row>
    <x:row r="99">
      <x:c r="E99" s="29"/>
      <x:c r="F99" s="29"/>
      <x:c r="G99" s="29"/>
    </x:row>
    <x:row r="100">
      <x:c r="E100" s="29"/>
      <x:c r="F100" s="29"/>
      <x:c r="G100" s="29"/>
    </x:row>
    <x:row r="101">
      <x:c r="E101" s="29"/>
      <x:c r="F101" s="29"/>
      <x:c r="G101" s="29"/>
    </x:row>
    <x:row r="102">
      <x:c r="E102" s="29"/>
      <x:c r="F102" s="29"/>
      <x:c r="G102" s="29"/>
    </x:row>
    <x:row r="103">
      <x:c r="E103" s="29"/>
      <x:c r="F103" s="29"/>
      <x:c r="G103" s="29"/>
    </x:row>
    <x:row r="104">
      <x:c r="E104" s="29"/>
      <x:c r="F104" s="29"/>
      <x:c r="G104" s="29"/>
    </x:row>
    <x:row r="105">
      <x:c r="E105" s="29"/>
      <x:c r="F105" s="29"/>
      <x:c r="G105" s="29"/>
    </x:row>
    <x:row r="106">
      <x:c r="E106" s="29"/>
      <x:c r="F106" s="29"/>
      <x:c r="G106" s="29"/>
    </x:row>
    <x:row r="107">
      <x:c r="E107" s="29"/>
      <x:c r="F107" s="29"/>
      <x:c r="G107" s="29"/>
    </x:row>
    <x:row r="108">
      <x:c r="E108" s="29"/>
      <x:c r="F108" s="29"/>
      <x:c r="G108" s="29"/>
    </x:row>
    <x:row r="109">
      <x:c r="E109" s="29"/>
      <x:c r="F109" s="29"/>
      <x:c r="G109" s="29"/>
    </x:row>
    <x:row r="110">
      <x:c r="E110" s="29"/>
      <x:c r="F110" s="29"/>
      <x:c r="G110" s="29"/>
    </x:row>
    <x:row r="111">
      <x:c r="E111" s="29"/>
      <x:c r="F111" s="29"/>
      <x:c r="G111" s="29"/>
    </x:row>
    <x:row r="112">
      <x:c r="E112" s="29"/>
      <x:c r="F112" s="29"/>
      <x:c r="G112" s="29"/>
    </x:row>
    <x:row r="113">
      <x:c r="E113" s="29"/>
      <x:c r="F113" s="29"/>
      <x:c r="G113" s="29"/>
    </x:row>
    <x:row r="114">
      <x:c r="E114" s="29"/>
      <x:c r="F114" s="29"/>
      <x:c r="G114" s="29"/>
    </x:row>
    <x:row r="115">
      <x:c r="E115" s="29"/>
      <x:c r="F115" s="29"/>
      <x:c r="G115" s="29"/>
    </x:row>
    <x:row r="116">
      <x:c r="E116" s="29"/>
      <x:c r="F116" s="29"/>
      <x:c r="G116" s="29"/>
    </x:row>
    <x:row r="117">
      <x:c r="E117" s="29"/>
      <x:c r="F117" s="29"/>
      <x:c r="G117" s="29"/>
    </x:row>
    <x:row r="118">
      <x:c r="E118" s="29"/>
      <x:c r="F118" s="29"/>
      <x:c r="G118" s="29"/>
    </x:row>
    <x:row r="119">
      <x:c r="E119" s="29"/>
      <x:c r="F119" s="29"/>
      <x:c r="G119" s="29"/>
    </x:row>
    <x:row r="120">
      <x:c r="E120" s="29"/>
      <x:c r="F120" s="29"/>
      <x:c r="G120" s="29"/>
    </x:row>
    <x:row r="121">
      <x:c r="E121" s="29"/>
      <x:c r="F121" s="29"/>
      <x:c r="G121" s="29"/>
    </x:row>
    <x:row r="122">
      <x:c r="E122" s="29"/>
      <x:c r="F122" s="29"/>
      <x:c r="G122" s="29"/>
    </x:row>
    <x:row r="123">
      <x:c r="E123" s="29"/>
      <x:c r="F123" s="29"/>
      <x:c r="G123" s="29"/>
    </x:row>
    <x:row r="124">
      <x:c r="E124" s="29"/>
      <x:c r="F124" s="29"/>
      <x:c r="G124" s="29"/>
    </x:row>
    <x:row r="125">
      <x:c r="E125" s="29"/>
      <x:c r="F125" s="29"/>
      <x:c r="G125" s="29"/>
    </x:row>
    <x:row r="126">
      <x:c r="E126" s="29"/>
      <x:c r="F126" s="29"/>
      <x:c r="G126" s="29"/>
    </x:row>
    <x:row r="127">
      <x:c r="E127" s="29"/>
      <x:c r="F127" s="29"/>
      <x:c r="G127" s="29"/>
    </x:row>
    <x:row r="128">
      <x:c r="E128" s="29"/>
      <x:c r="F128" s="29"/>
      <x:c r="G128" s="29"/>
    </x:row>
    <x:row r="129">
      <x:c r="E129" s="29"/>
      <x:c r="F129" s="29"/>
      <x:c r="G129" s="29"/>
    </x:row>
    <x:row r="130">
      <x:c r="E130" s="29"/>
      <x:c r="F130" s="29"/>
      <x:c r="G130" s="29"/>
    </x:row>
    <x:row r="131">
      <x:c r="E131" s="29"/>
      <x:c r="F131" s="29"/>
      <x:c r="G131" s="29"/>
    </x:row>
    <x:row r="132">
      <x:c r="E132" s="29"/>
      <x:c r="F132" s="29"/>
      <x:c r="G132" s="29"/>
    </x:row>
    <x:row r="133">
      <x:c r="E133" s="29"/>
      <x:c r="F133" s="29"/>
      <x:c r="G133" s="29"/>
    </x:row>
    <x:row r="134">
      <x:c r="E134" s="29"/>
      <x:c r="F134" s="29"/>
      <x:c r="G134" s="29"/>
    </x:row>
    <x:row r="135">
      <x:c r="E135" s="29"/>
      <x:c r="F135" s="29"/>
      <x:c r="G135" s="29"/>
    </x:row>
    <x:row r="136">
      <x:c r="E136" s="29"/>
      <x:c r="F136" s="29"/>
      <x:c r="G136" s="29"/>
    </x:row>
    <x:row r="137">
      <x:c r="E137" s="29"/>
      <x:c r="F137" s="29"/>
      <x:c r="G137" s="29"/>
    </x:row>
    <x:row r="138">
      <x:c r="E138" s="29"/>
      <x:c r="F138" s="29"/>
      <x:c r="G138" s="29"/>
    </x:row>
    <x:row r="139">
      <x:c r="E139" s="29"/>
      <x:c r="F139" s="29"/>
      <x:c r="G139" s="29"/>
    </x:row>
    <x:row r="140">
      <x:c r="E140" s="29"/>
      <x:c r="F140" s="29"/>
      <x:c r="G140" s="29"/>
    </x:row>
    <x:row r="141">
      <x:c r="E141" s="29"/>
      <x:c r="F141" s="29"/>
      <x:c r="G141" s="29"/>
    </x:row>
    <x:row r="142">
      <x:c r="E142" s="29"/>
      <x:c r="F142" s="29"/>
      <x:c r="G142" s="29"/>
    </x:row>
    <x:row r="143">
      <x:c r="E143" s="29"/>
      <x:c r="F143" s="29"/>
      <x:c r="G143" s="29"/>
    </x:row>
    <x:row r="144">
      <x:c r="E144" s="29"/>
      <x:c r="F144" s="29"/>
      <x:c r="G144" s="29"/>
    </x:row>
    <x:row r="145">
      <x:c r="E145" s="29"/>
      <x:c r="F145" s="29"/>
      <x:c r="G145" s="29"/>
    </x:row>
    <x:row r="146">
      <x:c r="E146" s="29"/>
      <x:c r="F146" s="29"/>
      <x:c r="G146" s="29"/>
    </x:row>
    <x:row r="147">
      <x:c r="E147" s="29"/>
      <x:c r="F147" s="29"/>
      <x:c r="G147" s="29"/>
    </x:row>
    <x:row r="148">
      <x:c r="E148" s="29"/>
      <x:c r="F148" s="29"/>
      <x:c r="G148" s="29"/>
    </x:row>
    <x:row r="149">
      <x:c r="E149" s="29"/>
      <x:c r="F149" s="29"/>
      <x:c r="G149" s="29"/>
    </x:row>
    <x:row r="150">
      <x:c r="E150" s="29"/>
      <x:c r="F150" s="29"/>
      <x:c r="G150" s="29"/>
    </x:row>
    <x:row r="151">
      <x:c r="E151" s="29"/>
      <x:c r="F151" s="29"/>
      <x:c r="G151" s="29"/>
    </x:row>
    <x:row r="152">
      <x:c r="E152" s="29"/>
      <x:c r="F152" s="29"/>
      <x:c r="G152" s="29"/>
    </x:row>
    <x:row r="153">
      <x:c r="E153" s="29"/>
      <x:c r="F153" s="29"/>
      <x:c r="G153" s="29"/>
    </x:row>
    <x:row r="154">
      <x:c r="E154" s="29"/>
      <x:c r="F154" s="29"/>
      <x:c r="G154" s="29"/>
    </x:row>
    <x:row r="155">
      <x:c r="E155" s="29"/>
      <x:c r="F155" s="29"/>
      <x:c r="G155" s="29"/>
    </x:row>
    <x:row r="156">
      <x:c r="E156" s="29"/>
      <x:c r="F156" s="29"/>
      <x:c r="G156" s="29"/>
    </x:row>
    <x:row r="157">
      <x:c r="E157" s="29"/>
      <x:c r="F157" s="29"/>
      <x:c r="G157" s="29"/>
    </x:row>
    <x:row r="158">
      <x:c r="E158" s="29"/>
      <x:c r="F158" s="29"/>
      <x:c r="G158" s="29"/>
    </x:row>
    <x:row r="159">
      <x:c r="E159" s="29"/>
      <x:c r="F159" s="29"/>
      <x:c r="G159" s="29"/>
    </x:row>
    <x:row r="160">
      <x:c r="E160" s="29"/>
      <x:c r="F160" s="29"/>
      <x:c r="G160" s="29"/>
    </x:row>
    <x:row r="161">
      <x:c r="E161" s="29"/>
      <x:c r="F161" s="29"/>
      <x:c r="G161" s="29"/>
    </x:row>
    <x:row r="162">
      <x:c r="E162" s="29"/>
      <x:c r="F162" s="29"/>
      <x:c r="G162" s="29"/>
    </x:row>
    <x:row r="163">
      <x:c r="E163" s="29"/>
      <x:c r="F163" s="29"/>
      <x:c r="G163" s="29"/>
    </x:row>
    <x:row r="164">
      <x:c r="E164" s="29"/>
      <x:c r="F164" s="29"/>
      <x:c r="G164" s="29"/>
    </x:row>
    <x:row r="165">
      <x:c r="E165" s="29"/>
      <x:c r="F165" s="29"/>
      <x:c r="G165" s="29"/>
    </x:row>
    <x:row r="166">
      <x:c r="E166" s="29"/>
      <x:c r="F166" s="29"/>
      <x:c r="G166" s="29"/>
    </x:row>
    <x:row r="167">
      <x:c r="E167" s="29"/>
      <x:c r="F167" s="29"/>
      <x:c r="G167" s="29"/>
    </x:row>
    <x:row r="168">
      <x:c r="E168" s="29"/>
      <x:c r="F168" s="29"/>
      <x:c r="G168" s="29"/>
    </x:row>
    <x:row r="169">
      <x:c r="E169" s="29"/>
      <x:c r="F169" s="29"/>
      <x:c r="G169" s="29"/>
    </x:row>
    <x:row r="170">
      <x:c r="E170" s="29"/>
      <x:c r="F170" s="29"/>
      <x:c r="G170" s="29"/>
    </x:row>
    <x:row r="171">
      <x:c r="E171" s="29"/>
      <x:c r="F171" s="29"/>
      <x:c r="G171" s="29"/>
    </x:row>
    <x:row r="172">
      <x:c r="E172" s="29"/>
      <x:c r="F172" s="29"/>
      <x:c r="G172" s="29"/>
    </x:row>
    <x:row r="173">
      <x:c r="E173" s="29"/>
      <x:c r="F173" s="29"/>
      <x:c r="G173" s="29"/>
    </x:row>
    <x:row r="174">
      <x:c r="E174" s="29"/>
      <x:c r="F174" s="29"/>
      <x:c r="G174" s="29"/>
    </x:row>
    <x:row r="175">
      <x:c r="E175" s="29"/>
      <x:c r="F175" s="29"/>
      <x:c r="G175" s="29"/>
    </x:row>
    <x:row r="176">
      <x:c r="E176" s="29"/>
      <x:c r="F176" s="29"/>
      <x:c r="G176" s="29"/>
    </x:row>
    <x:row r="177">
      <x:c r="E177" s="29"/>
      <x:c r="F177" s="29"/>
      <x:c r="G177" s="29"/>
    </x:row>
    <x:row r="178">
      <x:c r="E178" s="29"/>
      <x:c r="F178" s="29"/>
      <x:c r="G178" s="29"/>
    </x:row>
    <x:row r="179">
      <x:c r="E179" s="29"/>
      <x:c r="F179" s="29"/>
      <x:c r="G179" s="29"/>
    </x:row>
    <x:row r="180">
      <x:c r="E180" s="29"/>
      <x:c r="F180" s="29"/>
      <x:c r="G180" s="29"/>
    </x:row>
    <x:row r="181">
      <x:c r="E181" s="29"/>
      <x:c r="F181" s="29"/>
      <x:c r="G181" s="29"/>
    </x:row>
    <x:row r="182">
      <x:c r="E182" s="29"/>
      <x:c r="F182" s="29"/>
      <x:c r="G182" s="29"/>
    </x:row>
    <x:row r="183">
      <x:c r="E183" s="29"/>
      <x:c r="F183" s="29"/>
      <x:c r="G183" s="29"/>
    </x:row>
    <x:row r="184">
      <x:c r="E184" s="29"/>
      <x:c r="F184" s="29"/>
      <x:c r="G184" s="29"/>
    </x:row>
    <x:row r="185">
      <x:c r="E185" s="29"/>
      <x:c r="F185" s="29"/>
      <x:c r="G185" s="29"/>
    </x:row>
    <x:row r="186">
      <x:c r="E186" s="29"/>
      <x:c r="F186" s="29"/>
      <x:c r="G186" s="29"/>
    </x:row>
    <x:row r="187">
      <x:c r="E187" s="29"/>
      <x:c r="F187" s="29"/>
      <x:c r="G187" s="29"/>
    </x:row>
    <x:row r="188">
      <x:c r="E188" s="29"/>
      <x:c r="F188" s="29"/>
      <x:c r="G188" s="29"/>
    </x:row>
    <x:row r="189">
      <x:c r="E189" s="29"/>
      <x:c r="F189" s="29"/>
      <x:c r="G189" s="29"/>
    </x:row>
    <x:row r="190">
      <x:c r="E190" s="29"/>
      <x:c r="F190" s="29"/>
      <x:c r="G190" s="29"/>
    </x:row>
    <x:row r="191">
      <x:c r="E191" s="29"/>
      <x:c r="F191" s="29"/>
      <x:c r="G191" s="29"/>
    </x:row>
    <x:row r="192">
      <x:c r="E192" s="29"/>
      <x:c r="F192" s="29"/>
      <x:c r="G192" s="29"/>
    </x:row>
    <x:row r="193">
      <x:c r="E193" s="29"/>
      <x:c r="F193" s="29"/>
      <x:c r="G193" s="29"/>
    </x:row>
    <x:row r="194">
      <x:c r="E194" s="29"/>
      <x:c r="F194" s="29"/>
      <x:c r="G194" s="29"/>
    </x:row>
    <x:row r="195">
      <x:c r="E195" s="29"/>
      <x:c r="F195" s="29"/>
      <x:c r="G195" s="29"/>
    </x:row>
    <x:row r="196">
      <x:c r="E196" s="29"/>
      <x:c r="F196" s="29"/>
      <x:c r="G196" s="29"/>
    </x:row>
    <x:row r="197">
      <x:c r="E197" s="29"/>
      <x:c r="F197" s="29"/>
      <x:c r="G197" s="29"/>
    </x:row>
    <x:row r="198">
      <x:c r="E198" s="29"/>
      <x:c r="F198" s="29"/>
      <x:c r="G198" s="29"/>
    </x:row>
    <x:row r="199">
      <x:c r="E199" s="29"/>
      <x:c r="F199" s="29"/>
      <x:c r="G199" s="29"/>
    </x:row>
    <x:row r="200">
      <x:c r="E200" s="29"/>
      <x:c r="F200" s="29"/>
      <x:c r="G200" s="29"/>
    </x:row>
  </x:sheetData>
  <x:mergeCells>
    <x:mergeCell ref="A1:K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0" hidden="0" customWidth="1"/>
    <x:col min="4" max="4" width="20" hidden="0" customWidth="1"/>
    <x:col min="5" max="5" width="18" hidden="0" customWidth="1"/>
    <x:col min="6" max="6" width="20" hidden="0" customWidth="1"/>
    <x:col min="7" max="7" width="22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32" hidden="0" customWidth="1"/>
    <x:col min="13" max="13" width="34" hidden="0" customWidth="1"/>
    <x:col min="14" max="14" width="14" hidden="0" customWidth="1"/>
  </x:cols>
  <x:sheetData>
    <x:row r="1" ht="26" customHeight="1">
      <x:c r="A1" s="3" t="str">
        <x:v>15_Phong_ho_so_PL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>
      <x:c r="A3" s="9" t="str">
        <x:v>Mã dự án</x:v>
      </x:c>
      <x:c r="B3" s="9" t="str">
        <x:v>Mã hồ sơ</x:v>
      </x:c>
      <x:c r="C3" s="9" t="str">
        <x:v>Tên hồ sơ</x:v>
      </x:c>
      <x:c r="D3" s="9" t="str">
        <x:v>Giai đoạn</x:v>
      </x:c>
      <x:c r="E3" s="9" t="str">
        <x:v>Loại tài liệu</x:v>
      </x:c>
      <x:c r="F3" s="9" t="str">
        <x:v>Tình trạng hồ sơ</x:v>
      </x:c>
      <x:c r="G3" s="9" t="str">
        <x:v>Người phụ trách</x:v>
      </x:c>
      <x:c r="H3" s="9" t="str">
        <x:v>Ngày nộp</x:v>
      </x:c>
      <x:c r="I3" s="9" t="str">
        <x:v>Ngày hẹn trả</x:v>
      </x:c>
      <x:c r="J3" s="9" t="str">
        <x:v>Ngày hoàn thành</x:v>
      </x:c>
      <x:c r="K3" s="9" t="str">
        <x:v>Số ngày quá hạn</x:v>
      </x:c>
      <x:c r="L3" s="9" t="str">
        <x:v>Hồ sơ còn thiếu</x:v>
      </x:c>
      <x:c r="M3" s="9" t="str">
        <x:v>Đường dẫn lưu trữ</x:v>
      </x:c>
      <x:c r="N3" s="9" t="str">
        <x:v>Mức độ</x:v>
      </x:c>
    </x:row>
    <x:row r="4">
      <x:c r="A4" s="14" t="str">
        <x:v>DA01</x:v>
      </x:c>
      <x:c r="B4" s="14" t="str">
        <x:v>CK01</x:v>
      </x:c>
      <x:c r="C4" s="14" t="str">
        <x:v>Rà soát nguồn gốc/quyền sử dụng đất</x:v>
      </x:c>
      <x:c r="D4" s="14" t="str">
        <x:v>Tiền đầu tư &amp; quỹ đất</x:v>
      </x:c>
      <x:c r="E4" s="14" t="str">
        <x:v>Hồ sơ chính</x:v>
      </x:c>
      <x:c r="F4" s="14" t="str">
        <x:v>Hoàn thành</x:v>
      </x:c>
      <x:c r="G4" s="14" t="str">
        <x:v>Pháp chế/Phát triển dự án</x:v>
      </x:c>
      <x:c r="H4" s="14"/>
      <x:c r="I4" s="14"/>
      <x:c r="J4" s="14"/>
      <x:c r="K4" s="14" t="n">
        <x:v>0</x:v>
      </x:c>
      <x:c r="L4" s="14" t="str"/>
      <x:c r="M4" s="14" t="str">
        <x:v>Kho nội bộ/SharePoint/Drive</x:v>
      </x:c>
      <x:c r="N4" s="14" t="str">
        <x:v>Rất cao</x:v>
      </x:c>
    </x:row>
    <x:row r="5">
      <x:c r="A5" s="14" t="str">
        <x:v>DA01</x:v>
      </x:c>
      <x:c r="B5" s="14" t="str">
        <x:v>CK02</x:v>
      </x:c>
      <x:c r="C5" s="14" t="str">
        <x:v>Chấp thuận/chủ trương đầu tư, lựa chọn NĐT nếu áp dụng</x:v>
      </x:c>
      <x:c r="D5" s="14" t="str">
        <x:v>Đầu tư</x:v>
      </x:c>
      <x:c r="E5" s="14" t="str">
        <x:v>Hồ sơ chính</x:v>
      </x:c>
      <x:c r="F5" s="14" t="str">
        <x:v>Hoàn thành</x:v>
      </x:c>
      <x:c r="G5" s="14" t="str">
        <x:v>Pháp chế/Phát triển dự án</x:v>
      </x:c>
      <x:c r="H5" s="14"/>
      <x:c r="I5" s="14"/>
      <x:c r="J5" s="14"/>
      <x:c r="K5" s="14" t="n">
        <x:v>0</x:v>
      </x:c>
      <x:c r="L5" s="14" t="str"/>
      <x:c r="M5" s="14" t="str">
        <x:v>Kho nội bộ/SharePoint/Drive</x:v>
      </x:c>
      <x:c r="N5" s="14" t="str">
        <x:v>Rất cao</x:v>
      </x:c>
    </x:row>
    <x:row r="6">
      <x:c r="A6" s="14" t="str">
        <x:v>DA01</x:v>
      </x:c>
      <x:c r="B6" s="14" t="str">
        <x:v>CK03</x:v>
      </x:c>
      <x:c r="C6" s="14" t="str">
        <x:v>Quy hoạch chi tiết và chỉ tiêu quy hoạch</x:v>
      </x:c>
      <x:c r="D6" s="14" t="str">
        <x:v>Quy hoạch</x:v>
      </x:c>
      <x:c r="E6" s="14" t="str">
        <x:v>Hồ sơ chính</x:v>
      </x:c>
      <x:c r="F6" s="14" t="str">
        <x:v>Đang thực hiện</x:v>
      </x:c>
      <x:c r="G6" s="14" t="str">
        <x:v>Pháp chế/Phát triển dự án</x:v>
      </x:c>
      <x:c r="H6" s="14"/>
      <x:c r="I6" s="14"/>
      <x:c r="J6" s="14"/>
      <x:c r="K6" s="14" t="n">
        <x:v>0</x:v>
      </x:c>
      <x:c r="L6" s="14" t="str"/>
      <x:c r="M6" s="14" t="str">
        <x:v>Kho nội bộ/SharePoint/Drive</x:v>
      </x:c>
      <x:c r="N6" s="14" t="str">
        <x:v>Rất cao</x:v>
      </x:c>
    </x:row>
    <x:row r="7">
      <x:c r="A7" s="14" t="str">
        <x:v>DA01</x:v>
      </x:c>
      <x:c r="B7" s="14" t="str">
        <x:v>CK04</x:v>
      </x:c>
      <x:c r="C7" s="14" t="str">
        <x:v>GPMB, giao/thuê/chuyển mục đích, GCN QSDĐ</x:v>
      </x:c>
      <x:c r="D7" s="14" t="str">
        <x:v>Đất đai</x:v>
      </x:c>
      <x:c r="E7" s="14" t="str">
        <x:v>Hồ sơ chính</x:v>
      </x:c>
      <x:c r="F7" s="14" t="str">
        <x:v>Đang thực hiện</x:v>
      </x:c>
      <x:c r="G7" s="14" t="str">
        <x:v>Pháp chế/Phát triển dự án</x:v>
      </x:c>
      <x:c r="H7" s="14"/>
      <x:c r="I7" s="14"/>
      <x:c r="J7" s="14"/>
      <x:c r="K7" s="14" t="n">
        <x:v>0</x:v>
      </x:c>
      <x:c r="L7" s="14" t="str"/>
      <x:c r="M7" s="14" t="str">
        <x:v>Kho nội bộ/SharePoint/Drive</x:v>
      </x:c>
      <x:c r="N7" s="14" t="str">
        <x:v>Rất cao</x:v>
      </x:c>
    </x:row>
    <x:row r="8">
      <x:c r="A8" s="14" t="str">
        <x:v>DA01</x:v>
      </x:c>
      <x:c r="B8" s="14" t="str">
        <x:v>CK05</x:v>
      </x:c>
      <x:c r="C8" s="14" t="str">
        <x:v>Xác định và hoàn thành nghĩa vụ tài chính đất</x:v>
      </x:c>
      <x:c r="D8" s="14" t="str">
        <x:v>Tài chính đất</x:v>
      </x:c>
      <x:c r="E8" s="14" t="str">
        <x:v>Hồ sơ chính</x:v>
      </x:c>
      <x:c r="F8" s="14" t="str">
        <x:v>Chưa bắt đầu</x:v>
      </x:c>
      <x:c r="G8" s="14" t="str">
        <x:v>Pháp chế/Phát triển dự án</x:v>
      </x:c>
      <x:c r="H8" s="14"/>
      <x:c r="I8" s="14"/>
      <x:c r="J8" s="14"/>
      <x:c r="K8" s="14" t="n">
        <x:v>0</x:v>
      </x:c>
      <x:c r="L8" s="14" t="str"/>
      <x:c r="M8" s="14" t="str">
        <x:v>Kho nội bộ/SharePoint/Drive</x:v>
      </x:c>
      <x:c r="N8" s="14" t="str">
        <x:v>Rất cao</x:v>
      </x:c>
    </x:row>
    <x:row r="9">
      <x:c r="A9" s="14" t="str">
        <x:v>DA01</x:v>
      </x:c>
      <x:c r="B9" s="14" t="str">
        <x:v>CK06</x:v>
      </x:c>
      <x:c r="C9" s="14" t="str">
        <x:v>ĐTM/Giấy phép môi trường theo đối tượng áp dụng</x:v>
      </x:c>
      <x:c r="D9" s="14" t="str">
        <x:v>Môi trường</x:v>
      </x:c>
      <x:c r="E9" s="14" t="str">
        <x:v>Hồ sơ chính</x:v>
      </x:c>
      <x:c r="F9" s="14" t="str">
        <x:v>Chưa bắt đầu</x:v>
      </x:c>
      <x:c r="G9" s="14" t="str">
        <x:v>Pháp chế/Phát triển dự án</x:v>
      </x:c>
      <x:c r="H9" s="14"/>
      <x:c r="I9" s="14"/>
      <x:c r="J9" s="14"/>
      <x:c r="K9" s="14" t="n">
        <x:v>0</x:v>
      </x:c>
      <x:c r="L9" s="14" t="str"/>
      <x:c r="M9" s="14" t="str">
        <x:v>Kho nội bộ/SharePoint/Drive</x:v>
      </x:c>
      <x:c r="N9" s="14" t="str">
        <x:v>Cao</x:v>
      </x:c>
    </x:row>
    <x:row r="10">
      <x:c r="A10" s="14" t="str">
        <x:v>DA01</x:v>
      </x:c>
      <x:c r="B10" s="14" t="str">
        <x:v>CK07</x:v>
      </x:c>
      <x:c r="C10" s="14" t="str">
        <x:v>Thẩm định thiết kế, PCCC theo đối tượng áp dụng</x:v>
      </x:c>
      <x:c r="D10" s="14" t="str">
        <x:v>Thiết kế &amp; PCCC</x:v>
      </x:c>
      <x:c r="E10" s="14" t="str">
        <x:v>Hồ sơ chính</x:v>
      </x:c>
      <x:c r="F10" s="14" t="str">
        <x:v>Chưa bắt đầu</x:v>
      </x:c>
      <x:c r="G10" s="14" t="str">
        <x:v>Pháp chế/Phát triển dự án</x:v>
      </x:c>
      <x:c r="H10" s="14"/>
      <x:c r="I10" s="14"/>
      <x:c r="J10" s="14"/>
      <x:c r="K10" s="14" t="n">
        <x:v>0</x:v>
      </x:c>
      <x:c r="L10" s="14" t="str"/>
      <x:c r="M10" s="14" t="str">
        <x:v>Kho nội bộ/SharePoint/Drive</x:v>
      </x:c>
      <x:c r="N10" s="14" t="str">
        <x:v>Cao</x:v>
      </x:c>
    </x:row>
    <x:row r="11">
      <x:c r="A11" s="14" t="str">
        <x:v>DA01</x:v>
      </x:c>
      <x:c r="B11" s="14" t="str">
        <x:v>CK08</x:v>
      </x:c>
      <x:c r="C11" s="14" t="str">
        <x:v>GPXD/điều kiện khởi công theo trường hợp áp dụng</x:v>
      </x:c>
      <x:c r="D11" s="14" t="str">
        <x:v>Xây dựng</x:v>
      </x:c>
      <x:c r="E11" s="14" t="str">
        <x:v>Hồ sơ chính</x:v>
      </x:c>
      <x:c r="F11" s="14" t="str">
        <x:v>Chưa bắt đầu</x:v>
      </x:c>
      <x:c r="G11" s="14" t="str">
        <x:v>Pháp chế/Phát triển dự án</x:v>
      </x:c>
      <x:c r="H11" s="14"/>
      <x:c r="I11" s="14"/>
      <x:c r="J11" s="14"/>
      <x:c r="K11" s="14" t="n">
        <x:v>0</x:v>
      </x:c>
      <x:c r="L11" s="14" t="str"/>
      <x:c r="M11" s="14" t="str">
        <x:v>Kho nội bộ/SharePoint/Drive</x:v>
      </x:c>
      <x:c r="N11" s="14" t="str">
        <x:v>Rất cao</x:v>
      </x:c>
    </x:row>
    <x:row r="12">
      <x:c r="A12" s="14" t="str">
        <x:v>DA01</x:v>
      </x:c>
      <x:c r="B12" s="14" t="str">
        <x:v>CK09</x:v>
      </x:c>
      <x:c r="C12" s="14" t="str">
        <x:v>Điều kiện đưa sản phẩm vào kinh doanh/mở bán</x:v>
      </x:c>
      <x:c r="D12" s="14" t="str">
        <x:v>Kinh doanh BĐS</x:v>
      </x:c>
      <x:c r="E12" s="14" t="str">
        <x:v>Hồ sơ chính</x:v>
      </x:c>
      <x:c r="F12" s="14" t="str">
        <x:v>Chưa bắt đầu</x:v>
      </x:c>
      <x:c r="G12" s="14" t="str">
        <x:v>Pháp chế/Phát triển dự án</x:v>
      </x:c>
      <x:c r="H12" s="14"/>
      <x:c r="I12" s="14"/>
      <x:c r="J12" s="14"/>
      <x:c r="K12" s="14" t="n">
        <x:v>0</x:v>
      </x:c>
      <x:c r="L12" s="14" t="str"/>
      <x:c r="M12" s="14" t="str">
        <x:v>Kho nội bộ/SharePoint/Drive</x:v>
      </x:c>
      <x:c r="N12" s="14" t="str">
        <x:v>Rất cao</x:v>
      </x:c>
    </x:row>
    <x:row r="13">
      <x:c r="A13" s="14" t="str">
        <x:v>DA01</x:v>
      </x:c>
      <x:c r="B13" s="14" t="str">
        <x:v>CK10</x:v>
      </x:c>
      <x:c r="C13" s="14" t="str">
        <x:v>Nghiệm thu, vận hành, bàn giao</x:v>
      </x:c>
      <x:c r="D13" s="14" t="str">
        <x:v>Bàn giao</x:v>
      </x:c>
      <x:c r="E13" s="14" t="str">
        <x:v>Hồ sơ chính</x:v>
      </x:c>
      <x:c r="F13" s="14" t="str">
        <x:v>Chưa bắt đầu</x:v>
      </x:c>
      <x:c r="G13" s="14" t="str">
        <x:v>Pháp chế/Phát triển dự án</x:v>
      </x:c>
      <x:c r="H13" s="14"/>
      <x:c r="I13" s="14"/>
      <x:c r="J13" s="14"/>
      <x:c r="K13" s="14" t="n">
        <x:v>0</x:v>
      </x:c>
      <x:c r="L13" s="14" t="str"/>
      <x:c r="M13" s="14" t="str">
        <x:v>Kho nội bộ/SharePoint/Drive</x:v>
      </x:c>
      <x:c r="N13" s="14" t="str">
        <x:v>Cao</x:v>
      </x:c>
    </x:row>
    <x:row r="14">
      <x:c r="A14" s="14" t="str">
        <x:v>DA01</x:v>
      </x:c>
      <x:c r="B14" s="14" t="str">
        <x:v>CK11</x:v>
      </x:c>
      <x:c r="C14" s="14" t="str">
        <x:v>Hồ sơ cấp GCN cho người mua</x:v>
      </x:c>
      <x:c r="D14" s="14" t="str">
        <x:v>GCN khách hàng</x:v>
      </x:c>
      <x:c r="E14" s="14" t="str">
        <x:v>Hồ sơ chính</x:v>
      </x:c>
      <x:c r="F14" s="14" t="str">
        <x:v>Chưa bắt đầu</x:v>
      </x:c>
      <x:c r="G14" s="14" t="str">
        <x:v>Pháp chế/Phát triển dự án</x:v>
      </x:c>
      <x:c r="H14" s="14"/>
      <x:c r="I14" s="14"/>
      <x:c r="J14" s="14"/>
      <x:c r="K14" s="14" t="n">
        <x:v>0</x:v>
      </x:c>
      <x:c r="L14" s="14" t="str"/>
      <x:c r="M14" s="14" t="str">
        <x:v>Kho nội bộ/SharePoint/Drive</x:v>
      </x:c>
      <x:c r="N14" s="14" t="str">
        <x:v>Cao</x:v>
      </x:c>
    </x:row>
    <x:row r="15">
      <x:c r="A15" s="14" t="str">
        <x:v>DA02</x:v>
      </x:c>
      <x:c r="B15" s="14" t="str">
        <x:v>CK01</x:v>
      </x:c>
      <x:c r="C15" s="14" t="str">
        <x:v>Rà soát nguồn gốc/quyền sử dụng đất</x:v>
      </x:c>
      <x:c r="D15" s="14" t="str">
        <x:v>Tiền đầu tư &amp; quỹ đất</x:v>
      </x:c>
      <x:c r="E15" s="14" t="str">
        <x:v>Hồ sơ chính</x:v>
      </x:c>
      <x:c r="F15" s="14" t="str">
        <x:v>Hoàn thành</x:v>
      </x:c>
      <x:c r="G15" s="14" t="str">
        <x:v>Pháp chế/Phát triển dự án</x:v>
      </x:c>
      <x:c r="H15" s="14"/>
      <x:c r="I15" s="14"/>
      <x:c r="J15" s="14"/>
      <x:c r="K15" s="14" t="n">
        <x:v>0</x:v>
      </x:c>
      <x:c r="L15" s="14" t="str"/>
      <x:c r="M15" s="14" t="str">
        <x:v>Kho nội bộ/SharePoint/Drive</x:v>
      </x:c>
      <x:c r="N15" s="14" t="str">
        <x:v>Rất cao</x:v>
      </x:c>
    </x:row>
    <x:row r="16">
      <x:c r="A16" s="14" t="str">
        <x:v>DA02</x:v>
      </x:c>
      <x:c r="B16" s="14" t="str">
        <x:v>CK02</x:v>
      </x:c>
      <x:c r="C16" s="14" t="str">
        <x:v>Chấp thuận/chủ trương đầu tư, lựa chọn NĐT nếu áp dụng</x:v>
      </x:c>
      <x:c r="D16" s="14" t="str">
        <x:v>Đầu tư</x:v>
      </x:c>
      <x:c r="E16" s="14" t="str">
        <x:v>Hồ sơ chính</x:v>
      </x:c>
      <x:c r="F16" s="14" t="str">
        <x:v>Hoàn thành</x:v>
      </x:c>
      <x:c r="G16" s="14" t="str">
        <x:v>Pháp chế/Phát triển dự án</x:v>
      </x:c>
      <x:c r="H16" s="14"/>
      <x:c r="I16" s="14"/>
      <x:c r="J16" s="14"/>
      <x:c r="K16" s="14" t="n">
        <x:v>0</x:v>
      </x:c>
      <x:c r="L16" s="14" t="str"/>
      <x:c r="M16" s="14" t="str">
        <x:v>Kho nội bộ/SharePoint/Drive</x:v>
      </x:c>
      <x:c r="N16" s="14" t="str">
        <x:v>Rất cao</x:v>
      </x:c>
    </x:row>
    <x:row r="17">
      <x:c r="A17" s="14" t="str">
        <x:v>DA02</x:v>
      </x:c>
      <x:c r="B17" s="14" t="str">
        <x:v>CK03</x:v>
      </x:c>
      <x:c r="C17" s="14" t="str">
        <x:v>Quy hoạch chi tiết và chỉ tiêu quy hoạch</x:v>
      </x:c>
      <x:c r="D17" s="14" t="str">
        <x:v>Quy hoạch</x:v>
      </x:c>
      <x:c r="E17" s="14" t="str">
        <x:v>Hồ sơ chính</x:v>
      </x:c>
      <x:c r="F17" s="14" t="str">
        <x:v>Hoàn thành</x:v>
      </x:c>
      <x:c r="G17" s="14" t="str">
        <x:v>Pháp chế/Phát triển dự án</x:v>
      </x:c>
      <x:c r="H17" s="14"/>
      <x:c r="I17" s="14"/>
      <x:c r="J17" s="14"/>
      <x:c r="K17" s="14" t="n">
        <x:v>0</x:v>
      </x:c>
      <x:c r="L17" s="14" t="str"/>
      <x:c r="M17" s="14" t="str">
        <x:v>Kho nội bộ/SharePoint/Drive</x:v>
      </x:c>
      <x:c r="N17" s="14" t="str">
        <x:v>Rất cao</x:v>
      </x:c>
    </x:row>
    <x:row r="18">
      <x:c r="A18" s="14" t="str">
        <x:v>DA02</x:v>
      </x:c>
      <x:c r="B18" s="14" t="str">
        <x:v>CK04</x:v>
      </x:c>
      <x:c r="C18" s="14" t="str">
        <x:v>GPMB, giao/thuê/chuyển mục đích, GCN QSDĐ</x:v>
      </x:c>
      <x:c r="D18" s="14" t="str">
        <x:v>Đất đai</x:v>
      </x:c>
      <x:c r="E18" s="14" t="str">
        <x:v>Hồ sơ chính</x:v>
      </x:c>
      <x:c r="F18" s="14" t="str">
        <x:v>Hoàn thành</x:v>
      </x:c>
      <x:c r="G18" s="14" t="str">
        <x:v>Pháp chế/Phát triển dự án</x:v>
      </x:c>
      <x:c r="H18" s="14"/>
      <x:c r="I18" s="14"/>
      <x:c r="J18" s="14"/>
      <x:c r="K18" s="14" t="n">
        <x:v>0</x:v>
      </x:c>
      <x:c r="L18" s="14" t="str"/>
      <x:c r="M18" s="14" t="str">
        <x:v>Kho nội bộ/SharePoint/Drive</x:v>
      </x:c>
      <x:c r="N18" s="14" t="str">
        <x:v>Rất cao</x:v>
      </x:c>
    </x:row>
    <x:row r="19">
      <x:c r="A19" s="14" t="str">
        <x:v>DA02</x:v>
      </x:c>
      <x:c r="B19" s="14" t="str">
        <x:v>CK05</x:v>
      </x:c>
      <x:c r="C19" s="14" t="str">
        <x:v>Xác định và hoàn thành nghĩa vụ tài chính đất</x:v>
      </x:c>
      <x:c r="D19" s="14" t="str">
        <x:v>Tài chính đất</x:v>
      </x:c>
      <x:c r="E19" s="14" t="str">
        <x:v>Hồ sơ chính</x:v>
      </x:c>
      <x:c r="F19" s="14" t="str">
        <x:v>Hoàn thành</x:v>
      </x:c>
      <x:c r="G19" s="14" t="str">
        <x:v>Pháp chế/Phát triển dự án</x:v>
      </x:c>
      <x:c r="H19" s="14"/>
      <x:c r="I19" s="14"/>
      <x:c r="J19" s="14"/>
      <x:c r="K19" s="14" t="n">
        <x:v>0</x:v>
      </x:c>
      <x:c r="L19" s="14" t="str"/>
      <x:c r="M19" s="14" t="str">
        <x:v>Kho nội bộ/SharePoint/Drive</x:v>
      </x:c>
      <x:c r="N19" s="14" t="str">
        <x:v>Rất cao</x:v>
      </x:c>
    </x:row>
    <x:row r="20">
      <x:c r="A20" s="14" t="str">
        <x:v>DA02</x:v>
      </x:c>
      <x:c r="B20" s="14" t="str">
        <x:v>CK06</x:v>
      </x:c>
      <x:c r="C20" s="14" t="str">
        <x:v>ĐTM/Giấy phép môi trường theo đối tượng áp dụng</x:v>
      </x:c>
      <x:c r="D20" s="14" t="str">
        <x:v>Môi trường</x:v>
      </x:c>
      <x:c r="E20" s="14" t="str">
        <x:v>Hồ sơ chính</x:v>
      </x:c>
      <x:c r="F20" s="14" t="str">
        <x:v>Hoàn thành</x:v>
      </x:c>
      <x:c r="G20" s="14" t="str">
        <x:v>Pháp chế/Phát triển dự án</x:v>
      </x:c>
      <x:c r="H20" s="14"/>
      <x:c r="I20" s="14"/>
      <x:c r="J20" s="14"/>
      <x:c r="K20" s="14" t="n">
        <x:v>0</x:v>
      </x:c>
      <x:c r="L20" s="14" t="str"/>
      <x:c r="M20" s="14" t="str">
        <x:v>Kho nội bộ/SharePoint/Drive</x:v>
      </x:c>
      <x:c r="N20" s="14" t="str">
        <x:v>Cao</x:v>
      </x:c>
    </x:row>
    <x:row r="21">
      <x:c r="A21" s="14" t="str">
        <x:v>DA02</x:v>
      </x:c>
      <x:c r="B21" s="14" t="str">
        <x:v>CK07</x:v>
      </x:c>
      <x:c r="C21" s="14" t="str">
        <x:v>Thẩm định thiết kế, PCCC theo đối tượng áp dụng</x:v>
      </x:c>
      <x:c r="D21" s="14" t="str">
        <x:v>Thiết kế &amp; PCCC</x:v>
      </x:c>
      <x:c r="E21" s="14" t="str">
        <x:v>Hồ sơ chính</x:v>
      </x:c>
      <x:c r="F21" s="14" t="str">
        <x:v>Hoàn thành</x:v>
      </x:c>
      <x:c r="G21" s="14" t="str">
        <x:v>Pháp chế/Phát triển dự án</x:v>
      </x:c>
      <x:c r="H21" s="14"/>
      <x:c r="I21" s="14"/>
      <x:c r="J21" s="14"/>
      <x:c r="K21" s="14" t="n">
        <x:v>0</x:v>
      </x:c>
      <x:c r="L21" s="14" t="str"/>
      <x:c r="M21" s="14" t="str">
        <x:v>Kho nội bộ/SharePoint/Drive</x:v>
      </x:c>
      <x:c r="N21" s="14" t="str">
        <x:v>Cao</x:v>
      </x:c>
    </x:row>
    <x:row r="22">
      <x:c r="A22" s="14" t="str">
        <x:v>DA02</x:v>
      </x:c>
      <x:c r="B22" s="14" t="str">
        <x:v>CK08</x:v>
      </x:c>
      <x:c r="C22" s="14" t="str">
        <x:v>GPXD/điều kiện khởi công theo trường hợp áp dụng</x:v>
      </x:c>
      <x:c r="D22" s="14" t="str">
        <x:v>Xây dựng</x:v>
      </x:c>
      <x:c r="E22" s="14" t="str">
        <x:v>Hồ sơ chính</x:v>
      </x:c>
      <x:c r="F22" s="14" t="str">
        <x:v>Đang thực hiện</x:v>
      </x:c>
      <x:c r="G22" s="14" t="str">
        <x:v>Pháp chế/Phát triển dự án</x:v>
      </x:c>
      <x:c r="H22" s="14"/>
      <x:c r="I22" s="14"/>
      <x:c r="J22" s="14"/>
      <x:c r="K22" s="14" t="n">
        <x:v>0</x:v>
      </x:c>
      <x:c r="L22" s="14" t="str"/>
      <x:c r="M22" s="14" t="str">
        <x:v>Kho nội bộ/SharePoint/Drive</x:v>
      </x:c>
      <x:c r="N22" s="14" t="str">
        <x:v>Rất cao</x:v>
      </x:c>
    </x:row>
    <x:row r="23">
      <x:c r="A23" s="14" t="str">
        <x:v>DA02</x:v>
      </x:c>
      <x:c r="B23" s="14" t="str">
        <x:v>CK09</x:v>
      </x:c>
      <x:c r="C23" s="14" t="str">
        <x:v>Điều kiện đưa sản phẩm vào kinh doanh/mở bán</x:v>
      </x:c>
      <x:c r="D23" s="14" t="str">
        <x:v>Kinh doanh BĐS</x:v>
      </x:c>
      <x:c r="E23" s="14" t="str">
        <x:v>Hồ sơ chính</x:v>
      </x:c>
      <x:c r="F23" s="14" t="str">
        <x:v>Đang thực hiện</x:v>
      </x:c>
      <x:c r="G23" s="14" t="str">
        <x:v>Pháp chế/Phát triển dự án</x:v>
      </x:c>
      <x:c r="H23" s="14"/>
      <x:c r="I23" s="14"/>
      <x:c r="J23" s="14"/>
      <x:c r="K23" s="14" t="n">
        <x:v>0</x:v>
      </x:c>
      <x:c r="L23" s="14" t="str"/>
      <x:c r="M23" s="14" t="str">
        <x:v>Kho nội bộ/SharePoint/Drive</x:v>
      </x:c>
      <x:c r="N23" s="14" t="str">
        <x:v>Rất cao</x:v>
      </x:c>
    </x:row>
    <x:row r="24">
      <x:c r="A24" s="14" t="str">
        <x:v>DA02</x:v>
      </x:c>
      <x:c r="B24" s="14" t="str">
        <x:v>CK10</x:v>
      </x:c>
      <x:c r="C24" s="14" t="str">
        <x:v>Nghiệm thu, vận hành, bàn giao</x:v>
      </x:c>
      <x:c r="D24" s="14" t="str">
        <x:v>Bàn giao</x:v>
      </x:c>
      <x:c r="E24" s="14" t="str">
        <x:v>Hồ sơ chính</x:v>
      </x:c>
      <x:c r="F24" s="14" t="str">
        <x:v>Chưa bắt đầu</x:v>
      </x:c>
      <x:c r="G24" s="14" t="str">
        <x:v>Pháp chế/Phát triển dự án</x:v>
      </x:c>
      <x:c r="H24" s="14"/>
      <x:c r="I24" s="14"/>
      <x:c r="J24" s="14"/>
      <x:c r="K24" s="14" t="n">
        <x:v>0</x:v>
      </x:c>
      <x:c r="L24" s="14" t="str"/>
      <x:c r="M24" s="14" t="str">
        <x:v>Kho nội bộ/SharePoint/Drive</x:v>
      </x:c>
      <x:c r="N24" s="14" t="str">
        <x:v>Cao</x:v>
      </x:c>
    </x:row>
    <x:row r="25">
      <x:c r="A25" s="14" t="str">
        <x:v>DA02</x:v>
      </x:c>
      <x:c r="B25" s="14" t="str">
        <x:v>CK11</x:v>
      </x:c>
      <x:c r="C25" s="14" t="str">
        <x:v>Hồ sơ cấp GCN cho người mua</x:v>
      </x:c>
      <x:c r="D25" s="14" t="str">
        <x:v>GCN khách hàng</x:v>
      </x:c>
      <x:c r="E25" s="14" t="str">
        <x:v>Hồ sơ chính</x:v>
      </x:c>
      <x:c r="F25" s="14" t="str">
        <x:v>Chưa bắt đầu</x:v>
      </x:c>
      <x:c r="G25" s="14" t="str">
        <x:v>Pháp chế/Phát triển dự án</x:v>
      </x:c>
      <x:c r="H25" s="14"/>
      <x:c r="I25" s="14"/>
      <x:c r="J25" s="14"/>
      <x:c r="K25" s="14" t="n">
        <x:v>0</x:v>
      </x:c>
      <x:c r="L25" s="14" t="str"/>
      <x:c r="M25" s="14" t="str">
        <x:v>Kho nội bộ/SharePoint/Drive</x:v>
      </x:c>
      <x:c r="N25" s="14" t="str">
        <x:v>Cao</x:v>
      </x:c>
    </x:row>
    <x:row r="26">
      <x:c r="A26" s="14" t="str">
        <x:v>DA03</x:v>
      </x:c>
      <x:c r="B26" s="14" t="str">
        <x:v>CK01</x:v>
      </x:c>
      <x:c r="C26" s="14" t="str">
        <x:v>Rà soát nguồn gốc/quyền sử dụng đất</x:v>
      </x:c>
      <x:c r="D26" s="14" t="str">
        <x:v>Tiền đầu tư &amp; quỹ đất</x:v>
      </x:c>
      <x:c r="E26" s="14" t="str">
        <x:v>Hồ sơ chính</x:v>
      </x:c>
      <x:c r="F26" s="14" t="str">
        <x:v>Hoàn thành</x:v>
      </x:c>
      <x:c r="G26" s="14" t="str">
        <x:v>Pháp chế/Phát triển dự án</x:v>
      </x:c>
      <x:c r="H26" s="14"/>
      <x:c r="I26" s="14"/>
      <x:c r="J26" s="14"/>
      <x:c r="K26" s="14" t="n">
        <x:v>0</x:v>
      </x:c>
      <x:c r="L26" s="14" t="str"/>
      <x:c r="M26" s="14" t="str">
        <x:v>Kho nội bộ/SharePoint/Drive</x:v>
      </x:c>
      <x:c r="N26" s="14" t="str">
        <x:v>Rất cao</x:v>
      </x:c>
    </x:row>
    <x:row r="27">
      <x:c r="A27" s="14" t="str">
        <x:v>DA03</x:v>
      </x:c>
      <x:c r="B27" s="14" t="str">
        <x:v>CK02</x:v>
      </x:c>
      <x:c r="C27" s="14" t="str">
        <x:v>Chấp thuận/chủ trương đầu tư, lựa chọn NĐT nếu áp dụng</x:v>
      </x:c>
      <x:c r="D27" s="14" t="str">
        <x:v>Đầu tư</x:v>
      </x:c>
      <x:c r="E27" s="14" t="str">
        <x:v>Hồ sơ chính</x:v>
      </x:c>
      <x:c r="F27" s="14" t="str">
        <x:v>Hoàn thành</x:v>
      </x:c>
      <x:c r="G27" s="14" t="str">
        <x:v>Pháp chế/Phát triển dự án</x:v>
      </x:c>
      <x:c r="H27" s="14"/>
      <x:c r="I27" s="14"/>
      <x:c r="J27" s="14"/>
      <x:c r="K27" s="14" t="n">
        <x:v>0</x:v>
      </x:c>
      <x:c r="L27" s="14" t="str"/>
      <x:c r="M27" s="14" t="str">
        <x:v>Kho nội bộ/SharePoint/Drive</x:v>
      </x:c>
      <x:c r="N27" s="14" t="str">
        <x:v>Rất cao</x:v>
      </x:c>
    </x:row>
    <x:row r="28">
      <x:c r="A28" s="14" t="str">
        <x:v>DA03</x:v>
      </x:c>
      <x:c r="B28" s="14" t="str">
        <x:v>CK03</x:v>
      </x:c>
      <x:c r="C28" s="14" t="str">
        <x:v>Quy hoạch chi tiết và chỉ tiêu quy hoạch</x:v>
      </x:c>
      <x:c r="D28" s="14" t="str">
        <x:v>Quy hoạch</x:v>
      </x:c>
      <x:c r="E28" s="14" t="str">
        <x:v>Hồ sơ chính</x:v>
      </x:c>
      <x:c r="F28" s="14" t="str">
        <x:v>Hoàn thành</x:v>
      </x:c>
      <x:c r="G28" s="14" t="str">
        <x:v>Pháp chế/Phát triển dự án</x:v>
      </x:c>
      <x:c r="H28" s="14"/>
      <x:c r="I28" s="14"/>
      <x:c r="J28" s="14"/>
      <x:c r="K28" s="14" t="n">
        <x:v>0</x:v>
      </x:c>
      <x:c r="L28" s="14" t="str"/>
      <x:c r="M28" s="14" t="str">
        <x:v>Kho nội bộ/SharePoint/Drive</x:v>
      </x:c>
      <x:c r="N28" s="14" t="str">
        <x:v>Rất cao</x:v>
      </x:c>
    </x:row>
    <x:row r="29">
      <x:c r="A29" s="14" t="str">
        <x:v>DA03</x:v>
      </x:c>
      <x:c r="B29" s="14" t="str">
        <x:v>CK04</x:v>
      </x:c>
      <x:c r="C29" s="14" t="str">
        <x:v>GPMB, giao/thuê/chuyển mục đích, GCN QSDĐ</x:v>
      </x:c>
      <x:c r="D29" s="14" t="str">
        <x:v>Đất đai</x:v>
      </x:c>
      <x:c r="E29" s="14" t="str">
        <x:v>Hồ sơ chính</x:v>
      </x:c>
      <x:c r="F29" s="14" t="str">
        <x:v>Hoàn thành</x:v>
      </x:c>
      <x:c r="G29" s="14" t="str">
        <x:v>Pháp chế/Phát triển dự án</x:v>
      </x:c>
      <x:c r="H29" s="14"/>
      <x:c r="I29" s="14"/>
      <x:c r="J29" s="14"/>
      <x:c r="K29" s="14" t="n">
        <x:v>0</x:v>
      </x:c>
      <x:c r="L29" s="14" t="str"/>
      <x:c r="M29" s="14" t="str">
        <x:v>Kho nội bộ/SharePoint/Drive</x:v>
      </x:c>
      <x:c r="N29" s="14" t="str">
        <x:v>Rất cao</x:v>
      </x:c>
    </x:row>
    <x:row r="30">
      <x:c r="A30" s="14" t="str">
        <x:v>DA03</x:v>
      </x:c>
      <x:c r="B30" s="14" t="str">
        <x:v>CK05</x:v>
      </x:c>
      <x:c r="C30" s="14" t="str">
        <x:v>Xác định và hoàn thành nghĩa vụ tài chính đất</x:v>
      </x:c>
      <x:c r="D30" s="14" t="str">
        <x:v>Tài chính đất</x:v>
      </x:c>
      <x:c r="E30" s="14" t="str">
        <x:v>Hồ sơ chính</x:v>
      </x:c>
      <x:c r="F30" s="14" t="str">
        <x:v>Hoàn thành</x:v>
      </x:c>
      <x:c r="G30" s="14" t="str">
        <x:v>Pháp chế/Phát triển dự án</x:v>
      </x:c>
      <x:c r="H30" s="14"/>
      <x:c r="I30" s="14"/>
      <x:c r="J30" s="14"/>
      <x:c r="K30" s="14" t="n">
        <x:v>0</x:v>
      </x:c>
      <x:c r="L30" s="14" t="str"/>
      <x:c r="M30" s="14" t="str">
        <x:v>Kho nội bộ/SharePoint/Drive</x:v>
      </x:c>
      <x:c r="N30" s="14" t="str">
        <x:v>Rất cao</x:v>
      </x:c>
    </x:row>
    <x:row r="31">
      <x:c r="A31" s="14" t="str">
        <x:v>DA03</x:v>
      </x:c>
      <x:c r="B31" s="14" t="str">
        <x:v>CK06</x:v>
      </x:c>
      <x:c r="C31" s="14" t="str">
        <x:v>ĐTM/Giấy phép môi trường theo đối tượng áp dụng</x:v>
      </x:c>
      <x:c r="D31" s="14" t="str">
        <x:v>Môi trường</x:v>
      </x:c>
      <x:c r="E31" s="14" t="str">
        <x:v>Hồ sơ chính</x:v>
      </x:c>
      <x:c r="F31" s="14" t="str">
        <x:v>Hoàn thành</x:v>
      </x:c>
      <x:c r="G31" s="14" t="str">
        <x:v>Pháp chế/Phát triển dự án</x:v>
      </x:c>
      <x:c r="H31" s="14"/>
      <x:c r="I31" s="14"/>
      <x:c r="J31" s="14"/>
      <x:c r="K31" s="14" t="n">
        <x:v>0</x:v>
      </x:c>
      <x:c r="L31" s="14" t="str"/>
      <x:c r="M31" s="14" t="str">
        <x:v>Kho nội bộ/SharePoint/Drive</x:v>
      </x:c>
      <x:c r="N31" s="14" t="str">
        <x:v>Cao</x:v>
      </x:c>
    </x:row>
    <x:row r="32">
      <x:c r="A32" s="14" t="str">
        <x:v>DA03</x:v>
      </x:c>
      <x:c r="B32" s="14" t="str">
        <x:v>CK07</x:v>
      </x:c>
      <x:c r="C32" s="14" t="str">
        <x:v>Thẩm định thiết kế, PCCC theo đối tượng áp dụng</x:v>
      </x:c>
      <x:c r="D32" s="14" t="str">
        <x:v>Thiết kế &amp; PCCC</x:v>
      </x:c>
      <x:c r="E32" s="14" t="str">
        <x:v>Hồ sơ chính</x:v>
      </x:c>
      <x:c r="F32" s="14" t="str">
        <x:v>Hoàn thành</x:v>
      </x:c>
      <x:c r="G32" s="14" t="str">
        <x:v>Pháp chế/Phát triển dự án</x:v>
      </x:c>
      <x:c r="H32" s="14"/>
      <x:c r="I32" s="14"/>
      <x:c r="J32" s="14"/>
      <x:c r="K32" s="14" t="n">
        <x:v>0</x:v>
      </x:c>
      <x:c r="L32" s="14" t="str"/>
      <x:c r="M32" s="14" t="str">
        <x:v>Kho nội bộ/SharePoint/Drive</x:v>
      </x:c>
      <x:c r="N32" s="14" t="str">
        <x:v>Cao</x:v>
      </x:c>
    </x:row>
    <x:row r="33">
      <x:c r="A33" s="14" t="str">
        <x:v>DA03</x:v>
      </x:c>
      <x:c r="B33" s="14" t="str">
        <x:v>CK08</x:v>
      </x:c>
      <x:c r="C33" s="14" t="str">
        <x:v>GPXD/điều kiện khởi công theo trường hợp áp dụng</x:v>
      </x:c>
      <x:c r="D33" s="14" t="str">
        <x:v>Xây dựng</x:v>
      </x:c>
      <x:c r="E33" s="14" t="str">
        <x:v>Hồ sơ chính</x:v>
      </x:c>
      <x:c r="F33" s="14" t="str">
        <x:v>Hoàn thành</x:v>
      </x:c>
      <x:c r="G33" s="14" t="str">
        <x:v>Pháp chế/Phát triển dự án</x:v>
      </x:c>
      <x:c r="H33" s="14"/>
      <x:c r="I33" s="14"/>
      <x:c r="J33" s="14"/>
      <x:c r="K33" s="14" t="n">
        <x:v>0</x:v>
      </x:c>
      <x:c r="L33" s="14" t="str"/>
      <x:c r="M33" s="14" t="str">
        <x:v>Kho nội bộ/SharePoint/Drive</x:v>
      </x:c>
      <x:c r="N33" s="14" t="str">
        <x:v>Rất cao</x:v>
      </x:c>
    </x:row>
    <x:row r="34">
      <x:c r="A34" s="14" t="str">
        <x:v>DA03</x:v>
      </x:c>
      <x:c r="B34" s="14" t="str">
        <x:v>CK09</x:v>
      </x:c>
      <x:c r="C34" s="14" t="str">
        <x:v>Điều kiện đưa sản phẩm vào kinh doanh/mở bán</x:v>
      </x:c>
      <x:c r="D34" s="14" t="str">
        <x:v>Kinh doanh BĐS</x:v>
      </x:c>
      <x:c r="E34" s="14" t="str">
        <x:v>Hồ sơ chính</x:v>
      </x:c>
      <x:c r="F34" s="14" t="str">
        <x:v>Hoàn thành</x:v>
      </x:c>
      <x:c r="G34" s="14" t="str">
        <x:v>Pháp chế/Phát triển dự án</x:v>
      </x:c>
      <x:c r="H34" s="14"/>
      <x:c r="I34" s="14"/>
      <x:c r="J34" s="14"/>
      <x:c r="K34" s="14" t="n">
        <x:v>0</x:v>
      </x:c>
      <x:c r="L34" s="14" t="str"/>
      <x:c r="M34" s="14" t="str">
        <x:v>Kho nội bộ/SharePoint/Drive</x:v>
      </x:c>
      <x:c r="N34" s="14" t="str">
        <x:v>Rất cao</x:v>
      </x:c>
    </x:row>
    <x:row r="35">
      <x:c r="A35" s="14" t="str">
        <x:v>DA03</x:v>
      </x:c>
      <x:c r="B35" s="14" t="str">
        <x:v>CK10</x:v>
      </x:c>
      <x:c r="C35" s="14" t="str">
        <x:v>Nghiệm thu, vận hành, bàn giao</x:v>
      </x:c>
      <x:c r="D35" s="14" t="str">
        <x:v>Bàn giao</x:v>
      </x:c>
      <x:c r="E35" s="14" t="str">
        <x:v>Hồ sơ chính</x:v>
      </x:c>
      <x:c r="F35" s="14" t="str">
        <x:v>Hoàn thành</x:v>
      </x:c>
      <x:c r="G35" s="14" t="str">
        <x:v>Pháp chế/Phát triển dự án</x:v>
      </x:c>
      <x:c r="H35" s="14"/>
      <x:c r="I35" s="14"/>
      <x:c r="J35" s="14"/>
      <x:c r="K35" s="14" t="n">
        <x:v>0</x:v>
      </x:c>
      <x:c r="L35" s="14" t="str"/>
      <x:c r="M35" s="14" t="str">
        <x:v>Kho nội bộ/SharePoint/Drive</x:v>
      </x:c>
      <x:c r="N35" s="14" t="str">
        <x:v>Cao</x:v>
      </x:c>
    </x:row>
    <x:row r="36">
      <x:c r="A36" s="14" t="str">
        <x:v>DA03</x:v>
      </x:c>
      <x:c r="B36" s="14" t="str">
        <x:v>CK11</x:v>
      </x:c>
      <x:c r="C36" s="14" t="str">
        <x:v>Hồ sơ cấp GCN cho người mua</x:v>
      </x:c>
      <x:c r="D36" s="14" t="str">
        <x:v>GCN khách hàng</x:v>
      </x:c>
      <x:c r="E36" s="14" t="str">
        <x:v>Hồ sơ chính</x:v>
      </x:c>
      <x:c r="F36" s="14" t="str">
        <x:v>Đang thực hiện</x:v>
      </x:c>
      <x:c r="G36" s="14" t="str">
        <x:v>Pháp chế/Phát triển dự án</x:v>
      </x:c>
      <x:c r="H36" s="14"/>
      <x:c r="I36" s="14"/>
      <x:c r="J36" s="14"/>
      <x:c r="K36" s="14" t="n">
        <x:v>0</x:v>
      </x:c>
      <x:c r="L36" s="14" t="str"/>
      <x:c r="M36" s="14" t="str">
        <x:v>Kho nội bộ/SharePoint/Drive</x:v>
      </x:c>
      <x:c r="N36" s="14" t="str">
        <x:v>Cao</x:v>
      </x:c>
    </x:row>
    <x:row r="37">
      <x:c r="A37" s="14" t="str">
        <x:v>DA04</x:v>
      </x:c>
      <x:c r="B37" s="14" t="str">
        <x:v>CK01</x:v>
      </x:c>
      <x:c r="C37" s="14" t="str">
        <x:v>Rà soát nguồn gốc/quyền sử dụng đất</x:v>
      </x:c>
      <x:c r="D37" s="14" t="str">
        <x:v>Tiền đầu tư &amp; quỹ đất</x:v>
      </x:c>
      <x:c r="E37" s="14" t="str">
        <x:v>Hồ sơ chính</x:v>
      </x:c>
      <x:c r="F37" s="14" t="str">
        <x:v>Hoàn thành</x:v>
      </x:c>
      <x:c r="G37" s="14" t="str">
        <x:v>Pháp chế/Phát triển dự án</x:v>
      </x:c>
      <x:c r="H37" s="14"/>
      <x:c r="I37" s="14"/>
      <x:c r="J37" s="14"/>
      <x:c r="K37" s="14" t="n">
        <x:v>0</x:v>
      </x:c>
      <x:c r="L37" s="14" t="str"/>
      <x:c r="M37" s="14" t="str">
        <x:v>Kho nội bộ/SharePoint/Drive</x:v>
      </x:c>
      <x:c r="N37" s="14" t="str">
        <x:v>Rất cao</x:v>
      </x:c>
    </x:row>
    <x:row r="38">
      <x:c r="A38" s="14" t="str">
        <x:v>DA04</x:v>
      </x:c>
      <x:c r="B38" s="14" t="str">
        <x:v>CK02</x:v>
      </x:c>
      <x:c r="C38" s="14" t="str">
        <x:v>Chấp thuận/chủ trương đầu tư, lựa chọn NĐT nếu áp dụng</x:v>
      </x:c>
      <x:c r="D38" s="14" t="str">
        <x:v>Đầu tư</x:v>
      </x:c>
      <x:c r="E38" s="14" t="str">
        <x:v>Hồ sơ chính</x:v>
      </x:c>
      <x:c r="F38" s="14" t="str">
        <x:v>Hoàn thành</x:v>
      </x:c>
      <x:c r="G38" s="14" t="str">
        <x:v>Pháp chế/Phát triển dự án</x:v>
      </x:c>
      <x:c r="H38" s="14"/>
      <x:c r="I38" s="14"/>
      <x:c r="J38" s="14"/>
      <x:c r="K38" s="14" t="n">
        <x:v>0</x:v>
      </x:c>
      <x:c r="L38" s="14" t="str"/>
      <x:c r="M38" s="14" t="str">
        <x:v>Kho nội bộ/SharePoint/Drive</x:v>
      </x:c>
      <x:c r="N38" s="14" t="str">
        <x:v>Rất cao</x:v>
      </x:c>
    </x:row>
    <x:row r="39">
      <x:c r="A39" s="14" t="str">
        <x:v>DA04</x:v>
      </x:c>
      <x:c r="B39" s="14" t="str">
        <x:v>CK03</x:v>
      </x:c>
      <x:c r="C39" s="14" t="str">
        <x:v>Quy hoạch chi tiết và chỉ tiêu quy hoạch</x:v>
      </x:c>
      <x:c r="D39" s="14" t="str">
        <x:v>Quy hoạch</x:v>
      </x:c>
      <x:c r="E39" s="14" t="str">
        <x:v>Hồ sơ chính</x:v>
      </x:c>
      <x:c r="F39" s="14" t="str">
        <x:v>Hoàn thành</x:v>
      </x:c>
      <x:c r="G39" s="14" t="str">
        <x:v>Pháp chế/Phát triển dự án</x:v>
      </x:c>
      <x:c r="H39" s="14"/>
      <x:c r="I39" s="14"/>
      <x:c r="J39" s="14"/>
      <x:c r="K39" s="14" t="n">
        <x:v>0</x:v>
      </x:c>
      <x:c r="L39" s="14" t="str"/>
      <x:c r="M39" s="14" t="str">
        <x:v>Kho nội bộ/SharePoint/Drive</x:v>
      </x:c>
      <x:c r="N39" s="14" t="str">
        <x:v>Rất cao</x:v>
      </x:c>
    </x:row>
    <x:row r="40">
      <x:c r="A40" s="14" t="str">
        <x:v>DA04</x:v>
      </x:c>
      <x:c r="B40" s="14" t="str">
        <x:v>CK04</x:v>
      </x:c>
      <x:c r="C40" s="14" t="str">
        <x:v>GPMB, giao/thuê/chuyển mục đích, GCN QSDĐ</x:v>
      </x:c>
      <x:c r="D40" s="14" t="str">
        <x:v>Đất đai</x:v>
      </x:c>
      <x:c r="E40" s="14" t="str">
        <x:v>Hồ sơ chính</x:v>
      </x:c>
      <x:c r="F40" s="14" t="str">
        <x:v>Hoàn thành</x:v>
      </x:c>
      <x:c r="G40" s="14" t="str">
        <x:v>Pháp chế/Phát triển dự án</x:v>
      </x:c>
      <x:c r="H40" s="14"/>
      <x:c r="I40" s="14"/>
      <x:c r="J40" s="14"/>
      <x:c r="K40" s="14" t="n">
        <x:v>0</x:v>
      </x:c>
      <x:c r="L40" s="14" t="str"/>
      <x:c r="M40" s="14" t="str">
        <x:v>Kho nội bộ/SharePoint/Drive</x:v>
      </x:c>
      <x:c r="N40" s="14" t="str">
        <x:v>Rất cao</x:v>
      </x:c>
    </x:row>
    <x:row r="41">
      <x:c r="A41" s="14" t="str">
        <x:v>DA04</x:v>
      </x:c>
      <x:c r="B41" s="14" t="str">
        <x:v>CK05</x:v>
      </x:c>
      <x:c r="C41" s="14" t="str">
        <x:v>Xác định và hoàn thành nghĩa vụ tài chính đất</x:v>
      </x:c>
      <x:c r="D41" s="14" t="str">
        <x:v>Tài chính đất</x:v>
      </x:c>
      <x:c r="E41" s="14" t="str">
        <x:v>Hồ sơ chính</x:v>
      </x:c>
      <x:c r="F41" s="14" t="str">
        <x:v>Hoàn thành</x:v>
      </x:c>
      <x:c r="G41" s="14" t="str">
        <x:v>Pháp chế/Phát triển dự án</x:v>
      </x:c>
      <x:c r="H41" s="14"/>
      <x:c r="I41" s="14"/>
      <x:c r="J41" s="14"/>
      <x:c r="K41" s="14" t="n">
        <x:v>0</x:v>
      </x:c>
      <x:c r="L41" s="14" t="str"/>
      <x:c r="M41" s="14" t="str">
        <x:v>Kho nội bộ/SharePoint/Drive</x:v>
      </x:c>
      <x:c r="N41" s="14" t="str">
        <x:v>Rất cao</x:v>
      </x:c>
    </x:row>
    <x:row r="42">
      <x:c r="A42" s="14" t="str">
        <x:v>DA04</x:v>
      </x:c>
      <x:c r="B42" s="14" t="str">
        <x:v>CK06</x:v>
      </x:c>
      <x:c r="C42" s="14" t="str">
        <x:v>ĐTM/Giấy phép môi trường theo đối tượng áp dụng</x:v>
      </x:c>
      <x:c r="D42" s="14" t="str">
        <x:v>Môi trường</x:v>
      </x:c>
      <x:c r="E42" s="14" t="str">
        <x:v>Hồ sơ chính</x:v>
      </x:c>
      <x:c r="F42" s="14" t="str">
        <x:v>Hoàn thành</x:v>
      </x:c>
      <x:c r="G42" s="14" t="str">
        <x:v>Pháp chế/Phát triển dự án</x:v>
      </x:c>
      <x:c r="H42" s="14"/>
      <x:c r="I42" s="14"/>
      <x:c r="J42" s="14"/>
      <x:c r="K42" s="14" t="n">
        <x:v>0</x:v>
      </x:c>
      <x:c r="L42" s="14" t="str"/>
      <x:c r="M42" s="14" t="str">
        <x:v>Kho nội bộ/SharePoint/Drive</x:v>
      </x:c>
      <x:c r="N42" s="14" t="str">
        <x:v>Cao</x:v>
      </x:c>
    </x:row>
    <x:row r="43">
      <x:c r="A43" s="14" t="str">
        <x:v>DA04</x:v>
      </x:c>
      <x:c r="B43" s="14" t="str">
        <x:v>CK07</x:v>
      </x:c>
      <x:c r="C43" s="14" t="str">
        <x:v>Thẩm định thiết kế, PCCC theo đối tượng áp dụng</x:v>
      </x:c>
      <x:c r="D43" s="14" t="str">
        <x:v>Thiết kế &amp; PCCC</x:v>
      </x:c>
      <x:c r="E43" s="14" t="str">
        <x:v>Hồ sơ chính</x:v>
      </x:c>
      <x:c r="F43" s="14" t="str">
        <x:v>Hoàn thành</x:v>
      </x:c>
      <x:c r="G43" s="14" t="str">
        <x:v>Pháp chế/Phát triển dự án</x:v>
      </x:c>
      <x:c r="H43" s="14"/>
      <x:c r="I43" s="14"/>
      <x:c r="J43" s="14"/>
      <x:c r="K43" s="14" t="n">
        <x:v>0</x:v>
      </x:c>
      <x:c r="L43" s="14" t="str"/>
      <x:c r="M43" s="14" t="str">
        <x:v>Kho nội bộ/SharePoint/Drive</x:v>
      </x:c>
      <x:c r="N43" s="14" t="str">
        <x:v>Cao</x:v>
      </x:c>
    </x:row>
    <x:row r="44">
      <x:c r="A44" s="14" t="str">
        <x:v>DA04</x:v>
      </x:c>
      <x:c r="B44" s="14" t="str">
        <x:v>CK08</x:v>
      </x:c>
      <x:c r="C44" s="14" t="str">
        <x:v>GPXD/điều kiện khởi công theo trường hợp áp dụng</x:v>
      </x:c>
      <x:c r="D44" s="14" t="str">
        <x:v>Xây dựng</x:v>
      </x:c>
      <x:c r="E44" s="14" t="str">
        <x:v>Hồ sơ chính</x:v>
      </x:c>
      <x:c r="F44" s="14" t="str">
        <x:v>Hoàn thành</x:v>
      </x:c>
      <x:c r="G44" s="14" t="str">
        <x:v>Pháp chế/Phát triển dự án</x:v>
      </x:c>
      <x:c r="H44" s="14"/>
      <x:c r="I44" s="14"/>
      <x:c r="J44" s="14"/>
      <x:c r="K44" s="14" t="n">
        <x:v>0</x:v>
      </x:c>
      <x:c r="L44" s="14" t="str"/>
      <x:c r="M44" s="14" t="str">
        <x:v>Kho nội bộ/SharePoint/Drive</x:v>
      </x:c>
      <x:c r="N44" s="14" t="str">
        <x:v>Rất cao</x:v>
      </x:c>
    </x:row>
    <x:row r="45">
      <x:c r="A45" s="14" t="str">
        <x:v>DA04</x:v>
      </x:c>
      <x:c r="B45" s="14" t="str">
        <x:v>CK09</x:v>
      </x:c>
      <x:c r="C45" s="14" t="str">
        <x:v>Điều kiện đưa sản phẩm vào kinh doanh/mở bán</x:v>
      </x:c>
      <x:c r="D45" s="14" t="str">
        <x:v>Kinh doanh BĐS</x:v>
      </x:c>
      <x:c r="E45" s="14" t="str">
        <x:v>Hồ sơ chính</x:v>
      </x:c>
      <x:c r="F45" s="14" t="str">
        <x:v>Hoàn thành</x:v>
      </x:c>
      <x:c r="G45" s="14" t="str">
        <x:v>Pháp chế/Phát triển dự án</x:v>
      </x:c>
      <x:c r="H45" s="14"/>
      <x:c r="I45" s="14"/>
      <x:c r="J45" s="14"/>
      <x:c r="K45" s="14" t="n">
        <x:v>0</x:v>
      </x:c>
      <x:c r="L45" s="14" t="str"/>
      <x:c r="M45" s="14" t="str">
        <x:v>Kho nội bộ/SharePoint/Drive</x:v>
      </x:c>
      <x:c r="N45" s="14" t="str">
        <x:v>Rất cao</x:v>
      </x:c>
    </x:row>
    <x:row r="46">
      <x:c r="A46" s="14" t="str">
        <x:v>DA04</x:v>
      </x:c>
      <x:c r="B46" s="14" t="str">
        <x:v>CK10</x:v>
      </x:c>
      <x:c r="C46" s="14" t="str">
        <x:v>Nghiệm thu, vận hành, bàn giao</x:v>
      </x:c>
      <x:c r="D46" s="14" t="str">
        <x:v>Bàn giao</x:v>
      </x:c>
      <x:c r="E46" s="14" t="str">
        <x:v>Hồ sơ chính</x:v>
      </x:c>
      <x:c r="F46" s="14" t="str">
        <x:v>Hoàn thành</x:v>
      </x:c>
      <x:c r="G46" s="14" t="str">
        <x:v>Pháp chế/Phát triển dự án</x:v>
      </x:c>
      <x:c r="H46" s="14"/>
      <x:c r="I46" s="14"/>
      <x:c r="J46" s="14"/>
      <x:c r="K46" s="14" t="n">
        <x:v>0</x:v>
      </x:c>
      <x:c r="L46" s="14" t="str"/>
      <x:c r="M46" s="14" t="str">
        <x:v>Kho nội bộ/SharePoint/Drive</x:v>
      </x:c>
      <x:c r="N46" s="14" t="str">
        <x:v>Cao</x:v>
      </x:c>
    </x:row>
    <x:row r="47">
      <x:c r="A47" s="14" t="str">
        <x:v>DA04</x:v>
      </x:c>
      <x:c r="B47" s="14" t="str">
        <x:v>CK11</x:v>
      </x:c>
      <x:c r="C47" s="14" t="str">
        <x:v>Hồ sơ cấp GCN cho người mua</x:v>
      </x:c>
      <x:c r="D47" s="14" t="str">
        <x:v>GCN khách hàng</x:v>
      </x:c>
      <x:c r="E47" s="14" t="str">
        <x:v>Hồ sơ chính</x:v>
      </x:c>
      <x:c r="F47" s="14" t="str">
        <x:v>Hoàn thành</x:v>
      </x:c>
      <x:c r="G47" s="14" t="str">
        <x:v>Pháp chế/Phát triển dự án</x:v>
      </x:c>
      <x:c r="H47" s="14"/>
      <x:c r="I47" s="14"/>
      <x:c r="J47" s="14"/>
      <x:c r="K47" s="14" t="n">
        <x:v>0</x:v>
      </x:c>
      <x:c r="L47" s="14" t="str"/>
      <x:c r="M47" s="14" t="str">
        <x:v>Kho nội bộ/SharePoint/Drive</x:v>
      </x:c>
      <x:c r="N47" s="14" t="str">
        <x:v>Cao</x:v>
      </x:c>
    </x:row>
    <x:row r="48">
      <x:c r="A48" s="14" t="str">
        <x:v>DA05</x:v>
      </x:c>
      <x:c r="B48" s="14" t="str">
        <x:v>CK01</x:v>
      </x:c>
      <x:c r="C48" s="14" t="str">
        <x:v>Rà soát nguồn gốc/quyền sử dụng đất</x:v>
      </x:c>
      <x:c r="D48" s="14" t="str">
        <x:v>Tiền đầu tư &amp; quỹ đất</x:v>
      </x:c>
      <x:c r="E48" s="14" t="str">
        <x:v>Hồ sơ chính</x:v>
      </x:c>
      <x:c r="F48" s="14" t="str">
        <x:v>Hoàn thành</x:v>
      </x:c>
      <x:c r="G48" s="14" t="str">
        <x:v>Pháp chế/Phát triển dự án</x:v>
      </x:c>
      <x:c r="H48" s="14"/>
      <x:c r="I48" s="14"/>
      <x:c r="J48" s="14"/>
      <x:c r="K48" s="14" t="n">
        <x:v>0</x:v>
      </x:c>
      <x:c r="L48" s="14" t="str"/>
      <x:c r="M48" s="14" t="str">
        <x:v>Kho nội bộ/SharePoint/Drive</x:v>
      </x:c>
      <x:c r="N48" s="14" t="str">
        <x:v>Rất cao</x:v>
      </x:c>
    </x:row>
    <x:row r="49">
      <x:c r="A49" s="14" t="str">
        <x:v>DA05</x:v>
      </x:c>
      <x:c r="B49" s="14" t="str">
        <x:v>CK02</x:v>
      </x:c>
      <x:c r="C49" s="14" t="str">
        <x:v>Chấp thuận/chủ trương đầu tư, lựa chọn NĐT nếu áp dụng</x:v>
      </x:c>
      <x:c r="D49" s="14" t="str">
        <x:v>Đầu tư</x:v>
      </x:c>
      <x:c r="E49" s="14" t="str">
        <x:v>Hồ sơ chính</x:v>
      </x:c>
      <x:c r="F49" s="14" t="str">
        <x:v>Hoàn thành</x:v>
      </x:c>
      <x:c r="G49" s="14" t="str">
        <x:v>Pháp chế/Phát triển dự án</x:v>
      </x:c>
      <x:c r="H49" s="14"/>
      <x:c r="I49" s="14"/>
      <x:c r="J49" s="14"/>
      <x:c r="K49" s="14" t="n">
        <x:v>0</x:v>
      </x:c>
      <x:c r="L49" s="14" t="str"/>
      <x:c r="M49" s="14" t="str">
        <x:v>Kho nội bộ/SharePoint/Drive</x:v>
      </x:c>
      <x:c r="N49" s="14" t="str">
        <x:v>Rất cao</x:v>
      </x:c>
    </x:row>
    <x:row r="50">
      <x:c r="A50" s="14" t="str">
        <x:v>DA05</x:v>
      </x:c>
      <x:c r="B50" s="14" t="str">
        <x:v>CK03</x:v>
      </x:c>
      <x:c r="C50" s="14" t="str">
        <x:v>Quy hoạch chi tiết và chỉ tiêu quy hoạch</x:v>
      </x:c>
      <x:c r="D50" s="14" t="str">
        <x:v>Quy hoạch</x:v>
      </x:c>
      <x:c r="E50" s="14" t="str">
        <x:v>Hồ sơ chính</x:v>
      </x:c>
      <x:c r="F50" s="14" t="str">
        <x:v>Hoàn thành</x:v>
      </x:c>
      <x:c r="G50" s="14" t="str">
        <x:v>Pháp chế/Phát triển dự án</x:v>
      </x:c>
      <x:c r="H50" s="14"/>
      <x:c r="I50" s="14"/>
      <x:c r="J50" s="14"/>
      <x:c r="K50" s="14" t="n">
        <x:v>0</x:v>
      </x:c>
      <x:c r="L50" s="14" t="str"/>
      <x:c r="M50" s="14" t="str">
        <x:v>Kho nội bộ/SharePoint/Drive</x:v>
      </x:c>
      <x:c r="N50" s="14" t="str">
        <x:v>Rất cao</x:v>
      </x:c>
    </x:row>
    <x:row r="51">
      <x:c r="A51" s="14" t="str">
        <x:v>DA05</x:v>
      </x:c>
      <x:c r="B51" s="14" t="str">
        <x:v>CK04</x:v>
      </x:c>
      <x:c r="C51" s="14" t="str">
        <x:v>GPMB, giao/thuê/chuyển mục đích, GCN QSDĐ</x:v>
      </x:c>
      <x:c r="D51" s="14" t="str">
        <x:v>Đất đai</x:v>
      </x:c>
      <x:c r="E51" s="14" t="str">
        <x:v>Hồ sơ chính</x:v>
      </x:c>
      <x:c r="F51" s="14" t="str">
        <x:v>Hoàn thành</x:v>
      </x:c>
      <x:c r="G51" s="14" t="str">
        <x:v>Pháp chế/Phát triển dự án</x:v>
      </x:c>
      <x:c r="H51" s="14"/>
      <x:c r="I51" s="14"/>
      <x:c r="J51" s="14"/>
      <x:c r="K51" s="14" t="n">
        <x:v>0</x:v>
      </x:c>
      <x:c r="L51" s="14" t="str"/>
      <x:c r="M51" s="14" t="str">
        <x:v>Kho nội bộ/SharePoint/Drive</x:v>
      </x:c>
      <x:c r="N51" s="14" t="str">
        <x:v>Rất cao</x:v>
      </x:c>
    </x:row>
    <x:row r="52">
      <x:c r="A52" s="14" t="str">
        <x:v>DA05</x:v>
      </x:c>
      <x:c r="B52" s="14" t="str">
        <x:v>CK05</x:v>
      </x:c>
      <x:c r="C52" s="14" t="str">
        <x:v>Xác định và hoàn thành nghĩa vụ tài chính đất</x:v>
      </x:c>
      <x:c r="D52" s="14" t="str">
        <x:v>Tài chính đất</x:v>
      </x:c>
      <x:c r="E52" s="14" t="str">
        <x:v>Hồ sơ chính</x:v>
      </x:c>
      <x:c r="F52" s="14" t="str">
        <x:v>Hoàn thành</x:v>
      </x:c>
      <x:c r="G52" s="14" t="str">
        <x:v>Pháp chế/Phát triển dự án</x:v>
      </x:c>
      <x:c r="H52" s="14"/>
      <x:c r="I52" s="14"/>
      <x:c r="J52" s="14"/>
      <x:c r="K52" s="14" t="n">
        <x:v>0</x:v>
      </x:c>
      <x:c r="L52" s="14" t="str"/>
      <x:c r="M52" s="14" t="str">
        <x:v>Kho nội bộ/SharePoint/Drive</x:v>
      </x:c>
      <x:c r="N52" s="14" t="str">
        <x:v>Rất cao</x:v>
      </x:c>
    </x:row>
    <x:row r="53">
      <x:c r="A53" s="14" t="str">
        <x:v>DA05</x:v>
      </x:c>
      <x:c r="B53" s="14" t="str">
        <x:v>CK06</x:v>
      </x:c>
      <x:c r="C53" s="14" t="str">
        <x:v>ĐTM/Giấy phép môi trường theo đối tượng áp dụng</x:v>
      </x:c>
      <x:c r="D53" s="14" t="str">
        <x:v>Môi trường</x:v>
      </x:c>
      <x:c r="E53" s="14" t="str">
        <x:v>Hồ sơ chính</x:v>
      </x:c>
      <x:c r="F53" s="14" t="str">
        <x:v>Hoàn thành</x:v>
      </x:c>
      <x:c r="G53" s="14" t="str">
        <x:v>Pháp chế/Phát triển dự án</x:v>
      </x:c>
      <x:c r="H53" s="14"/>
      <x:c r="I53" s="14"/>
      <x:c r="J53" s="14"/>
      <x:c r="K53" s="14" t="n">
        <x:v>0</x:v>
      </x:c>
      <x:c r="L53" s="14" t="str"/>
      <x:c r="M53" s="14" t="str">
        <x:v>Kho nội bộ/SharePoint/Drive</x:v>
      </x:c>
      <x:c r="N53" s="14" t="str">
        <x:v>Cao</x:v>
      </x:c>
    </x:row>
    <x:row r="54">
      <x:c r="A54" s="14" t="str">
        <x:v>DA05</x:v>
      </x:c>
      <x:c r="B54" s="14" t="str">
        <x:v>CK07</x:v>
      </x:c>
      <x:c r="C54" s="14" t="str">
        <x:v>Thẩm định thiết kế, PCCC theo đối tượng áp dụng</x:v>
      </x:c>
      <x:c r="D54" s="14" t="str">
        <x:v>Thiết kế &amp; PCCC</x:v>
      </x:c>
      <x:c r="E54" s="14" t="str">
        <x:v>Hồ sơ chính</x:v>
      </x:c>
      <x:c r="F54" s="14" t="str">
        <x:v>Hoàn thành</x:v>
      </x:c>
      <x:c r="G54" s="14" t="str">
        <x:v>Pháp chế/Phát triển dự án</x:v>
      </x:c>
      <x:c r="H54" s="14"/>
      <x:c r="I54" s="14"/>
      <x:c r="J54" s="14"/>
      <x:c r="K54" s="14" t="n">
        <x:v>0</x:v>
      </x:c>
      <x:c r="L54" s="14" t="str"/>
      <x:c r="M54" s="14" t="str">
        <x:v>Kho nội bộ/SharePoint/Drive</x:v>
      </x:c>
      <x:c r="N54" s="14" t="str">
        <x:v>Cao</x:v>
      </x:c>
    </x:row>
    <x:row r="55">
      <x:c r="A55" s="14" t="str">
        <x:v>DA05</x:v>
      </x:c>
      <x:c r="B55" s="14" t="str">
        <x:v>CK08</x:v>
      </x:c>
      <x:c r="C55" s="14" t="str">
        <x:v>GPXD/điều kiện khởi công theo trường hợp áp dụng</x:v>
      </x:c>
      <x:c r="D55" s="14" t="str">
        <x:v>Xây dựng</x:v>
      </x:c>
      <x:c r="E55" s="14" t="str">
        <x:v>Hồ sơ chính</x:v>
      </x:c>
      <x:c r="F55" s="14" t="str">
        <x:v>Hoàn thành</x:v>
      </x:c>
      <x:c r="G55" s="14" t="str">
        <x:v>Pháp chế/Phát triển dự án</x:v>
      </x:c>
      <x:c r="H55" s="14"/>
      <x:c r="I55" s="14"/>
      <x:c r="J55" s="14"/>
      <x:c r="K55" s="14" t="n">
        <x:v>0</x:v>
      </x:c>
      <x:c r="L55" s="14" t="str"/>
      <x:c r="M55" s="14" t="str">
        <x:v>Kho nội bộ/SharePoint/Drive</x:v>
      </x:c>
      <x:c r="N55" s="14" t="str">
        <x:v>Rất cao</x:v>
      </x:c>
    </x:row>
    <x:row r="56">
      <x:c r="A56" s="14" t="str">
        <x:v>DA05</x:v>
      </x:c>
      <x:c r="B56" s="14" t="str">
        <x:v>CK09</x:v>
      </x:c>
      <x:c r="C56" s="14" t="str">
        <x:v>Điều kiện đưa sản phẩm vào kinh doanh/mở bán</x:v>
      </x:c>
      <x:c r="D56" s="14" t="str">
        <x:v>Kinh doanh BĐS</x:v>
      </x:c>
      <x:c r="E56" s="14" t="str">
        <x:v>Hồ sơ chính</x:v>
      </x:c>
      <x:c r="F56" s="14" t="str">
        <x:v>Hoàn thành</x:v>
      </x:c>
      <x:c r="G56" s="14" t="str">
        <x:v>Pháp chế/Phát triển dự án</x:v>
      </x:c>
      <x:c r="H56" s="14"/>
      <x:c r="I56" s="14"/>
      <x:c r="J56" s="14"/>
      <x:c r="K56" s="14" t="n">
        <x:v>0</x:v>
      </x:c>
      <x:c r="L56" s="14" t="str"/>
      <x:c r="M56" s="14" t="str">
        <x:v>Kho nội bộ/SharePoint/Drive</x:v>
      </x:c>
      <x:c r="N56" s="14" t="str">
        <x:v>Rất cao</x:v>
      </x:c>
    </x:row>
    <x:row r="57">
      <x:c r="A57" s="14" t="str">
        <x:v>DA05</x:v>
      </x:c>
      <x:c r="B57" s="14" t="str">
        <x:v>CK10</x:v>
      </x:c>
      <x:c r="C57" s="14" t="str">
        <x:v>Nghiệm thu, vận hành, bàn giao</x:v>
      </x:c>
      <x:c r="D57" s="14" t="str">
        <x:v>Bàn giao</x:v>
      </x:c>
      <x:c r="E57" s="14" t="str">
        <x:v>Hồ sơ chính</x:v>
      </x:c>
      <x:c r="F57" s="14" t="str">
        <x:v>Hoàn thành</x:v>
      </x:c>
      <x:c r="G57" s="14" t="str">
        <x:v>Pháp chế/Phát triển dự án</x:v>
      </x:c>
      <x:c r="H57" s="14"/>
      <x:c r="I57" s="14"/>
      <x:c r="J57" s="14"/>
      <x:c r="K57" s="14" t="n">
        <x:v>0</x:v>
      </x:c>
      <x:c r="L57" s="14" t="str"/>
      <x:c r="M57" s="14" t="str">
        <x:v>Kho nội bộ/SharePoint/Drive</x:v>
      </x:c>
      <x:c r="N57" s="14" t="str">
        <x:v>Cao</x:v>
      </x:c>
    </x:row>
    <x:row r="58">
      <x:c r="A58" s="14" t="str">
        <x:v>DA05</x:v>
      </x:c>
      <x:c r="B58" s="14" t="str">
        <x:v>CK11</x:v>
      </x:c>
      <x:c r="C58" s="14" t="str">
        <x:v>Hồ sơ cấp GCN cho người mua</x:v>
      </x:c>
      <x:c r="D58" s="14" t="str">
        <x:v>GCN khách hàng</x:v>
      </x:c>
      <x:c r="E58" s="14" t="str">
        <x:v>Hồ sơ chính</x:v>
      </x:c>
      <x:c r="F58" s="14" t="str">
        <x:v>Hoàn thành</x:v>
      </x:c>
      <x:c r="G58" s="14" t="str">
        <x:v>Pháp chế/Phát triển dự án</x:v>
      </x:c>
      <x:c r="H58" s="14"/>
      <x:c r="I58" s="14"/>
      <x:c r="J58" s="14"/>
      <x:c r="K58" s="14" t="n">
        <x:v>0</x:v>
      </x:c>
      <x:c r="L58" s="14" t="str"/>
      <x:c r="M58" s="14" t="str">
        <x:v>Kho nội bộ/SharePoint/Drive</x:v>
      </x:c>
      <x:c r="N58" s="14" t="str">
        <x:v>Cao</x:v>
      </x:c>
    </x:row>
    <x:row r="59">
      <x:c r="A59" s="14" t="str">
        <x:v>DA06</x:v>
      </x:c>
      <x:c r="B59" s="14" t="str">
        <x:v>CK01</x:v>
      </x:c>
      <x:c r="C59" s="14" t="str">
        <x:v>Rà soát nguồn gốc/quyền sử dụng đất</x:v>
      </x:c>
      <x:c r="D59" s="14" t="str">
        <x:v>Tiền đầu tư &amp; quỹ đất</x:v>
      </x:c>
      <x:c r="E59" s="14" t="str">
        <x:v>Hồ sơ chính</x:v>
      </x:c>
      <x:c r="F59" s="14" t="str">
        <x:v>Hoàn thành</x:v>
      </x:c>
      <x:c r="G59" s="14" t="str">
        <x:v>Pháp chế/Phát triển dự án</x:v>
      </x:c>
      <x:c r="H59" s="14"/>
      <x:c r="I59" s="14"/>
      <x:c r="J59" s="14"/>
      <x:c r="K59" s="14" t="n">
        <x:v>0</x:v>
      </x:c>
      <x:c r="L59" s="14" t="str"/>
      <x:c r="M59" s="14" t="str">
        <x:v>Kho nội bộ/SharePoint/Drive</x:v>
      </x:c>
      <x:c r="N59" s="14" t="str">
        <x:v>Rất cao</x:v>
      </x:c>
    </x:row>
    <x:row r="60">
      <x:c r="A60" s="14" t="str">
        <x:v>DA06</x:v>
      </x:c>
      <x:c r="B60" s="14" t="str">
        <x:v>CK02</x:v>
      </x:c>
      <x:c r="C60" s="14" t="str">
        <x:v>Chấp thuận/chủ trương đầu tư, lựa chọn NĐT nếu áp dụng</x:v>
      </x:c>
      <x:c r="D60" s="14" t="str">
        <x:v>Đầu tư</x:v>
      </x:c>
      <x:c r="E60" s="14" t="str">
        <x:v>Hồ sơ chính</x:v>
      </x:c>
      <x:c r="F60" s="14" t="str">
        <x:v>Đang thực hiện</x:v>
      </x:c>
      <x:c r="G60" s="14" t="str">
        <x:v>Pháp chế/Phát triển dự án</x:v>
      </x:c>
      <x:c r="H60" s="14"/>
      <x:c r="I60" s="14"/>
      <x:c r="J60" s="14"/>
      <x:c r="K60" s="14" t="n">
        <x:v>0</x:v>
      </x:c>
      <x:c r="L60" s="14" t="str"/>
      <x:c r="M60" s="14" t="str">
        <x:v>Kho nội bộ/SharePoint/Drive</x:v>
      </x:c>
      <x:c r="N60" s="14" t="str">
        <x:v>Rất cao</x:v>
      </x:c>
    </x:row>
    <x:row r="61">
      <x:c r="A61" s="14" t="str">
        <x:v>DA06</x:v>
      </x:c>
      <x:c r="B61" s="14" t="str">
        <x:v>CK03</x:v>
      </x:c>
      <x:c r="C61" s="14" t="str">
        <x:v>Quy hoạch chi tiết và chỉ tiêu quy hoạch</x:v>
      </x:c>
      <x:c r="D61" s="14" t="str">
        <x:v>Quy hoạch</x:v>
      </x:c>
      <x:c r="E61" s="14" t="str">
        <x:v>Hồ sơ chính</x:v>
      </x:c>
      <x:c r="F61" s="14" t="str">
        <x:v>Đang thực hiện</x:v>
      </x:c>
      <x:c r="G61" s="14" t="str">
        <x:v>Pháp chế/Phát triển dự án</x:v>
      </x:c>
      <x:c r="H61" s="14"/>
      <x:c r="I61" s="14"/>
      <x:c r="J61" s="14"/>
      <x:c r="K61" s="14" t="n">
        <x:v>0</x:v>
      </x:c>
      <x:c r="L61" s="14" t="str"/>
      <x:c r="M61" s="14" t="str">
        <x:v>Kho nội bộ/SharePoint/Drive</x:v>
      </x:c>
      <x:c r="N61" s="14" t="str">
        <x:v>Rất cao</x:v>
      </x:c>
    </x:row>
    <x:row r="62">
      <x:c r="A62" s="14" t="str">
        <x:v>DA06</x:v>
      </x:c>
      <x:c r="B62" s="14" t="str">
        <x:v>CK04</x:v>
      </x:c>
      <x:c r="C62" s="14" t="str">
        <x:v>GPMB, giao/thuê/chuyển mục đích, GCN QSDĐ</x:v>
      </x:c>
      <x:c r="D62" s="14" t="str">
        <x:v>Đất đai</x:v>
      </x:c>
      <x:c r="E62" s="14" t="str">
        <x:v>Hồ sơ chính</x:v>
      </x:c>
      <x:c r="F62" s="14" t="str">
        <x:v>Chưa bắt đầu</x:v>
      </x:c>
      <x:c r="G62" s="14" t="str">
        <x:v>Pháp chế/Phát triển dự án</x:v>
      </x:c>
      <x:c r="H62" s="14"/>
      <x:c r="I62" s="14"/>
      <x:c r="J62" s="14"/>
      <x:c r="K62" s="14" t="n">
        <x:v>0</x:v>
      </x:c>
      <x:c r="L62" s="14" t="str"/>
      <x:c r="M62" s="14" t="str">
        <x:v>Kho nội bộ/SharePoint/Drive</x:v>
      </x:c>
      <x:c r="N62" s="14" t="str">
        <x:v>Rất cao</x:v>
      </x:c>
    </x:row>
    <x:row r="63">
      <x:c r="A63" s="14" t="str">
        <x:v>DA06</x:v>
      </x:c>
      <x:c r="B63" s="14" t="str">
        <x:v>CK05</x:v>
      </x:c>
      <x:c r="C63" s="14" t="str">
        <x:v>Xác định và hoàn thành nghĩa vụ tài chính đất</x:v>
      </x:c>
      <x:c r="D63" s="14" t="str">
        <x:v>Tài chính đất</x:v>
      </x:c>
      <x:c r="E63" s="14" t="str">
        <x:v>Hồ sơ chính</x:v>
      </x:c>
      <x:c r="F63" s="14" t="str">
        <x:v>Chưa bắt đầu</x:v>
      </x:c>
      <x:c r="G63" s="14" t="str">
        <x:v>Pháp chế/Phát triển dự án</x:v>
      </x:c>
      <x:c r="H63" s="14"/>
      <x:c r="I63" s="14"/>
      <x:c r="J63" s="14"/>
      <x:c r="K63" s="14" t="n">
        <x:v>0</x:v>
      </x:c>
      <x:c r="L63" s="14" t="str"/>
      <x:c r="M63" s="14" t="str">
        <x:v>Kho nội bộ/SharePoint/Drive</x:v>
      </x:c>
      <x:c r="N63" s="14" t="str">
        <x:v>Rất cao</x:v>
      </x:c>
    </x:row>
    <x:row r="64">
      <x:c r="A64" s="14" t="str">
        <x:v>DA06</x:v>
      </x:c>
      <x:c r="B64" s="14" t="str">
        <x:v>CK06</x:v>
      </x:c>
      <x:c r="C64" s="14" t="str">
        <x:v>ĐTM/Giấy phép môi trường theo đối tượng áp dụng</x:v>
      </x:c>
      <x:c r="D64" s="14" t="str">
        <x:v>Môi trường</x:v>
      </x:c>
      <x:c r="E64" s="14" t="str">
        <x:v>Hồ sơ chính</x:v>
      </x:c>
      <x:c r="F64" s="14" t="str">
        <x:v>Chưa bắt đầu</x:v>
      </x:c>
      <x:c r="G64" s="14" t="str">
        <x:v>Pháp chế/Phát triển dự án</x:v>
      </x:c>
      <x:c r="H64" s="14"/>
      <x:c r="I64" s="14"/>
      <x:c r="J64" s="14"/>
      <x:c r="K64" s="14" t="n">
        <x:v>0</x:v>
      </x:c>
      <x:c r="L64" s="14" t="str"/>
      <x:c r="M64" s="14" t="str">
        <x:v>Kho nội bộ/SharePoint/Drive</x:v>
      </x:c>
      <x:c r="N64" s="14" t="str">
        <x:v>Cao</x:v>
      </x:c>
    </x:row>
    <x:row r="65">
      <x:c r="A65" s="14" t="str">
        <x:v>DA06</x:v>
      </x:c>
      <x:c r="B65" s="14" t="str">
        <x:v>CK07</x:v>
      </x:c>
      <x:c r="C65" s="14" t="str">
        <x:v>Thẩm định thiết kế, PCCC theo đối tượng áp dụng</x:v>
      </x:c>
      <x:c r="D65" s="14" t="str">
        <x:v>Thiết kế &amp; PCCC</x:v>
      </x:c>
      <x:c r="E65" s="14" t="str">
        <x:v>Hồ sơ chính</x:v>
      </x:c>
      <x:c r="F65" s="14" t="str">
        <x:v>Chưa bắt đầu</x:v>
      </x:c>
      <x:c r="G65" s="14" t="str">
        <x:v>Pháp chế/Phát triển dự án</x:v>
      </x:c>
      <x:c r="H65" s="14"/>
      <x:c r="I65" s="14"/>
      <x:c r="J65" s="14"/>
      <x:c r="K65" s="14" t="n">
        <x:v>0</x:v>
      </x:c>
      <x:c r="L65" s="14" t="str"/>
      <x:c r="M65" s="14" t="str">
        <x:v>Kho nội bộ/SharePoint/Drive</x:v>
      </x:c>
      <x:c r="N65" s="14" t="str">
        <x:v>Cao</x:v>
      </x:c>
    </x:row>
    <x:row r="66">
      <x:c r="A66" s="14" t="str">
        <x:v>DA06</x:v>
      </x:c>
      <x:c r="B66" s="14" t="str">
        <x:v>CK08</x:v>
      </x:c>
      <x:c r="C66" s="14" t="str">
        <x:v>GPXD/điều kiện khởi công theo trường hợp áp dụng</x:v>
      </x:c>
      <x:c r="D66" s="14" t="str">
        <x:v>Xây dựng</x:v>
      </x:c>
      <x:c r="E66" s="14" t="str">
        <x:v>Hồ sơ chính</x:v>
      </x:c>
      <x:c r="F66" s="14" t="str">
        <x:v>Chưa bắt đầu</x:v>
      </x:c>
      <x:c r="G66" s="14" t="str">
        <x:v>Pháp chế/Phát triển dự án</x:v>
      </x:c>
      <x:c r="H66" s="14"/>
      <x:c r="I66" s="14"/>
      <x:c r="J66" s="14"/>
      <x:c r="K66" s="14" t="n">
        <x:v>0</x:v>
      </x:c>
      <x:c r="L66" s="14" t="str"/>
      <x:c r="M66" s="14" t="str">
        <x:v>Kho nội bộ/SharePoint/Drive</x:v>
      </x:c>
      <x:c r="N66" s="14" t="str">
        <x:v>Rất cao</x:v>
      </x:c>
    </x:row>
    <x:row r="67">
      <x:c r="A67" s="14" t="str">
        <x:v>DA06</x:v>
      </x:c>
      <x:c r="B67" s="14" t="str">
        <x:v>CK09</x:v>
      </x:c>
      <x:c r="C67" s="14" t="str">
        <x:v>Điều kiện đưa sản phẩm vào kinh doanh/mở bán</x:v>
      </x:c>
      <x:c r="D67" s="14" t="str">
        <x:v>Kinh doanh BĐS</x:v>
      </x:c>
      <x:c r="E67" s="14" t="str">
        <x:v>Hồ sơ chính</x:v>
      </x:c>
      <x:c r="F67" s="14" t="str">
        <x:v>Chưa bắt đầu</x:v>
      </x:c>
      <x:c r="G67" s="14" t="str">
        <x:v>Pháp chế/Phát triển dự án</x:v>
      </x:c>
      <x:c r="H67" s="14"/>
      <x:c r="I67" s="14"/>
      <x:c r="J67" s="14"/>
      <x:c r="K67" s="14" t="n">
        <x:v>0</x:v>
      </x:c>
      <x:c r="L67" s="14" t="str"/>
      <x:c r="M67" s="14" t="str">
        <x:v>Kho nội bộ/SharePoint/Drive</x:v>
      </x:c>
      <x:c r="N67" s="14" t="str">
        <x:v>Rất cao</x:v>
      </x:c>
    </x:row>
    <x:row r="68">
      <x:c r="A68" s="14" t="str">
        <x:v>DA06</x:v>
      </x:c>
      <x:c r="B68" s="14" t="str">
        <x:v>CK10</x:v>
      </x:c>
      <x:c r="C68" s="14" t="str">
        <x:v>Nghiệm thu, vận hành, bàn giao</x:v>
      </x:c>
      <x:c r="D68" s="14" t="str">
        <x:v>Bàn giao</x:v>
      </x:c>
      <x:c r="E68" s="14" t="str">
        <x:v>Hồ sơ chính</x:v>
      </x:c>
      <x:c r="F68" s="14" t="str">
        <x:v>Chưa bắt đầu</x:v>
      </x:c>
      <x:c r="G68" s="14" t="str">
        <x:v>Pháp chế/Phát triển dự án</x:v>
      </x:c>
      <x:c r="H68" s="14"/>
      <x:c r="I68" s="14"/>
      <x:c r="J68" s="14"/>
      <x:c r="K68" s="14" t="n">
        <x:v>0</x:v>
      </x:c>
      <x:c r="L68" s="14" t="str"/>
      <x:c r="M68" s="14" t="str">
        <x:v>Kho nội bộ/SharePoint/Drive</x:v>
      </x:c>
      <x:c r="N68" s="14" t="str">
        <x:v>Cao</x:v>
      </x:c>
    </x:row>
    <x:row r="69">
      <x:c r="A69" s="14" t="str">
        <x:v>DA06</x:v>
      </x:c>
      <x:c r="B69" s="14" t="str">
        <x:v>CK11</x:v>
      </x:c>
      <x:c r="C69" s="14" t="str">
        <x:v>Hồ sơ cấp GCN cho người mua</x:v>
      </x:c>
      <x:c r="D69" s="14" t="str">
        <x:v>GCN khách hàng</x:v>
      </x:c>
      <x:c r="E69" s="14" t="str">
        <x:v>Hồ sơ chính</x:v>
      </x:c>
      <x:c r="F69" s="14" t="str">
        <x:v>Chưa bắt đầu</x:v>
      </x:c>
      <x:c r="G69" s="14" t="str">
        <x:v>Pháp chế/Phát triển dự án</x:v>
      </x:c>
      <x:c r="H69" s="14"/>
      <x:c r="I69" s="14"/>
      <x:c r="J69" s="14"/>
      <x:c r="K69" s="14" t="n">
        <x:v>0</x:v>
      </x:c>
      <x:c r="L69" s="14" t="str"/>
      <x:c r="M69" s="14" t="str">
        <x:v>Kho nội bộ/SharePoint/Drive</x:v>
      </x:c>
      <x:c r="N69" s="14" t="str">
        <x:v>Cao</x:v>
      </x:c>
    </x:row>
  </x:sheetData>
  <x:mergeCells>
    <x:mergeCell ref="A1:N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8" hidden="0" customWidth="1"/>
    <x:col min="10" max="10" width="14" hidden="0" customWidth="1"/>
  </x:cols>
  <x:sheetData>
    <x:row r="1" ht="26" customHeight="1">
      <x:c r="A1" s="3" t="str">
        <x:v>16_Suc_khoe_du_an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Mã dự án</x:v>
      </x:c>
      <x:c r="B3" s="9" t="str">
        <x:v>Tên dự án</x:v>
      </x:c>
      <x:c r="C3" s="9" t="str">
        <x:v>Pháp lý</x:v>
      </x:c>
      <x:c r="D3" s="9" t="str">
        <x:v>Tiến độ</x:v>
      </x:c>
      <x:c r="E3" s="9" t="str">
        <x:v>Chi phí</x:v>
      </x:c>
      <x:c r="F3" s="9" t="str">
        <x:v>Bán hàng</x:v>
      </x:c>
      <x:c r="G3" s="9" t="str">
        <x:v>Dòng tiền</x:v>
      </x:c>
      <x:c r="H3" s="9" t="str">
        <x:v>Nguồn vốn</x:v>
      </x:c>
      <x:c r="I3" s="9" t="str">
        <x:v>Điểm sức khỏe</x:v>
      </x:c>
      <x:c r="J3" s="9" t="str">
        <x:v>Xếp loại</x:v>
      </x:c>
    </x:row>
    <x:row r="4">
      <x:c r="A4" s="14" t="str">
        <x:v>DA01</x:v>
      </x:c>
      <x:c r="B4" s="14" t="str">
        <x:v>Khu đô thị Tây Hà Nội</x:v>
      </x:c>
      <x:c r="C4" s="14" t="n">
        <x:v>25</x:v>
      </x:c>
      <x:c r="D4" s="14" t="n">
        <x:v>70</x:v>
      </x:c>
      <x:c r="E4" s="14" t="n">
        <x:v>88</x:v>
      </x:c>
      <x:c r="F4" s="14" t="n">
        <x:v>70</x:v>
      </x:c>
      <x:c r="G4" s="14" t="n">
        <x:v>58</x:v>
      </x:c>
      <x:c r="H4" s="14" t="n">
        <x:v>78</x:v>
      </x:c>
      <x:c r="I4" s="14" t="n">
        <x:v>60.45</x:v>
      </x:c>
      <x:c r="J4" s="14" t="str">
        <x:v>Đỏ</x:v>
      </x:c>
    </x:row>
    <x:row r="5">
      <x:c r="A5" s="14" t="str">
        <x:v>DA02</x:v>
      </x:c>
      <x:c r="B5" s="14" t="str">
        <x:v>Khu nhà ở Đông Anh</x:v>
      </x:c>
      <x:c r="C5" s="14" t="n">
        <x:v>68</x:v>
      </x:c>
      <x:c r="D5" s="14" t="n">
        <x:v>70</x:v>
      </x:c>
      <x:c r="E5" s="14" t="n">
        <x:v>88</x:v>
      </x:c>
      <x:c r="F5" s="14" t="n">
        <x:v>70</x:v>
      </x:c>
      <x:c r="G5" s="14" t="n">
        <x:v>58</x:v>
      </x:c>
      <x:c r="H5" s="14" t="n">
        <x:v>78</x:v>
      </x:c>
      <x:c r="I5" s="14" t="n">
        <x:v>71.2</x:v>
      </x:c>
      <x:c r="J5" s="14" t="str">
        <x:v>Vàng</x:v>
      </x:c>
    </x:row>
    <x:row r="6">
      <x:c r="A6" s="14" t="str">
        <x:v>DA03</x:v>
      </x:c>
      <x:c r="B6" s="14" t="str">
        <x:v>Khu đô thị Hưng Yên</x:v>
      </x:c>
      <x:c r="C6" s="14" t="n">
        <x:v>91</x:v>
      </x:c>
      <x:c r="D6" s="14" t="n">
        <x:v>42</x:v>
      </x:c>
      <x:c r="E6" s="14" t="n">
        <x:v>62</x:v>
      </x:c>
      <x:c r="F6" s="14" t="n">
        <x:v>28.000000000000004</x:v>
      </x:c>
      <x:c r="G6" s="14" t="n">
        <x:v>75</x:v>
      </x:c>
      <x:c r="H6" s="14" t="n">
        <x:v>78</x:v>
      </x:c>
      <x:c r="I6" s="14" t="n">
        <x:v>63.7</x:v>
      </x:c>
      <x:c r="J6" s="14" t="str">
        <x:v>Đỏ</x:v>
      </x:c>
    </x:row>
    <x:row r="7">
      <x:c r="A7" s="14" t="str">
        <x:v>DA04</x:v>
      </x:c>
      <x:c r="B7" s="14" t="str">
        <x:v>Tổ hợp Hải Phòng</x:v>
      </x:c>
      <x:c r="C7" s="14" t="n">
        <x:v>100</x:v>
      </x:c>
      <x:c r="D7" s="14" t="n">
        <x:v>67</x:v>
      </x:c>
      <x:c r="E7" s="14" t="n">
        <x:v>88</x:v>
      </x:c>
      <x:c r="F7" s="14" t="n">
        <x:v>54</x:v>
      </x:c>
      <x:c r="G7" s="14" t="n">
        <x:v>75</x:v>
      </x:c>
      <x:c r="H7" s="14" t="n">
        <x:v>78</x:v>
      </x:c>
      <x:c r="I7" s="14" t="n">
        <x:v>78.74999999999999</x:v>
      </x:c>
      <x:c r="J7" s="14" t="str">
        <x:v>Vàng</x:v>
      </x:c>
    </x:row>
    <x:row r="8">
      <x:c r="A8" s="14" t="str">
        <x:v>DA05</x:v>
      </x:c>
      <x:c r="B8" s="14" t="str">
        <x:v>Khu nghỉ dưỡng Quảng Ninh</x:v>
      </x:c>
      <x:c r="C8" s="14" t="n">
        <x:v>100</x:v>
      </x:c>
      <x:c r="D8" s="14" t="n">
        <x:v>96</x:v>
      </x:c>
      <x:c r="E8" s="14" t="n">
        <x:v>88</x:v>
      </x:c>
      <x:c r="F8" s="14" t="n">
        <x:v>91</x:v>
      </x:c>
      <x:c r="G8" s="14" t="n">
        <x:v>75</x:v>
      </x:c>
      <x:c r="H8" s="14" t="n">
        <x:v>78</x:v>
      </x:c>
      <x:c r="I8" s="14" t="n">
        <x:v>90.10000000000001</x:v>
      </x:c>
      <x:c r="J8" s="14" t="str">
        <x:v>Xanh</x:v>
      </x:c>
    </x:row>
    <x:row r="9">
      <x:c r="A9" s="14" t="str">
        <x:v>DA06</x:v>
      </x:c>
      <x:c r="B9" s="14" t="str">
        <x:v>Dự án M&amp;A Đà Nẵng</x:v>
      </x:c>
      <x:c r="C9" s="14" t="n">
        <x:v>15</x:v>
      </x:c>
      <x:c r="D9" s="14" t="n">
        <x:v>70</x:v>
      </x:c>
      <x:c r="E9" s="14" t="n">
        <x:v>88</x:v>
      </x:c>
      <x:c r="F9" s="14" t="n">
        <x:v>70</x:v>
      </x:c>
      <x:c r="G9" s="14" t="n">
        <x:v>58</x:v>
      </x:c>
      <x:c r="H9" s="14" t="n">
        <x:v>78</x:v>
      </x:c>
      <x:c r="I9" s="14" t="n">
        <x:v>57.95</x:v>
      </x:c>
      <x:c r="J9" s="14" t="str">
        <x:v>Đỏ</x:v>
      </x:c>
    </x:row>
  </x:sheetData>
  <x:mergeCells>
    <x:mergeCell ref="A1:J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5" hidden="0" customWidth="1"/>
  </x:cols>
  <x:sheetData>
    <x:row r="1" ht="26" customHeight="1">
      <x:c r="A1" s="147" t="str">
        <x:v>TRUNG TÂM ĐIỀU HÀNH DANH MỤC, PHÁT TRIỂN &amp; ĐẦU TƯ DỰ ÁN BẤT ĐỘNG SẢN</x:v>
      </x:c>
      <x:c r="B1" s="147" t="str"/>
    </x:row>
    <x:row r="2">
      <x:c r="A2" s="66" t="str">
        <x:v>Mục tiêu</x:v>
      </x:c>
      <x:c r="B2" s="14" t="str">
        <x:v>Một nguồn dữ liệu quản trị thống nhất cho danh mục dự án, pháp lý, tài chính, nguồn vốn, BCTC, dự báo và kiểm soát vận hành.</x:v>
      </x:c>
    </x:row>
    <x:row r="3">
      <x:c r="A3" s="9" t="str">
        <x:v>Nguyên tắc cốt lõi</x:v>
      </x:c>
      <x:c r="B3" s="9" t="str">
        <x:v>Tách DỰ ÁN khỏi PHÁP NHÂN; BCTC hợp nhất không phải phép cộng cơ học các dự án.</x:v>
      </x:c>
    </x:row>
    <x:row r="4">
      <x:c r="A4" s="66" t="str">
        <x:v>Pháp lý</x:v>
      </x:c>
      <x:c r="B4" s="14" t="str">
        <x:v>Checklist, đường găng pháp lý, Legal Gate, phòng hồ sơ và cập nhật chính sách.</x:v>
      </x:c>
    </x:row>
    <x:row r="5">
      <x:c r="A5" s="66" t="str">
        <x:v>Tài chính dự án</x:v>
      </x:c>
      <x:c r="B5" s="14" t="str">
        <x:v>Mô hình 60 tháng, BCTC Việt Nam, CAPEX, bán hàng, dòng tiền, nợ vay và sức chịu đựng.</x:v>
      </x:c>
    </x:row>
    <x:row r="6">
      <x:c r="A6" s="66" t="str">
        <x:v>Tập đoàn/SPV</x:v>
      </x:c>
      <x:c r="B6" s="14" t="str">
        <x:v>Danh mục pháp nhân, giao dịch nội bộ, loại trừ hợp nhất, lợi ích cổ đông không kiểm soát và BCTC hợp nhất.</x:v>
      </x:c>
    </x:row>
    <x:row r="7">
      <x:c r="A7" s="66" t="str">
        <x:v>Ngân quỹ</x:v>
      </x:c>
      <x:c r="B7" s="14" t="str">
        <x:v>Điều phối tiền, khoảng thiếu vốn, danh mục khoản vay, DSCR/LTV và cam kết tài chính.</x:v>
      </x:c>
    </x:row>
    <x:row r="8">
      <x:c r="A8" s="66" t="str">
        <x:v>Phân bổ vốn</x:v>
      </x:c>
      <x:c r="B8" s="14" t="str">
        <x:v>Thác nguồn vốn, ưu tiên vốn theo lợi nhuận điều chỉnh rủi ro và điều kiện pháp lý/tài chính.</x:v>
      </x:c>
    </x:row>
    <x:row r="9">
      <x:c r="A9" s="66" t="str">
        <x:v>Quản trị hiệu suất</x:v>
      </x:c>
      <x:c r="B9" s="14" t="str">
        <x:v>Ngân sách so với thực tế, dự báo cuốn chiếu, ước tính mới nhất và cầu nối chênh lệch.</x:v>
      </x:c>
    </x:row>
    <x:row r="10">
      <x:c r="A10" s="66" t="str">
        <x:v>Khóa sổ</x:v>
      </x:c>
      <x:c r="B10" s="14" t="str">
        <x:v>Checklist khóa sổ theo pháp nhân, Actual đã khóa, kiểm soát mở lại kỳ và hạch toán điều chỉnh.</x:v>
      </x:c>
    </x:row>
    <x:row r="11">
      <x:c r="A11" s="66" t="str">
        <x:v>Dữ liệu</x:v>
      </x:c>
      <x:c r="B11" s="14" t="str">
        <x:v>Cấu hình nguồn, ánh xạ, khu vực chờ, kiểm tra chất lượng, đối chiếu và chuyển dữ liệu vào Master.</x:v>
      </x:c>
    </x:row>
    <x:row r="12">
      <x:c r="A12" s="66" t="str">
        <x:v>Kiểm soát</x:v>
      </x:c>
      <x:c r="B12" s="14" t="str">
        <x:v>Nhật ký thay đổi, phân quyền/tách biệt nhiệm vụ, luồng phê duyệt, kiểm thử và mức sẵn sàng vận hành.</x:v>
      </x:c>
    </x:row>
    <x:row r="13">
      <x:c r="A13" s="66" t="str">
        <x:v>BCTC riêng</x:v>
      </x:c>
      <x:c r="B13" s="14" t="str">
        <x:v>Sheet 24–28: B01-DN, B02-DN, B03-DN, thuyết minh và kiểm tra chéo theo dự án.</x:v>
      </x:c>
    </x:row>
    <x:row r="14">
      <x:c r="A14" s="66" t="str">
        <x:v>BCTC hợp nhất</x:v>
      </x:c>
      <x:c r="B14" s="14" t="str">
        <x:v>Sheet 35–38: dữ liệu hợp nhất và B01-DN/B02-DN/B03-DN hợp nhất kế hoạch.</x:v>
      </x:c>
    </x:row>
    <x:row r="15">
      <x:c r="A15" s="66" t="str">
        <x:v>Chuẩn kế toán</x:v>
      </x:c>
      <x:c r="B15" s="14" t="str">
        <x:v>Định hướng theo Thông tư 99/2025/TT-BTC cho năm tài chính bắt đầu từ hoặc sau 01/01/2026.</x:v>
      </x:c>
    </x:row>
    <x:row r="16">
      <x:c r="A16" s="66" t="str">
        <x:v>Lưu ý BCTC</x:v>
      </x:c>
      <x:c r="B16" s="14" t="str">
        <x:v>BCTC trong mô hình là kế hoạch/pro forma phục vụ quản trị; BCTC pháp định phải lập từ sổ kế toán, chứng từ và hồ sơ thực tế.</x:v>
      </x:c>
    </x:row>
    <x:row r="17">
      <x:c r="A17" s="66" t="str">
        <x:v>Lưu ý thuế</x:v>
      </x:c>
      <x:c r="B17" s="14" t="str">
        <x:v>Kế hoạch thuế/nghĩa vụ là công cụ quản trị dòng tiền, không thay thế việc xác định nghĩa vụ pháp lý/thuế chính thức.</x:v>
      </x:c>
    </x:row>
    <x:row r="18">
      <x:c r="A18" s="66" t="str">
        <x:v>Lưu ý điều phối tiền</x:v>
      </x:c>
      <x:c r="B18" s="14" t="str">
        <x:v>Chỉ điều phối khi không vi phạm hợp đồng tín dụng, cam kết tài chính, tài khoản kiểm soát và mục đích sử dụng vốn.</x:v>
      </x:c>
    </x:row>
    <x:row r="19">
      <x:c r="A19" s="66" t="str">
        <x:v>Màu xanh</x:v>
      </x:c>
      <x:c r="B19" s="14" t="str">
        <x:v>Dữ liệu/giả định người dùng cập nhật.</x:v>
      </x:c>
    </x:row>
    <x:row r="20">
      <x:c r="A20" s="66" t="str">
        <x:v>Màu đen</x:v>
      </x:c>
      <x:c r="B20" s="14" t="str">
        <x:v>Công thức và tính toán.</x:v>
      </x:c>
    </x:row>
    <x:row r="21">
      <x:c r="A21" s="66" t="str">
        <x:v>Tác giả</x:v>
      </x:c>
      <x:c r="B21" s="14" t="str">
        <x:v>Lê Hoàng Quân</x:v>
      </x:c>
    </x:row>
    <x:row r="22">
      <x:c r="A22" s="66"/>
      <x:c r="B22" s="14"/>
    </x:row>
    <x:row r="23">
      <x:c r="A23" s="66"/>
      <x:c r="B23" s="14"/>
    </x:row>
    <x:row r="24">
      <x:c r="A24" s="66"/>
      <x:c r="B24" s="14"/>
    </x:row>
    <x:row r="25">
      <x:c r="A25" s="106"/>
      <x:c r="B25" s="106"/>
    </x:row>
    <x:row r="26">
      <x:c r="A26"/>
      <x:c r="B26"/>
    </x:row>
    <x:row r="27">
      <x:c r="A27"/>
      <x:c r="B27"/>
    </x:row>
    <x:row r="28">
      <x:c r="A28"/>
      <x:c r="B28"/>
    </x:row>
    <x:row r="29">
      <x:c r="A29"/>
      <x:c r="B29"/>
    </x:row>
    <x:row r="30">
      <x:c r="A30"/>
      <x:c r="B30"/>
    </x:row>
    <x:row r="31">
      <x:c r="A31"/>
      <x:c r="B31"/>
    </x:row>
    <x:row r="32">
      <x:c r="A32" s="120"/>
      <x:c r="B32" s="120"/>
    </x:row>
    <x:row r="33">
      <x:c r="A33" s="65"/>
      <x:c r="B33"/>
    </x:row>
    <x:row r="34">
      <x:c r="A34" s="65"/>
      <x:c r="B34"/>
    </x:row>
    <x:row r="35">
      <x:c r="A35" s="65"/>
      <x:c r="B35"/>
    </x:row>
    <x:row r="36">
      <x:c r="A36" s="65"/>
      <x:c r="B36"/>
    </x:row>
    <x:row r="37">
      <x:c r="A37" s="65"/>
      <x:c r="B37"/>
    </x:row>
    <x:row r="38">
      <x:c r="A38" s="65"/>
      <x:c r="B38"/>
    </x:row>
    <x:row r="39">
      <x:c r="A39" s="65"/>
      <x:c r="B39"/>
    </x:row>
    <x:row r="40">
      <x:c r="A40" s="65"/>
      <x:c r="B40"/>
    </x:row>
    <x:row r="41">
      <x:c r="A41" s="140"/>
      <x:c r="B41" s="140"/>
    </x:row>
    <x:row r="42">
      <x:c r="A42"/>
      <x:c r="B42"/>
    </x:row>
    <x:row r="43">
      <x:c r="A43"/>
      <x:c r="B43"/>
    </x:row>
    <x:row r="44">
      <x:c r="A44"/>
      <x:c r="B44"/>
    </x:row>
    <x:row r="45">
      <x:c r="A45"/>
      <x:c r="B45"/>
    </x:row>
    <x:row r="46">
      <x:c r="A46"/>
      <x:c r="B46"/>
    </x:row>
    <x:row r="47">
      <x:c r="A47"/>
      <x:c r="B47"/>
    </x:row>
    <x:row r="48">
      <x:c r="A48"/>
      <x:c r="B48"/>
    </x:row>
    <x:row r="49">
      <x:c r="A49"/>
      <x:c r="B49"/>
    </x:row>
    <x:row r="50">
      <x:c r="A50"/>
      <x:c r="B50"/>
    </x:row>
    <x:row r="51">
      <x:c r="A51"/>
      <x:c r="B51"/>
    </x:row>
    <x:row r="52">
      <x:c r="A52" s="65"/>
      <x:c r="B52"/>
    </x:row>
    <x:row r="53">
      <x:c r="A53" s="65"/>
      <x:c r="B53"/>
    </x:row>
  </x:sheetData>
  <x:mergeCells>
    <x:mergeCell ref="A1:B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36" hidden="0" customWidth="1"/>
  </x:cols>
  <x:sheetData>
    <x:row r="1">
      <x:c r="A1" s="48" t="str">
        <x:v>17_Gia_dinh_mo_hinh – Giả định mô hình tài chính tích hợp 60 tháng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</x:row>
    <x:row r="3">
      <x:c r="A3" s="53" t="str">
        <x:v>Mã dự án</x:v>
      </x:c>
      <x:c r="B3" s="53" t="str">
        <x:v>Tên dự án</x:v>
      </x:c>
      <x:c r="C3" s="53" t="str">
        <x:v>Ngày bắt đầu mô hình</x:v>
      </x:c>
      <x:c r="D3" s="53" t="str">
        <x:v>Số tháng mô hình</x:v>
      </x:c>
      <x:c r="E3" s="53" t="str">
        <x:v>Chậm pháp lý cơ sở (ngày)</x:v>
      </x:c>
      <x:c r="F3" s="53" t="str">
        <x:v>Tháng bắt đầu bán</x:v>
      </x:c>
      <x:c r="G3" s="53" t="str">
        <x:v>Số tháng bán</x:v>
      </x:c>
      <x:c r="H3" s="53" t="str">
        <x:v>Tháng bắt đầu ghi nhận DT</x:v>
      </x:c>
      <x:c r="I3" s="53" t="str">
        <x:v>Số tháng ghi nhận DT</x:v>
      </x:c>
      <x:c r="J3" s="53" t="str">
        <x:v>Số tháng thi công còn lại</x:v>
      </x:c>
      <x:c r="K3" s="53" t="str">
        <x:v>Tổng mức đầu tư (tỷ)</x:v>
      </x:c>
      <x:c r="L3" s="53" t="str">
        <x:v>Doanh thu kỳ vọng (tỷ)</x:v>
      </x:c>
      <x:c r="M3" s="53" t="str">
        <x:v>Tỷ lệ đã bán hiện tại</x:v>
      </x:c>
      <x:c r="N3" s="53" t="str">
        <x:v>Biên LN gộp</x:v>
      </x:c>
      <x:c r="O3" s="53" t="str">
        <x:v>CP bán hàng/DT</x:v>
      </x:c>
      <x:c r="P3" s="53" t="str">
        <x:v>CP QLDN/DT</x:v>
      </x:c>
      <x:c r="Q3" s="53" t="str">
        <x:v>Lãi suất vay/năm</x:v>
      </x:c>
      <x:c r="R3" s="53" t="str">
        <x:v>Hạn mức vay tối đa (tỷ)</x:v>
      </x:c>
      <x:c r="S3" s="53" t="str">
        <x:v>Thuế TNDN</x:v>
      </x:c>
      <x:c r="T3" s="53" t="str">
        <x:v>Tiền đầu kỳ (tỷ)</x:v>
      </x:c>
      <x:c r="U3" s="53" t="str">
        <x:v>Dư nợ đầu kỳ (tỷ)</x:v>
      </x:c>
      <x:c r="V3" s="53" t="str">
        <x:v>Nguồn/Ghi chú</x:v>
      </x:c>
      <x:c r="W3" s="77" t="str">
        <x:v>DSO phải thu (ngày)</x:v>
      </x:c>
      <x:c r="X3" s="77" t="str">
        <x:v>DPO phải trả (ngày)</x:v>
      </x:c>
      <x:c r="Y3" s="77" t="str">
        <x:v>HTK/BĐS dở dang tối thiểu (% TMĐT)</x:v>
      </x:c>
      <x:c r="Z3" s="77" t="str">
        <x:v>TSCĐ/BĐSĐT đầu kỳ (tỷ)</x:v>
      </x:c>
      <x:c r="AA3" s="77" t="str">
        <x:v>Khấu hao/năm (% TSCĐ)</x:v>
      </x:c>
      <x:c r="AB3" s="77" t="str">
        <x:v>Vốn CSH đầu kỳ (tỷ)</x:v>
      </x:c>
      <x:c r="AC3" s="77" t="str">
        <x:v>Thuế GTGT &amp; TSNH khác (% DT)</x:v>
      </x:c>
      <x:c r="AD3" s="77" t="str">
        <x:v>Phải trả khác (% DT)</x:v>
      </x:c>
      <x:c r="AE3" s="77" t="str">
        <x:v>Cổ tức/LNST</x:v>
      </x:c>
      <x:c r="AF3" s="77" t="str">
        <x:v>Ghi chú BCTC</x:v>
      </x:c>
    </x:row>
    <x:row r="4">
      <x:c r="A4" s="54" t="str">
        <x:v>DA01</x:v>
      </x:c>
      <x:c r="B4" s="54" t="str">
        <x:v>Khu đô thị Tây Hà Nội</x:v>
      </x:c>
      <x:c r="C4" s="55" t="n">
        <x:v>46235</x:v>
      </x:c>
      <x:c r="D4" s="54" t="n">
        <x:v>60</x:v>
      </x:c>
      <x:c r="E4" s="54" t="n">
        <x:v>180</x:v>
      </x:c>
      <x:c r="F4" s="54" t="n">
        <x:v>18</x:v>
      </x:c>
      <x:c r="G4" s="54" t="n">
        <x:v>30</x:v>
      </x:c>
      <x:c r="H4" s="54" t="n">
        <x:v>38</x:v>
      </x:c>
      <x:c r="I4" s="54" t="n">
        <x:v>18</x:v>
      </x:c>
      <x:c r="J4" s="54" t="n">
        <x:v>48</x:v>
      </x:c>
      <x:c r="K4" s="57" t="n">
        <x:v>6500</x:v>
      </x:c>
      <x:c r="L4" s="57" t="n">
        <x:v>9800</x:v>
      </x:c>
      <x:c r="M4" s="54" t="n">
        <x:v>0</x:v>
      </x:c>
      <x:c r="N4" s="56" t="n">
        <x:v>0.32</x:v>
      </x:c>
      <x:c r="O4" s="56" t="n">
        <x:v>0.035</x:v>
      </x:c>
      <x:c r="P4" s="56" t="n">
        <x:v>0.02</x:v>
      </x:c>
      <x:c r="Q4" s="56" t="n">
        <x:v>0.095</x:v>
      </x:c>
      <x:c r="R4" s="57" t="n">
        <x:v>2925</x:v>
      </x:c>
      <x:c r="S4" s="57" t="n">
        <x:v>0.2</x:v>
      </x:c>
      <x:c r="T4" s="57" t="n">
        <x:v>120</x:v>
      </x:c>
      <x:c r="U4" s="57" t="n">
        <x:v>914.0625</x:v>
      </x:c>
      <x:c r="V4" s="54" t="str">
        <x:v>Giả định mô hình; TMĐT/Doanh thu lấy từ danh mục</x:v>
      </x:c>
      <x:c r="W4" s="54" t="n">
        <x:v>45</x:v>
      </x:c>
      <x:c r="X4" s="54" t="n">
        <x:v>60</x:v>
      </x:c>
      <x:c r="Y4" s="56" t="n">
        <x:v>0.1</x:v>
      </x:c>
      <x:c r="Z4" s="54" t="n">
        <x:v>120</x:v>
      </x:c>
      <x:c r="AA4" s="56" t="n">
        <x:v>0.05</x:v>
      </x:c>
      <x:c r="AB4" s="54" t="n">
        <x:v>1900</x:v>
      </x:c>
      <x:c r="AC4" s="56" t="n">
        <x:v>0.03</x:v>
      </x:c>
      <x:c r="AD4" s="56" t="n">
        <x:v>0.04</x:v>
      </x:c>
      <x:c r="AE4" s="56" t="n">
        <x:v>0</x:v>
      </x:c>
      <x:c r="AF4" s="54" t="str">
        <x:v>Giả định lập BCTC kế hoạch</x:v>
      </x:c>
    </x:row>
    <x:row r="5">
      <x:c r="A5" s="54" t="str">
        <x:v>DA02</x:v>
      </x:c>
      <x:c r="B5" s="54" t="str">
        <x:v>Khu nhà ở Đông Anh</x:v>
      </x:c>
      <x:c r="C5" s="55" t="n">
        <x:v>46235</x:v>
      </x:c>
      <x:c r="D5" s="54" t="n">
        <x:v>60</x:v>
      </x:c>
      <x:c r="E5" s="54" t="n">
        <x:v>90</x:v>
      </x:c>
      <x:c r="F5" s="54" t="n">
        <x:v>12</x:v>
      </x:c>
      <x:c r="G5" s="54" t="n">
        <x:v>30</x:v>
      </x:c>
      <x:c r="H5" s="54" t="n">
        <x:v>30</x:v>
      </x:c>
      <x:c r="I5" s="54" t="n">
        <x:v>18</x:v>
      </x:c>
      <x:c r="J5" s="54" t="n">
        <x:v>42</x:v>
      </x:c>
      <x:c r="K5" s="57" t="n">
        <x:v>7200</x:v>
      </x:c>
      <x:c r="L5" s="57" t="n">
        <x:v>11200</x:v>
      </x:c>
      <x:c r="M5" s="54" t="n">
        <x:v>0</x:v>
      </x:c>
      <x:c r="N5" s="56" t="n">
        <x:v>0.34</x:v>
      </x:c>
      <x:c r="O5" s="56" t="n">
        <x:v>0.035</x:v>
      </x:c>
      <x:c r="P5" s="56" t="n">
        <x:v>0.02</x:v>
      </x:c>
      <x:c r="Q5" s="56" t="n">
        <x:v>0.095</x:v>
      </x:c>
      <x:c r="R5" s="57" t="n">
        <x:v>3240</x:v>
      </x:c>
      <x:c r="S5" s="57" t="n">
        <x:v>0.2</x:v>
      </x:c>
      <x:c r="T5" s="57" t="n">
        <x:v>140</x:v>
      </x:c>
      <x:c r="U5" s="57" t="n">
        <x:v>1918.08</x:v>
      </x:c>
      <x:c r="V5" s="54" t="str">
        <x:v>Giả định mô hình; TMĐT/Doanh thu lấy từ danh mục</x:v>
      </x:c>
      <x:c r="W5" s="54" t="n">
        <x:v>45</x:v>
      </x:c>
      <x:c r="X5" s="54" t="n">
        <x:v>60</x:v>
      </x:c>
      <x:c r="Y5" s="56" t="n">
        <x:v>0.1</x:v>
      </x:c>
      <x:c r="Z5" s="54" t="n">
        <x:v>150</x:v>
      </x:c>
      <x:c r="AA5" s="56" t="n">
        <x:v>0.05</x:v>
      </x:c>
      <x:c r="AB5" s="54" t="n">
        <x:v>2150</x:v>
      </x:c>
      <x:c r="AC5" s="56" t="n">
        <x:v>0.03</x:v>
      </x:c>
      <x:c r="AD5" s="56" t="n">
        <x:v>0.04</x:v>
      </x:c>
      <x:c r="AE5" s="56" t="n">
        <x:v>0</x:v>
      </x:c>
      <x:c r="AF5" s="54" t="str">
        <x:v>Giả định lập BCTC kế hoạch</x:v>
      </x:c>
    </x:row>
    <x:row r="6">
      <x:c r="A6" s="54" t="str">
        <x:v>DA03</x:v>
      </x:c>
      <x:c r="B6" s="54" t="str">
        <x:v>Khu đô thị Hưng Yên</x:v>
      </x:c>
      <x:c r="C6" s="55" t="n">
        <x:v>46235</x:v>
      </x:c>
      <x:c r="D6" s="54" t="n">
        <x:v>60</x:v>
      </x:c>
      <x:c r="E6" s="54" t="n">
        <x:v>30</x:v>
      </x:c>
      <x:c r="F6" s="54" t="n">
        <x:v>3</x:v>
      </x:c>
      <x:c r="G6" s="54" t="n">
        <x:v>30</x:v>
      </x:c>
      <x:c r="H6" s="54" t="n">
        <x:v>20</x:v>
      </x:c>
      <x:c r="I6" s="54" t="n">
        <x:v>20</x:v>
      </x:c>
      <x:c r="J6" s="54" t="n">
        <x:v>30</x:v>
      </x:c>
      <x:c r="K6" s="57" t="n">
        <x:v>9800</x:v>
      </x:c>
      <x:c r="L6" s="57" t="n">
        <x:v>14800</x:v>
      </x:c>
      <x:c r="M6" s="54" t="n">
        <x:v>0.28</x:v>
      </x:c>
      <x:c r="N6" s="56" t="n">
        <x:v>0.3</x:v>
      </x:c>
      <x:c r="O6" s="56" t="n">
        <x:v>0.035</x:v>
      </x:c>
      <x:c r="P6" s="56" t="n">
        <x:v>0.022</x:v>
      </x:c>
      <x:c r="Q6" s="56" t="n">
        <x:v>0.095</x:v>
      </x:c>
      <x:c r="R6" s="57" t="n">
        <x:v>4410</x:v>
      </x:c>
      <x:c r="S6" s="57" t="n">
        <x:v>0.2</x:v>
      </x:c>
      <x:c r="T6" s="57" t="n">
        <x:v>180</x:v>
      </x:c>
      <x:c r="U6" s="57" t="n">
        <x:v>3270.015</x:v>
      </x:c>
      <x:c r="V6" s="54" t="str">
        <x:v>Giả định mô hình; TMĐT/Doanh thu lấy từ danh mục</x:v>
      </x:c>
      <x:c r="W6" s="54" t="n">
        <x:v>40</x:v>
      </x:c>
      <x:c r="X6" s="54" t="n">
        <x:v>55</x:v>
      </x:c>
      <x:c r="Y6" s="56" t="n">
        <x:v>0.08</x:v>
      </x:c>
      <x:c r="Z6" s="54" t="n">
        <x:v>220</x:v>
      </x:c>
      <x:c r="AA6" s="56" t="n">
        <x:v>0.05</x:v>
      </x:c>
      <x:c r="AB6" s="54" t="n">
        <x:v>2600</x:v>
      </x:c>
      <x:c r="AC6" s="56" t="n">
        <x:v>0.025</x:v>
      </x:c>
      <x:c r="AD6" s="56" t="n">
        <x:v>0.04</x:v>
      </x:c>
      <x:c r="AE6" s="56" t="n">
        <x:v>0.05</x:v>
      </x:c>
      <x:c r="AF6" s="54" t="str">
        <x:v>Giả định lập BCTC kế hoạch</x:v>
      </x:c>
    </x:row>
    <x:row r="7">
      <x:c r="A7" s="54" t="str">
        <x:v>DA04</x:v>
      </x:c>
      <x:c r="B7" s="54" t="str">
        <x:v>Tổ hợp Hải Phòng</x:v>
      </x:c>
      <x:c r="C7" s="55" t="n">
        <x:v>46235</x:v>
      </x:c>
      <x:c r="D7" s="54" t="n">
        <x:v>60</x:v>
      </x:c>
      <x:c r="E7" s="54" t="n">
        <x:v>0</x:v>
      </x:c>
      <x:c r="F7" s="54" t="n">
        <x:v>1</x:v>
      </x:c>
      <x:c r="G7" s="54" t="n">
        <x:v>24</x:v>
      </x:c>
      <x:c r="H7" s="54" t="n">
        <x:v>10</x:v>
      </x:c>
      <x:c r="I7" s="54" t="n">
        <x:v>18</x:v>
      </x:c>
      <x:c r="J7" s="54" t="n">
        <x:v>18</x:v>
      </x:c>
      <x:c r="K7" s="57" t="n">
        <x:v>8400</x:v>
      </x:c>
      <x:c r="L7" s="57" t="n">
        <x:v>13200</x:v>
      </x:c>
      <x:c r="M7" s="54" t="n">
        <x:v>0.54</x:v>
      </x:c>
      <x:c r="N7" s="56" t="n">
        <x:v>0.31</x:v>
      </x:c>
      <x:c r="O7" s="56" t="n">
        <x:v>0.04</x:v>
      </x:c>
      <x:c r="P7" s="56" t="n">
        <x:v>0.022</x:v>
      </x:c>
      <x:c r="Q7" s="56" t="n">
        <x:v>0.095</x:v>
      </x:c>
      <x:c r="R7" s="57" t="n">
        <x:v>3780</x:v>
      </x:c>
      <x:c r="S7" s="57" t="n">
        <x:v>0.2</x:v>
      </x:c>
      <x:c r="T7" s="57" t="n">
        <x:v>220</x:v>
      </x:c>
      <x:c r="U7" s="57" t="n">
        <x:v>3024</x:v>
      </x:c>
      <x:c r="V7" s="54" t="str">
        <x:v>Giả định mô hình; TMĐT/Doanh thu lấy từ danh mục</x:v>
      </x:c>
      <x:c r="W7" s="54" t="n">
        <x:v>35</x:v>
      </x:c>
      <x:c r="X7" s="54" t="n">
        <x:v>50</x:v>
      </x:c>
      <x:c r="Y7" s="56" t="n">
        <x:v>0.06</x:v>
      </x:c>
      <x:c r="Z7" s="54" t="n">
        <x:v>280</x:v>
      </x:c>
      <x:c r="AA7" s="56" t="n">
        <x:v>0.05</x:v>
      </x:c>
      <x:c r="AB7" s="54" t="n">
        <x:v>2500</x:v>
      </x:c>
      <x:c r="AC7" s="56" t="n">
        <x:v>0.025</x:v>
      </x:c>
      <x:c r="AD7" s="56" t="n">
        <x:v>0.035</x:v>
      </x:c>
      <x:c r="AE7" s="56" t="n">
        <x:v>0.1</x:v>
      </x:c>
      <x:c r="AF7" s="54" t="str">
        <x:v>Giả định lập BCTC kế hoạch</x:v>
      </x:c>
    </x:row>
    <x:row r="8">
      <x:c r="A8" s="54" t="str">
        <x:v>DA05</x:v>
      </x:c>
      <x:c r="B8" s="54" t="str">
        <x:v>Khu nghỉ dưỡng Quảng Ninh</x:v>
      </x:c>
      <x:c r="C8" s="55" t="n">
        <x:v>46235</x:v>
      </x:c>
      <x:c r="D8" s="54" t="n">
        <x:v>60</x:v>
      </x:c>
      <x:c r="E8" s="54" t="n">
        <x:v>0</x:v>
      </x:c>
      <x:c r="F8" s="54" t="n">
        <x:v>1</x:v>
      </x:c>
      <x:c r="G8" s="54" t="n">
        <x:v>12</x:v>
      </x:c>
      <x:c r="H8" s="54" t="n">
        <x:v>1</x:v>
      </x:c>
      <x:c r="I8" s="54" t="n">
        <x:v>12</x:v>
      </x:c>
      <x:c r="J8" s="54" t="n">
        <x:v>6</x:v>
      </x:c>
      <x:c r="K8" s="57" t="n">
        <x:v>6200</x:v>
      </x:c>
      <x:c r="L8" s="57" t="n">
        <x:v>9400</x:v>
      </x:c>
      <x:c r="M8" s="54" t="n">
        <x:v>0.91</x:v>
      </x:c>
      <x:c r="N8" s="56" t="n">
        <x:v>0.29</x:v>
      </x:c>
      <x:c r="O8" s="56" t="n">
        <x:v>0.025</x:v>
      </x:c>
      <x:c r="P8" s="56" t="n">
        <x:v>0.018</x:v>
      </x:c>
      <x:c r="Q8" s="56" t="n">
        <x:v>0.095</x:v>
      </x:c>
      <x:c r="R8" s="57" t="n">
        <x:v>2790</x:v>
      </x:c>
      <x:c r="S8" s="57" t="n">
        <x:v>0.2</x:v>
      </x:c>
      <x:c r="T8" s="57" t="n">
        <x:v>260</x:v>
      </x:c>
      <x:c r="U8" s="57" t="n">
        <x:v>2232</x:v>
      </x:c>
      <x:c r="V8" s="54" t="str">
        <x:v>Giả định mô hình; TMĐT/Doanh thu lấy từ danh mục</x:v>
      </x:c>
      <x:c r="W8" s="54" t="n">
        <x:v>30</x:v>
      </x:c>
      <x:c r="X8" s="54" t="n">
        <x:v>45</x:v>
      </x:c>
      <x:c r="Y8" s="56" t="n">
        <x:v>0.04</x:v>
      </x:c>
      <x:c r="Z8" s="54" t="n">
        <x:v>350</x:v>
      </x:c>
      <x:c r="AA8" s="56" t="n">
        <x:v>0.05</x:v>
      </x:c>
      <x:c r="AB8" s="54" t="n">
        <x:v>2100</x:v>
      </x:c>
      <x:c r="AC8" s="56" t="n">
        <x:v>0.02</x:v>
      </x:c>
      <x:c r="AD8" s="56" t="n">
        <x:v>0.03</x:v>
      </x:c>
      <x:c r="AE8" s="56" t="n">
        <x:v>0.2</x:v>
      </x:c>
      <x:c r="AF8" s="54" t="str">
        <x:v>Giả định lập BCTC kế hoạch</x:v>
      </x:c>
    </x:row>
    <x:row r="9">
      <x:c r="A9" s="54" t="str">
        <x:v>DA06</x:v>
      </x:c>
      <x:c r="B9" s="54" t="str">
        <x:v>Dự án M&amp;A Đà Nẵng</x:v>
      </x:c>
      <x:c r="C9" s="55" t="n">
        <x:v>46235</x:v>
      </x:c>
      <x:c r="D9" s="54" t="n">
        <x:v>60</x:v>
      </x:c>
      <x:c r="E9" s="54" t="n">
        <x:v>270</x:v>
      </x:c>
      <x:c r="F9" s="54" t="n">
        <x:v>24</x:v>
      </x:c>
      <x:c r="G9" s="54" t="n">
        <x:v>30</x:v>
      </x:c>
      <x:c r="H9" s="54" t="n">
        <x:v>44</x:v>
      </x:c>
      <x:c r="I9" s="54" t="n">
        <x:v>16</x:v>
      </x:c>
      <x:c r="J9" s="54" t="n">
        <x:v>54</x:v>
      </x:c>
      <x:c r="K9" s="57" t="n">
        <x:v>4500</x:v>
      </x:c>
      <x:c r="L9" s="57" t="n">
        <x:v>7200</x:v>
      </x:c>
      <x:c r="M9" s="54" t="n">
        <x:v>0</x:v>
      </x:c>
      <x:c r="N9" s="56" t="n">
        <x:v>0.33</x:v>
      </x:c>
      <x:c r="O9" s="56" t="n">
        <x:v>0.035</x:v>
      </x:c>
      <x:c r="P9" s="56" t="n">
        <x:v>0.02</x:v>
      </x:c>
      <x:c r="Q9" s="56" t="n">
        <x:v>0.095</x:v>
      </x:c>
      <x:c r="R9" s="57" t="n">
        <x:v>2025</x:v>
      </x:c>
      <x:c r="S9" s="57" t="n">
        <x:v>0.2</x:v>
      </x:c>
      <x:c r="T9" s="57" t="n">
        <x:v>100</x:v>
      </x:c>
      <x:c r="U9" s="57" t="n">
        <x:v>501.1875</x:v>
      </x:c>
      <x:c r="V9" s="54" t="str">
        <x:v>Giả định mô hình; dự án M&amp;A chưa quyết định đầu tư</x:v>
      </x:c>
      <x:c r="W9" s="54" t="n">
        <x:v>50</x:v>
      </x:c>
      <x:c r="X9" s="54" t="n">
        <x:v>65</x:v>
      </x:c>
      <x:c r="Y9" s="56" t="n">
        <x:v>0.12</x:v>
      </x:c>
      <x:c r="Z9" s="54" t="n">
        <x:v>100</x:v>
      </x:c>
      <x:c r="AA9" s="56" t="n">
        <x:v>0.05</x:v>
      </x:c>
      <x:c r="AB9" s="54" t="n">
        <x:v>1400</x:v>
      </x:c>
      <x:c r="AC9" s="56" t="n">
        <x:v>0.03</x:v>
      </x:c>
      <x:c r="AD9" s="56" t="n">
        <x:v>0.04</x:v>
      </x:c>
      <x:c r="AE9" s="56" t="n">
        <x:v>0</x:v>
      </x:c>
      <x:c r="AF9" s="54" t="str">
        <x:v>Giả định M&amp;A/chưa đầu tư</x:v>
      </x:c>
    </x:row>
  </x:sheetData>
  <x:mergeCells>
    <x:mergeCell ref="A1:V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8" hidden="0" customWidth="1"/>
  </x:cols>
  <x:sheetData>
    <x:row r="1">
      <x:c r="A1" s="48" t="str">
        <x:v>18_Mo_hinh_60T – Mô hình dòng tiền, nợ vay và kết quả kinh doanh theo tháng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</x:row>
    <x:row r="3">
      <x:c r="A3" s="53" t="str">
        <x:v>Mã dự án</x:v>
      </x:c>
      <x:c r="B3" s="53" t="str">
        <x:v>Tháng số</x:v>
      </x:c>
      <x:c r="C3" s="53" t="str">
        <x:v>Tháng</x:v>
      </x:c>
      <x:c r="D3" s="53" t="str">
        <x:v>Chậm PL quy đổi (tháng)</x:v>
      </x:c>
      <x:c r="E3" s="53" t="str">
        <x:v>Doanh số mới (tỷ)</x:v>
      </x:c>
      <x:c r="F3" s="53" t="str">
        <x:v>Thu khách hàng (tỷ)</x:v>
      </x:c>
      <x:c r="G3" s="53" t="str">
        <x:v>Doanh thu ghi nhận (tỷ)</x:v>
      </x:c>
      <x:c r="H3" s="53" t="str">
        <x:v>Giá vốn (tỷ)</x:v>
      </x:c>
      <x:c r="I3" s="53" t="str">
        <x:v>CP bán hàng (tỷ)</x:v>
      </x:c>
      <x:c r="J3" s="53" t="str">
        <x:v>CP QLDN (tỷ)</x:v>
      </x:c>
      <x:c r="K3" s="53" t="str">
        <x:v>Chi đầu tư/xây dựng (tỷ)</x:v>
      </x:c>
      <x:c r="L3" s="53" t="str">
        <x:v>Lãi vay (tỷ)</x:v>
      </x:c>
      <x:c r="M3" s="53" t="str">
        <x:v>LNTT (tỷ)</x:v>
      </x:c>
      <x:c r="N3" s="53" t="str">
        <x:v>Thuế TNDN (tỷ)</x:v>
      </x:c>
      <x:c r="O3" s="53" t="str">
        <x:v>LNST (tỷ)</x:v>
      </x:c>
      <x:c r="P3" s="53" t="str">
        <x:v>Dòng tiền trước tài trợ (tỷ)</x:v>
      </x:c>
      <x:c r="Q3" s="53" t="str">
        <x:v>Vay tăng thêm (tỷ)</x:v>
      </x:c>
      <x:c r="R3" s="53" t="str">
        <x:v>Trả nợ (tỷ)</x:v>
      </x:c>
      <x:c r="S3" s="53" t="str">
        <x:v>Dư nợ cuối kỳ (tỷ)</x:v>
      </x:c>
      <x:c r="T3" s="53" t="str">
        <x:v>Tiền cuối kỳ (tỷ)</x:v>
      </x:c>
      <x:c r="U3" s="53" t="str">
        <x:v>Funding gap (tỷ)</x:v>
      </x:c>
      <x:c r="V3" s="53" t="str">
        <x:v>Giai đoạn mô hình</x:v>
      </x:c>
    </x:row>
    <x:row r="4">
      <x:c r="A4" s="54" t="str">
        <x:v>DA01</x:v>
      </x:c>
      <x:c r="B4" s="54" t="n">
        <x:v>1</x:v>
      </x:c>
      <x:c r="C4" s="60" t="n">
        <x:f>EDATE('17_Gia_dinh_mo_hinh'!$C$4,B4-1)</x:f>
        <x:v>46235</x:v>
      </x:c>
      <x:c r="D4" s="61" t="n">
        <x:f>ROUNDUP('17_Gia_dinh_mo_hinh'!$E$4/30,0)</x:f>
        <x:v>6</x:v>
      </x:c>
      <x:c r="E4" s="62" t="n">
        <x:f>IF(AND(B4&gt;='17_Gia_dinh_mo_hinh'!$F$4+D4,B4&lt;'17_Gia_dinh_mo_hinh'!$F$4+D4+'17_Gia_dinh_mo_hinh'!$G$4),'17_Gia_dinh_mo_hinh'!$L$4*(1-'17_Gia_dinh_mo_hinh'!$M$4)/'17_Gia_dinh_mo_hinh'!$G$4,0)</x:f>
        <x:v>0</x:v>
      </x:c>
      <x:c r="F4" s="62" t="n">
        <x:f>0.70*E4+0.30*0</x:f>
        <x:v>0</x:v>
      </x:c>
      <x:c r="G4" s="62" t="n">
        <x:f>IF(AND(B4&gt;='17_Gia_dinh_mo_hinh'!$H$4+D4,B4&lt;'17_Gia_dinh_mo_hinh'!$H$4+D4+'17_Gia_dinh_mo_hinh'!$I$4),'17_Gia_dinh_mo_hinh'!$L$4*(1-'17_Gia_dinh_mo_hinh'!$M$4)/'17_Gia_dinh_mo_hinh'!$I$4,0)</x:f>
        <x:v>0</x:v>
      </x:c>
      <x:c r="H4" s="62" t="n">
        <x:f>G4*(1-'17_Gia_dinh_mo_hinh'!$N$4)</x:f>
        <x:v>0</x:v>
      </x:c>
      <x:c r="I4" s="62" t="n">
        <x:f>G4*'17_Gia_dinh_mo_hinh'!$O$4</x:f>
        <x:v>0</x:v>
      </x:c>
      <x:c r="J4" s="62" t="n">
        <x:f>G4*'17_Gia_dinh_mo_hinh'!$P$4</x:f>
        <x:v>0</x:v>
      </x:c>
      <x:c r="K4" s="62" t="n">
        <x:f>IF(B4&lt;='17_Gia_dinh_mo_hinh'!$J$4,'17_Gia_dinh_mo_hinh'!$K$4*(1-MIN(0.95,'17_Gia_dinh_mo_hinh'!$M$4*0.75))/'17_Gia_dinh_mo_hinh'!$J$4,0)</x:f>
        <x:v>135.41666666666666</x:v>
      </x:c>
      <x:c r="L4" s="62" t="n">
        <x:f>'17_Gia_dinh_mo_hinh'!$U$4*'17_Gia_dinh_mo_hinh'!$Q$4/12</x:f>
        <x:v>7.236328125</x:v>
      </x:c>
      <x:c r="M4" s="62" t="n">
        <x:f>G4-H4-I4-J4-L4</x:f>
        <x:v>-7.236328125</x:v>
      </x:c>
      <x:c r="N4" s="62" t="n">
        <x:f>MAX(0,M4*'17_Gia_dinh_mo_hinh'!$S$4)</x:f>
        <x:v>0</x:v>
      </x:c>
      <x:c r="O4" s="62" t="n">
        <x:f>M4-N4</x:f>
        <x:v>-7.236328125</x:v>
      </x:c>
      <x:c r="P4" s="62" t="n">
        <x:f>F4-K4-I4-J4-N4-L4</x:f>
        <x:v>-142.65299479166666</x:v>
      </x:c>
      <x:c r="Q4" s="62" t="n">
        <x:f>MIN(MAX(0,-('17_Gia_dinh_mo_hinh'!$T$4+P4)),MAX(0,'17_Gia_dinh_mo_hinh'!$R$4-'17_Gia_dinh_mo_hinh'!$U$4))</x:f>
        <x:v>22.652994791666657</x:v>
      </x:c>
      <x:c r="R4" s="62" t="n">
        <x:f>MIN(MAX(0,'17_Gia_dinh_mo_hinh'!$T$4+P4+Q4),'17_Gia_dinh_mo_hinh'!$U$4+Q4)</x:f>
        <x:v>0</x:v>
      </x:c>
      <x:c r="S4" s="62" t="n">
        <x:f>'17_Gia_dinh_mo_hinh'!$U$4+Q4-R4</x:f>
        <x:v>936.7154947916666</x:v>
      </x:c>
      <x:c r="T4" s="62" t="n">
        <x:f>MAX(0,'17_Gia_dinh_mo_hinh'!$T$4+P4+Q4-R4)</x:f>
        <x:v>0</x:v>
      </x:c>
      <x:c r="U4" s="62" t="n">
        <x:f>MAX(0,-('17_Gia_dinh_mo_hinh'!$T$4+P4)-MAX(0,'17_Gia_dinh_mo_hinh'!$R$4-'17_Gia_dinh_mo_hinh'!$U$4))</x:f>
        <x:v>0</x:v>
      </x:c>
      <x:c r="V4" s="61" t="str">
        <x:f>IF(B4&lt;'17_Gia_dinh_mo_hinh'!$F$4+D4,"Trước mở bán",IF(B4&lt;'17_Gia_dinh_mo_hinh'!$H$4+D4,"Bán hàng/thi công",IF(G4&gt;0,"Ghi nhận/bàn giao","Hậu bàn giao")))</x:f>
        <x:v>Trước mở bán</x:v>
      </x:c>
    </x:row>
    <x:row r="5">
      <x:c r="A5" s="54" t="str">
        <x:v>DA01</x:v>
      </x:c>
      <x:c r="B5" s="54" t="n">
        <x:v>2</x:v>
      </x:c>
      <x:c r="C5" s="60" t="n">
        <x:f>EDATE('17_Gia_dinh_mo_hinh'!$C$4,B5-1)</x:f>
        <x:v>46266</x:v>
      </x:c>
      <x:c r="D5" s="61" t="n">
        <x:f>ROUNDUP('17_Gia_dinh_mo_hinh'!$E$4/30,0)</x:f>
        <x:v>6</x:v>
      </x:c>
      <x:c r="E5" s="62" t="n">
        <x:f>IF(AND(B5&gt;='17_Gia_dinh_mo_hinh'!$F$4+D5,B5&lt;'17_Gia_dinh_mo_hinh'!$F$4+D5+'17_Gia_dinh_mo_hinh'!$G$4),'17_Gia_dinh_mo_hinh'!$L$4*(1-'17_Gia_dinh_mo_hinh'!$M$4)/'17_Gia_dinh_mo_hinh'!$G$4,0)</x:f>
        <x:v>0</x:v>
      </x:c>
      <x:c r="F5" s="62" t="n">
        <x:f>0.70*E5+0.30*E4</x:f>
        <x:v>0</x:v>
      </x:c>
      <x:c r="G5" s="62" t="n">
        <x:f>IF(AND(B5&gt;='17_Gia_dinh_mo_hinh'!$H$4+D5,B5&lt;'17_Gia_dinh_mo_hinh'!$H$4+D5+'17_Gia_dinh_mo_hinh'!$I$4),'17_Gia_dinh_mo_hinh'!$L$4*(1-'17_Gia_dinh_mo_hinh'!$M$4)/'17_Gia_dinh_mo_hinh'!$I$4,0)</x:f>
        <x:v>0</x:v>
      </x:c>
      <x:c r="H5" s="62" t="n">
        <x:f>G5*(1-'17_Gia_dinh_mo_hinh'!$N$4)</x:f>
        <x:v>0</x:v>
      </x:c>
      <x:c r="I5" s="62" t="n">
        <x:f>G5*'17_Gia_dinh_mo_hinh'!$O$4</x:f>
        <x:v>0</x:v>
      </x:c>
      <x:c r="J5" s="62" t="n">
        <x:f>G5*'17_Gia_dinh_mo_hinh'!$P$4</x:f>
        <x:v>0</x:v>
      </x:c>
      <x:c r="K5" s="62" t="n">
        <x:f>IF(B5&lt;='17_Gia_dinh_mo_hinh'!$J$4,'17_Gia_dinh_mo_hinh'!$K$4*(1-MIN(0.95,'17_Gia_dinh_mo_hinh'!$M$4*0.75))/'17_Gia_dinh_mo_hinh'!$J$4,0)</x:f>
        <x:v>135.41666666666666</x:v>
      </x:c>
      <x:c r="L5" s="62" t="n">
        <x:f>S4*'17_Gia_dinh_mo_hinh'!$Q$4/12</x:f>
        <x:v>7.415664333767361</x:v>
      </x:c>
      <x:c r="M5" s="62" t="n">
        <x:f>G5-H5-I5-J5-L5</x:f>
        <x:v>-7.415664333767361</x:v>
      </x:c>
      <x:c r="N5" s="62" t="n">
        <x:f>MAX(0,M5*'17_Gia_dinh_mo_hinh'!$S$4)</x:f>
        <x:v>0</x:v>
      </x:c>
      <x:c r="O5" s="62" t="n">
        <x:f>M5-N5</x:f>
        <x:v>-7.415664333767361</x:v>
      </x:c>
      <x:c r="P5" s="62" t="n">
        <x:f>F5-K5-I5-J5-N5-L5</x:f>
        <x:v>-142.832331000434</x:v>
      </x:c>
      <x:c r="Q5" s="62" t="n">
        <x:f>MIN(MAX(0,-(T4+P5)),MAX(0,'17_Gia_dinh_mo_hinh'!$R$4-S4))</x:f>
        <x:v>142.832331000434</x:v>
      </x:c>
      <x:c r="R5" s="62" t="n">
        <x:f>MIN(MAX(0,T4+P5+Q5),S4+Q5)</x:f>
        <x:v>0</x:v>
      </x:c>
      <x:c r="S5" s="62" t="n">
        <x:f>S4+Q5-R5</x:f>
        <x:v>1079.5478257921006</x:v>
      </x:c>
      <x:c r="T5" s="62" t="n">
        <x:f>MAX(0,T4+P5+Q5-R5)</x:f>
        <x:v>0</x:v>
      </x:c>
      <x:c r="U5" s="62" t="n">
        <x:f>MAX(0,-(T4+P5)-MAX(0,'17_Gia_dinh_mo_hinh'!$R$4-S4))</x:f>
        <x:v>0</x:v>
      </x:c>
      <x:c r="V5" s="61" t="str">
        <x:f>IF(B5&lt;'17_Gia_dinh_mo_hinh'!$F$4+D5,"Trước mở bán",IF(B5&lt;'17_Gia_dinh_mo_hinh'!$H$4+D5,"Bán hàng/thi công",IF(G5&gt;0,"Ghi nhận/bàn giao","Hậu bàn giao")))</x:f>
        <x:v>Trước mở bán</x:v>
      </x:c>
    </x:row>
    <x:row r="6">
      <x:c r="A6" s="54" t="str">
        <x:v>DA01</x:v>
      </x:c>
      <x:c r="B6" s="54" t="n">
        <x:v>3</x:v>
      </x:c>
      <x:c r="C6" s="60" t="n">
        <x:f>EDATE('17_Gia_dinh_mo_hinh'!$C$4,B6-1)</x:f>
        <x:v>46296</x:v>
      </x:c>
      <x:c r="D6" s="61" t="n">
        <x:f>ROUNDUP('17_Gia_dinh_mo_hinh'!$E$4/30,0)</x:f>
        <x:v>6</x:v>
      </x:c>
      <x:c r="E6" s="62" t="n">
        <x:f>IF(AND(B6&gt;='17_Gia_dinh_mo_hinh'!$F$4+D6,B6&lt;'17_Gia_dinh_mo_hinh'!$F$4+D6+'17_Gia_dinh_mo_hinh'!$G$4),'17_Gia_dinh_mo_hinh'!$L$4*(1-'17_Gia_dinh_mo_hinh'!$M$4)/'17_Gia_dinh_mo_hinh'!$G$4,0)</x:f>
        <x:v>0</x:v>
      </x:c>
      <x:c r="F6" s="62" t="n">
        <x:f>0.70*E6+0.30*E5</x:f>
        <x:v>0</x:v>
      </x:c>
      <x:c r="G6" s="62" t="n">
        <x:f>IF(AND(B6&gt;='17_Gia_dinh_mo_hinh'!$H$4+D6,B6&lt;'17_Gia_dinh_mo_hinh'!$H$4+D6+'17_Gia_dinh_mo_hinh'!$I$4),'17_Gia_dinh_mo_hinh'!$L$4*(1-'17_Gia_dinh_mo_hinh'!$M$4)/'17_Gia_dinh_mo_hinh'!$I$4,0)</x:f>
        <x:v>0</x:v>
      </x:c>
      <x:c r="H6" s="62" t="n">
        <x:f>G6*(1-'17_Gia_dinh_mo_hinh'!$N$4)</x:f>
        <x:v>0</x:v>
      </x:c>
      <x:c r="I6" s="62" t="n">
        <x:f>G6*'17_Gia_dinh_mo_hinh'!$O$4</x:f>
        <x:v>0</x:v>
      </x:c>
      <x:c r="J6" s="62" t="n">
        <x:f>G6*'17_Gia_dinh_mo_hinh'!$P$4</x:f>
        <x:v>0</x:v>
      </x:c>
      <x:c r="K6" s="62" t="n">
        <x:f>IF(B6&lt;='17_Gia_dinh_mo_hinh'!$J$4,'17_Gia_dinh_mo_hinh'!$K$4*(1-MIN(0.95,'17_Gia_dinh_mo_hinh'!$M$4*0.75))/'17_Gia_dinh_mo_hinh'!$J$4,0)</x:f>
        <x:v>135.41666666666666</x:v>
      </x:c>
      <x:c r="L6" s="62" t="n">
        <x:f>S5*'17_Gia_dinh_mo_hinh'!$Q$4/12</x:f>
        <x:v>8.546420287520798</x:v>
      </x:c>
      <x:c r="M6" s="62" t="n">
        <x:f>G6-H6-I6-J6-L6</x:f>
        <x:v>-8.546420287520798</x:v>
      </x:c>
      <x:c r="N6" s="62" t="n">
        <x:f>MAX(0,M6*'17_Gia_dinh_mo_hinh'!$S$4)</x:f>
        <x:v>0</x:v>
      </x:c>
      <x:c r="O6" s="62" t="n">
        <x:f>M6-N6</x:f>
        <x:v>-8.546420287520798</x:v>
      </x:c>
      <x:c r="P6" s="62" t="n">
        <x:f>F6-K6-I6-J6-N6-L6</x:f>
        <x:v>-143.96308695418745</x:v>
      </x:c>
      <x:c r="Q6" s="62" t="n">
        <x:f>MIN(MAX(0,-(T5+P6)),MAX(0,'17_Gia_dinh_mo_hinh'!$R$4-S5))</x:f>
        <x:v>143.96308695418745</x:v>
      </x:c>
      <x:c r="R6" s="62" t="n">
        <x:f>MIN(MAX(0,T5+P6+Q6),S5+Q6)</x:f>
        <x:v>0</x:v>
      </x:c>
      <x:c r="S6" s="62" t="n">
        <x:f>S5+Q6-R6</x:f>
        <x:v>1223.510912746288</x:v>
      </x:c>
      <x:c r="T6" s="62" t="n">
        <x:f>MAX(0,T5+P6+Q6-R6)</x:f>
        <x:v>0</x:v>
      </x:c>
      <x:c r="U6" s="62" t="n">
        <x:f>MAX(0,-(T5+P6)-MAX(0,'17_Gia_dinh_mo_hinh'!$R$4-S5))</x:f>
        <x:v>0</x:v>
      </x:c>
      <x:c r="V6" s="61" t="str">
        <x:f>IF(B6&lt;'17_Gia_dinh_mo_hinh'!$F$4+D6,"Trước mở bán",IF(B6&lt;'17_Gia_dinh_mo_hinh'!$H$4+D6,"Bán hàng/thi công",IF(G6&gt;0,"Ghi nhận/bàn giao","Hậu bàn giao")))</x:f>
        <x:v>Trước mở bán</x:v>
      </x:c>
    </x:row>
    <x:row r="7">
      <x:c r="A7" s="54" t="str">
        <x:v>DA01</x:v>
      </x:c>
      <x:c r="B7" s="54" t="n">
        <x:v>4</x:v>
      </x:c>
      <x:c r="C7" s="60" t="n">
        <x:f>EDATE('17_Gia_dinh_mo_hinh'!$C$4,B7-1)</x:f>
        <x:v>46327</x:v>
      </x:c>
      <x:c r="D7" s="61" t="n">
        <x:f>ROUNDUP('17_Gia_dinh_mo_hinh'!$E$4/30,0)</x:f>
        <x:v>6</x:v>
      </x:c>
      <x:c r="E7" s="62" t="n">
        <x:f>IF(AND(B7&gt;='17_Gia_dinh_mo_hinh'!$F$4+D7,B7&lt;'17_Gia_dinh_mo_hinh'!$F$4+D7+'17_Gia_dinh_mo_hinh'!$G$4),'17_Gia_dinh_mo_hinh'!$L$4*(1-'17_Gia_dinh_mo_hinh'!$M$4)/'17_Gia_dinh_mo_hinh'!$G$4,0)</x:f>
        <x:v>0</x:v>
      </x:c>
      <x:c r="F7" s="62" t="n">
        <x:f>0.70*E7+0.30*E6</x:f>
        <x:v>0</x:v>
      </x:c>
      <x:c r="G7" s="62" t="n">
        <x:f>IF(AND(B7&gt;='17_Gia_dinh_mo_hinh'!$H$4+D7,B7&lt;'17_Gia_dinh_mo_hinh'!$H$4+D7+'17_Gia_dinh_mo_hinh'!$I$4),'17_Gia_dinh_mo_hinh'!$L$4*(1-'17_Gia_dinh_mo_hinh'!$M$4)/'17_Gia_dinh_mo_hinh'!$I$4,0)</x:f>
        <x:v>0</x:v>
      </x:c>
      <x:c r="H7" s="62" t="n">
        <x:f>G7*(1-'17_Gia_dinh_mo_hinh'!$N$4)</x:f>
        <x:v>0</x:v>
      </x:c>
      <x:c r="I7" s="62" t="n">
        <x:f>G7*'17_Gia_dinh_mo_hinh'!$O$4</x:f>
        <x:v>0</x:v>
      </x:c>
      <x:c r="J7" s="62" t="n">
        <x:f>G7*'17_Gia_dinh_mo_hinh'!$P$4</x:f>
        <x:v>0</x:v>
      </x:c>
      <x:c r="K7" s="62" t="n">
        <x:f>IF(B7&lt;='17_Gia_dinh_mo_hinh'!$J$4,'17_Gia_dinh_mo_hinh'!$K$4*(1-MIN(0.95,'17_Gia_dinh_mo_hinh'!$M$4*0.75))/'17_Gia_dinh_mo_hinh'!$J$4,0)</x:f>
        <x:v>135.41666666666666</x:v>
      </x:c>
      <x:c r="L7" s="62" t="n">
        <x:f>S6*'17_Gia_dinh_mo_hinh'!$Q$4/12</x:f>
        <x:v>9.686128059241447</x:v>
      </x:c>
      <x:c r="M7" s="62" t="n">
        <x:f>G7-H7-I7-J7-L7</x:f>
        <x:v>-9.686128059241447</x:v>
      </x:c>
      <x:c r="N7" s="62" t="n">
        <x:f>MAX(0,M7*'17_Gia_dinh_mo_hinh'!$S$4)</x:f>
        <x:v>0</x:v>
      </x:c>
      <x:c r="O7" s="62" t="n">
        <x:f>M7-N7</x:f>
        <x:v>-9.686128059241447</x:v>
      </x:c>
      <x:c r="P7" s="62" t="n">
        <x:f>F7-K7-I7-J7-N7-L7</x:f>
        <x:v>-145.1027947259081</x:v>
      </x:c>
      <x:c r="Q7" s="62" t="n">
        <x:f>MIN(MAX(0,-(T6+P7)),MAX(0,'17_Gia_dinh_mo_hinh'!$R$4-S6))</x:f>
        <x:v>145.1027947259081</x:v>
      </x:c>
      <x:c r="R7" s="62" t="n">
        <x:f>MIN(MAX(0,T6+P7+Q7),S6+Q7)</x:f>
        <x:v>0</x:v>
      </x:c>
      <x:c r="S7" s="62" t="n">
        <x:f>S6+Q7-R7</x:f>
        <x:v>1368.6137074721962</x:v>
      </x:c>
      <x:c r="T7" s="62" t="n">
        <x:f>MAX(0,T6+P7+Q7-R7)</x:f>
        <x:v>0</x:v>
      </x:c>
      <x:c r="U7" s="62" t="n">
        <x:f>MAX(0,-(T6+P7)-MAX(0,'17_Gia_dinh_mo_hinh'!$R$4-S6))</x:f>
        <x:v>0</x:v>
      </x:c>
      <x:c r="V7" s="61" t="str">
        <x:f>IF(B7&lt;'17_Gia_dinh_mo_hinh'!$F$4+D7,"Trước mở bán",IF(B7&lt;'17_Gia_dinh_mo_hinh'!$H$4+D7,"Bán hàng/thi công",IF(G7&gt;0,"Ghi nhận/bàn giao","Hậu bàn giao")))</x:f>
        <x:v>Trước mở bán</x:v>
      </x:c>
    </x:row>
    <x:row r="8">
      <x:c r="A8" s="54" t="str">
        <x:v>DA01</x:v>
      </x:c>
      <x:c r="B8" s="54" t="n">
        <x:v>5</x:v>
      </x:c>
      <x:c r="C8" s="60" t="n">
        <x:f>EDATE('17_Gia_dinh_mo_hinh'!$C$4,B8-1)</x:f>
        <x:v>46357</x:v>
      </x:c>
      <x:c r="D8" s="61" t="n">
        <x:f>ROUNDUP('17_Gia_dinh_mo_hinh'!$E$4/30,0)</x:f>
        <x:v>6</x:v>
      </x:c>
      <x:c r="E8" s="62" t="n">
        <x:f>IF(AND(B8&gt;='17_Gia_dinh_mo_hinh'!$F$4+D8,B8&lt;'17_Gia_dinh_mo_hinh'!$F$4+D8+'17_Gia_dinh_mo_hinh'!$G$4),'17_Gia_dinh_mo_hinh'!$L$4*(1-'17_Gia_dinh_mo_hinh'!$M$4)/'17_Gia_dinh_mo_hinh'!$G$4,0)</x:f>
        <x:v>0</x:v>
      </x:c>
      <x:c r="F8" s="62" t="n">
        <x:f>0.70*E8+0.30*E7</x:f>
        <x:v>0</x:v>
      </x:c>
      <x:c r="G8" s="62" t="n">
        <x:f>IF(AND(B8&gt;='17_Gia_dinh_mo_hinh'!$H$4+D8,B8&lt;'17_Gia_dinh_mo_hinh'!$H$4+D8+'17_Gia_dinh_mo_hinh'!$I$4),'17_Gia_dinh_mo_hinh'!$L$4*(1-'17_Gia_dinh_mo_hinh'!$M$4)/'17_Gia_dinh_mo_hinh'!$I$4,0)</x:f>
        <x:v>0</x:v>
      </x:c>
      <x:c r="H8" s="62" t="n">
        <x:f>G8*(1-'17_Gia_dinh_mo_hinh'!$N$4)</x:f>
        <x:v>0</x:v>
      </x:c>
      <x:c r="I8" s="62" t="n">
        <x:f>G8*'17_Gia_dinh_mo_hinh'!$O$4</x:f>
        <x:v>0</x:v>
      </x:c>
      <x:c r="J8" s="62" t="n">
        <x:f>G8*'17_Gia_dinh_mo_hinh'!$P$4</x:f>
        <x:v>0</x:v>
      </x:c>
      <x:c r="K8" s="62" t="n">
        <x:f>IF(B8&lt;='17_Gia_dinh_mo_hinh'!$J$4,'17_Gia_dinh_mo_hinh'!$K$4*(1-MIN(0.95,'17_Gia_dinh_mo_hinh'!$M$4*0.75))/'17_Gia_dinh_mo_hinh'!$J$4,0)</x:f>
        <x:v>135.41666666666666</x:v>
      </x:c>
      <x:c r="L8" s="62" t="n">
        <x:f>S7*'17_Gia_dinh_mo_hinh'!$Q$4/12</x:f>
        <x:v>10.83485851748822</x:v>
      </x:c>
      <x:c r="M8" s="62" t="n">
        <x:f>G8-H8-I8-J8-L8</x:f>
        <x:v>-10.83485851748822</x:v>
      </x:c>
      <x:c r="N8" s="62" t="n">
        <x:f>MAX(0,M8*'17_Gia_dinh_mo_hinh'!$S$4)</x:f>
        <x:v>0</x:v>
      </x:c>
      <x:c r="O8" s="62" t="n">
        <x:f>M8-N8</x:f>
        <x:v>-10.83485851748822</x:v>
      </x:c>
      <x:c r="P8" s="62" t="n">
        <x:f>F8-K8-I8-J8-N8-L8</x:f>
        <x:v>-146.25152518415487</x:v>
      </x:c>
      <x:c r="Q8" s="62" t="n">
        <x:f>MIN(MAX(0,-(T7+P8)),MAX(0,'17_Gia_dinh_mo_hinh'!$R$4-S7))</x:f>
        <x:v>146.25152518415487</x:v>
      </x:c>
      <x:c r="R8" s="62" t="n">
        <x:f>MIN(MAX(0,T7+P8+Q8),S7+Q8)</x:f>
        <x:v>0</x:v>
      </x:c>
      <x:c r="S8" s="62" t="n">
        <x:f>S7+Q8-R8</x:f>
        <x:v>1514.865232656351</x:v>
      </x:c>
      <x:c r="T8" s="62" t="n">
        <x:f>MAX(0,T7+P8+Q8-R8)</x:f>
        <x:v>0</x:v>
      </x:c>
      <x:c r="U8" s="62" t="n">
        <x:f>MAX(0,-(T7+P8)-MAX(0,'17_Gia_dinh_mo_hinh'!$R$4-S7))</x:f>
        <x:v>0</x:v>
      </x:c>
      <x:c r="V8" s="61" t="str">
        <x:f>IF(B8&lt;'17_Gia_dinh_mo_hinh'!$F$4+D8,"Trước mở bán",IF(B8&lt;'17_Gia_dinh_mo_hinh'!$H$4+D8,"Bán hàng/thi công",IF(G8&gt;0,"Ghi nhận/bàn giao","Hậu bàn giao")))</x:f>
        <x:v>Trước mở bán</x:v>
      </x:c>
    </x:row>
    <x:row r="9">
      <x:c r="A9" s="54" t="str">
        <x:v>DA01</x:v>
      </x:c>
      <x:c r="B9" s="54" t="n">
        <x:v>6</x:v>
      </x:c>
      <x:c r="C9" s="60" t="n">
        <x:f>EDATE('17_Gia_dinh_mo_hinh'!$C$4,B9-1)</x:f>
        <x:v>46388</x:v>
      </x:c>
      <x:c r="D9" s="61" t="n">
        <x:f>ROUNDUP('17_Gia_dinh_mo_hinh'!$E$4/30,0)</x:f>
        <x:v>6</x:v>
      </x:c>
      <x:c r="E9" s="62" t="n">
        <x:f>IF(AND(B9&gt;='17_Gia_dinh_mo_hinh'!$F$4+D9,B9&lt;'17_Gia_dinh_mo_hinh'!$F$4+D9+'17_Gia_dinh_mo_hinh'!$G$4),'17_Gia_dinh_mo_hinh'!$L$4*(1-'17_Gia_dinh_mo_hinh'!$M$4)/'17_Gia_dinh_mo_hinh'!$G$4,0)</x:f>
        <x:v>0</x:v>
      </x:c>
      <x:c r="F9" s="62" t="n">
        <x:f>0.70*E9+0.30*E8</x:f>
        <x:v>0</x:v>
      </x:c>
      <x:c r="G9" s="62" t="n">
        <x:f>IF(AND(B9&gt;='17_Gia_dinh_mo_hinh'!$H$4+D9,B9&lt;'17_Gia_dinh_mo_hinh'!$H$4+D9+'17_Gia_dinh_mo_hinh'!$I$4),'17_Gia_dinh_mo_hinh'!$L$4*(1-'17_Gia_dinh_mo_hinh'!$M$4)/'17_Gia_dinh_mo_hinh'!$I$4,0)</x:f>
        <x:v>0</x:v>
      </x:c>
      <x:c r="H9" s="62" t="n">
        <x:f>G9*(1-'17_Gia_dinh_mo_hinh'!$N$4)</x:f>
        <x:v>0</x:v>
      </x:c>
      <x:c r="I9" s="62" t="n">
        <x:f>G9*'17_Gia_dinh_mo_hinh'!$O$4</x:f>
        <x:v>0</x:v>
      </x:c>
      <x:c r="J9" s="62" t="n">
        <x:f>G9*'17_Gia_dinh_mo_hinh'!$P$4</x:f>
        <x:v>0</x:v>
      </x:c>
      <x:c r="K9" s="62" t="n">
        <x:f>IF(B9&lt;='17_Gia_dinh_mo_hinh'!$J$4,'17_Gia_dinh_mo_hinh'!$K$4*(1-MIN(0.95,'17_Gia_dinh_mo_hinh'!$M$4*0.75))/'17_Gia_dinh_mo_hinh'!$J$4,0)</x:f>
        <x:v>135.41666666666666</x:v>
      </x:c>
      <x:c r="L9" s="62" t="n">
        <x:f>S8*'17_Gia_dinh_mo_hinh'!$Q$4/12</x:f>
        <x:v>11.99268309186278</x:v>
      </x:c>
      <x:c r="M9" s="62" t="n">
        <x:f>G9-H9-I9-J9-L9</x:f>
        <x:v>-11.99268309186278</x:v>
      </x:c>
      <x:c r="N9" s="62" t="n">
        <x:f>MAX(0,M9*'17_Gia_dinh_mo_hinh'!$S$4)</x:f>
        <x:v>0</x:v>
      </x:c>
      <x:c r="O9" s="62" t="n">
        <x:f>M9-N9</x:f>
        <x:v>-11.99268309186278</x:v>
      </x:c>
      <x:c r="P9" s="62" t="n">
        <x:f>F9-K9-I9-J9-N9-L9</x:f>
        <x:v>-147.40934975852943</x:v>
      </x:c>
      <x:c r="Q9" s="62" t="n">
        <x:f>MIN(MAX(0,-(T8+P9)),MAX(0,'17_Gia_dinh_mo_hinh'!$R$4-S8))</x:f>
        <x:v>147.40934975852943</x:v>
      </x:c>
      <x:c r="R9" s="62" t="n">
        <x:f>MIN(MAX(0,T8+P9+Q9),S8+Q9)</x:f>
        <x:v>0</x:v>
      </x:c>
      <x:c r="S9" s="62" t="n">
        <x:f>S8+Q9-R9</x:f>
        <x:v>1662.2745824148806</x:v>
      </x:c>
      <x:c r="T9" s="62" t="n">
        <x:f>MAX(0,T8+P9+Q9-R9)</x:f>
        <x:v>0</x:v>
      </x:c>
      <x:c r="U9" s="62" t="n">
        <x:f>MAX(0,-(T8+P9)-MAX(0,'17_Gia_dinh_mo_hinh'!$R$4-S8))</x:f>
        <x:v>0</x:v>
      </x:c>
      <x:c r="V9" s="61" t="str">
        <x:f>IF(B9&lt;'17_Gia_dinh_mo_hinh'!$F$4+D9,"Trước mở bán",IF(B9&lt;'17_Gia_dinh_mo_hinh'!$H$4+D9,"Bán hàng/thi công",IF(G9&gt;0,"Ghi nhận/bàn giao","Hậu bàn giao")))</x:f>
        <x:v>Trước mở bán</x:v>
      </x:c>
    </x:row>
    <x:row r="10">
      <x:c r="A10" s="54" t="str">
        <x:v>DA01</x:v>
      </x:c>
      <x:c r="B10" s="54" t="n">
        <x:v>7</x:v>
      </x:c>
      <x:c r="C10" s="60" t="n">
        <x:f>EDATE('17_Gia_dinh_mo_hinh'!$C$4,B10-1)</x:f>
        <x:v>46419</x:v>
      </x:c>
      <x:c r="D10" s="61" t="n">
        <x:f>ROUNDUP('17_Gia_dinh_mo_hinh'!$E$4/30,0)</x:f>
        <x:v>6</x:v>
      </x:c>
      <x:c r="E10" s="62" t="n">
        <x:f>IF(AND(B10&gt;='17_Gia_dinh_mo_hinh'!$F$4+D10,B10&lt;'17_Gia_dinh_mo_hinh'!$F$4+D10+'17_Gia_dinh_mo_hinh'!$G$4),'17_Gia_dinh_mo_hinh'!$L$4*(1-'17_Gia_dinh_mo_hinh'!$M$4)/'17_Gia_dinh_mo_hinh'!$G$4,0)</x:f>
        <x:v>0</x:v>
      </x:c>
      <x:c r="F10" s="62" t="n">
        <x:f>0.70*E10+0.30*E9</x:f>
        <x:v>0</x:v>
      </x:c>
      <x:c r="G10" s="62" t="n">
        <x:f>IF(AND(B10&gt;='17_Gia_dinh_mo_hinh'!$H$4+D10,B10&lt;'17_Gia_dinh_mo_hinh'!$H$4+D10+'17_Gia_dinh_mo_hinh'!$I$4),'17_Gia_dinh_mo_hinh'!$L$4*(1-'17_Gia_dinh_mo_hinh'!$M$4)/'17_Gia_dinh_mo_hinh'!$I$4,0)</x:f>
        <x:v>0</x:v>
      </x:c>
      <x:c r="H10" s="62" t="n">
        <x:f>G10*(1-'17_Gia_dinh_mo_hinh'!$N$4)</x:f>
        <x:v>0</x:v>
      </x:c>
      <x:c r="I10" s="62" t="n">
        <x:f>G10*'17_Gia_dinh_mo_hinh'!$O$4</x:f>
        <x:v>0</x:v>
      </x:c>
      <x:c r="J10" s="62" t="n">
        <x:f>G10*'17_Gia_dinh_mo_hinh'!$P$4</x:f>
        <x:v>0</x:v>
      </x:c>
      <x:c r="K10" s="62" t="n">
        <x:f>IF(B10&lt;='17_Gia_dinh_mo_hinh'!$J$4,'17_Gia_dinh_mo_hinh'!$K$4*(1-MIN(0.95,'17_Gia_dinh_mo_hinh'!$M$4*0.75))/'17_Gia_dinh_mo_hinh'!$J$4,0)</x:f>
        <x:v>135.41666666666666</x:v>
      </x:c>
      <x:c r="L10" s="62" t="n">
        <x:f>S9*'17_Gia_dinh_mo_hinh'!$Q$4/12</x:f>
        <x:v>13.159673777451138</x:v>
      </x:c>
      <x:c r="M10" s="62" t="n">
        <x:f>G10-H10-I10-J10-L10</x:f>
        <x:v>-13.159673777451138</x:v>
      </x:c>
      <x:c r="N10" s="62" t="n">
        <x:f>MAX(0,M10*'17_Gia_dinh_mo_hinh'!$S$4)</x:f>
        <x:v>0</x:v>
      </x:c>
      <x:c r="O10" s="62" t="n">
        <x:f>M10-N10</x:f>
        <x:v>-13.159673777451138</x:v>
      </x:c>
      <x:c r="P10" s="62" t="n">
        <x:f>F10-K10-I10-J10-N10-L10</x:f>
        <x:v>-148.5763404441178</x:v>
      </x:c>
      <x:c r="Q10" s="62" t="n">
        <x:f>MIN(MAX(0,-(T9+P10)),MAX(0,'17_Gia_dinh_mo_hinh'!$R$4-S9))</x:f>
        <x:v>148.5763404441178</x:v>
      </x:c>
      <x:c r="R10" s="62" t="n">
        <x:f>MIN(MAX(0,T9+P10+Q10),S9+Q10)</x:f>
        <x:v>0</x:v>
      </x:c>
      <x:c r="S10" s="62" t="n">
        <x:f>S9+Q10-R10</x:f>
        <x:v>1810.8509228589983</x:v>
      </x:c>
      <x:c r="T10" s="62" t="n">
        <x:f>MAX(0,T9+P10+Q10-R10)</x:f>
        <x:v>0</x:v>
      </x:c>
      <x:c r="U10" s="62" t="n">
        <x:f>MAX(0,-(T9+P10)-MAX(0,'17_Gia_dinh_mo_hinh'!$R$4-S9))</x:f>
        <x:v>0</x:v>
      </x:c>
      <x:c r="V10" s="61" t="str">
        <x:f>IF(B10&lt;'17_Gia_dinh_mo_hinh'!$F$4+D10,"Trước mở bán",IF(B10&lt;'17_Gia_dinh_mo_hinh'!$H$4+D10,"Bán hàng/thi công",IF(G10&gt;0,"Ghi nhận/bàn giao","Hậu bàn giao")))</x:f>
        <x:v>Trước mở bán</x:v>
      </x:c>
    </x:row>
    <x:row r="11">
      <x:c r="A11" s="54" t="str">
        <x:v>DA01</x:v>
      </x:c>
      <x:c r="B11" s="54" t="n">
        <x:v>8</x:v>
      </x:c>
      <x:c r="C11" s="60" t="n">
        <x:f>EDATE('17_Gia_dinh_mo_hinh'!$C$4,B11-1)</x:f>
        <x:v>46447</x:v>
      </x:c>
      <x:c r="D11" s="61" t="n">
        <x:f>ROUNDUP('17_Gia_dinh_mo_hinh'!$E$4/30,0)</x:f>
        <x:v>6</x:v>
      </x:c>
      <x:c r="E11" s="62" t="n">
        <x:f>IF(AND(B11&gt;='17_Gia_dinh_mo_hinh'!$F$4+D11,B11&lt;'17_Gia_dinh_mo_hinh'!$F$4+D11+'17_Gia_dinh_mo_hinh'!$G$4),'17_Gia_dinh_mo_hinh'!$L$4*(1-'17_Gia_dinh_mo_hinh'!$M$4)/'17_Gia_dinh_mo_hinh'!$G$4,0)</x:f>
        <x:v>0</x:v>
      </x:c>
      <x:c r="F11" s="62" t="n">
        <x:f>0.70*E11+0.30*E10</x:f>
        <x:v>0</x:v>
      </x:c>
      <x:c r="G11" s="62" t="n">
        <x:f>IF(AND(B11&gt;='17_Gia_dinh_mo_hinh'!$H$4+D11,B11&lt;'17_Gia_dinh_mo_hinh'!$H$4+D11+'17_Gia_dinh_mo_hinh'!$I$4),'17_Gia_dinh_mo_hinh'!$L$4*(1-'17_Gia_dinh_mo_hinh'!$M$4)/'17_Gia_dinh_mo_hinh'!$I$4,0)</x:f>
        <x:v>0</x:v>
      </x:c>
      <x:c r="H11" s="62" t="n">
        <x:f>G11*(1-'17_Gia_dinh_mo_hinh'!$N$4)</x:f>
        <x:v>0</x:v>
      </x:c>
      <x:c r="I11" s="62" t="n">
        <x:f>G11*'17_Gia_dinh_mo_hinh'!$O$4</x:f>
        <x:v>0</x:v>
      </x:c>
      <x:c r="J11" s="62" t="n">
        <x:f>G11*'17_Gia_dinh_mo_hinh'!$P$4</x:f>
        <x:v>0</x:v>
      </x:c>
      <x:c r="K11" s="62" t="n">
        <x:f>IF(B11&lt;='17_Gia_dinh_mo_hinh'!$J$4,'17_Gia_dinh_mo_hinh'!$K$4*(1-MIN(0.95,'17_Gia_dinh_mo_hinh'!$M$4*0.75))/'17_Gia_dinh_mo_hinh'!$J$4,0)</x:f>
        <x:v>135.41666666666666</x:v>
      </x:c>
      <x:c r="L11" s="62" t="n">
        <x:f>S10*'17_Gia_dinh_mo_hinh'!$Q$4/12</x:f>
        <x:v>14.335903139300404</x:v>
      </x:c>
      <x:c r="M11" s="62" t="n">
        <x:f>G11-H11-I11-J11-L11</x:f>
        <x:v>-14.335903139300404</x:v>
      </x:c>
      <x:c r="N11" s="62" t="n">
        <x:f>MAX(0,M11*'17_Gia_dinh_mo_hinh'!$S$4)</x:f>
        <x:v>0</x:v>
      </x:c>
      <x:c r="O11" s="62" t="n">
        <x:f>M11-N11</x:f>
        <x:v>-14.335903139300404</x:v>
      </x:c>
      <x:c r="P11" s="62" t="n">
        <x:f>F11-K11-I11-J11-N11-L11</x:f>
        <x:v>-149.75256980596706</x:v>
      </x:c>
      <x:c r="Q11" s="62" t="n">
        <x:f>MIN(MAX(0,-(T10+P11)),MAX(0,'17_Gia_dinh_mo_hinh'!$R$4-S10))</x:f>
        <x:v>149.75256980596706</x:v>
      </x:c>
      <x:c r="R11" s="62" t="n">
        <x:f>MIN(MAX(0,T10+P11+Q11),S10+Q11)</x:f>
        <x:v>0</x:v>
      </x:c>
      <x:c r="S11" s="62" t="n">
        <x:f>S10+Q11-R11</x:f>
        <x:v>1960.6034926649654</x:v>
      </x:c>
      <x:c r="T11" s="62" t="n">
        <x:f>MAX(0,T10+P11+Q11-R11)</x:f>
        <x:v>0</x:v>
      </x:c>
      <x:c r="U11" s="62" t="n">
        <x:f>MAX(0,-(T10+P11)-MAX(0,'17_Gia_dinh_mo_hinh'!$R$4-S10))</x:f>
        <x:v>0</x:v>
      </x:c>
      <x:c r="V11" s="61" t="str">
        <x:f>IF(B11&lt;'17_Gia_dinh_mo_hinh'!$F$4+D11,"Trước mở bán",IF(B11&lt;'17_Gia_dinh_mo_hinh'!$H$4+D11,"Bán hàng/thi công",IF(G11&gt;0,"Ghi nhận/bàn giao","Hậu bàn giao")))</x:f>
        <x:v>Trước mở bán</x:v>
      </x:c>
    </x:row>
    <x:row r="12">
      <x:c r="A12" s="54" t="str">
        <x:v>DA01</x:v>
      </x:c>
      <x:c r="B12" s="54" t="n">
        <x:v>9</x:v>
      </x:c>
      <x:c r="C12" s="60" t="n">
        <x:f>EDATE('17_Gia_dinh_mo_hinh'!$C$4,B12-1)</x:f>
        <x:v>46478</x:v>
      </x:c>
      <x:c r="D12" s="61" t="n">
        <x:f>ROUNDUP('17_Gia_dinh_mo_hinh'!$E$4/30,0)</x:f>
        <x:v>6</x:v>
      </x:c>
      <x:c r="E12" s="62" t="n">
        <x:f>IF(AND(B12&gt;='17_Gia_dinh_mo_hinh'!$F$4+D12,B12&lt;'17_Gia_dinh_mo_hinh'!$F$4+D12+'17_Gia_dinh_mo_hinh'!$G$4),'17_Gia_dinh_mo_hinh'!$L$4*(1-'17_Gia_dinh_mo_hinh'!$M$4)/'17_Gia_dinh_mo_hinh'!$G$4,0)</x:f>
        <x:v>0</x:v>
      </x:c>
      <x:c r="F12" s="62" t="n">
        <x:f>0.70*E12+0.30*E11</x:f>
        <x:v>0</x:v>
      </x:c>
      <x:c r="G12" s="62" t="n">
        <x:f>IF(AND(B12&gt;='17_Gia_dinh_mo_hinh'!$H$4+D12,B12&lt;'17_Gia_dinh_mo_hinh'!$H$4+D12+'17_Gia_dinh_mo_hinh'!$I$4),'17_Gia_dinh_mo_hinh'!$L$4*(1-'17_Gia_dinh_mo_hinh'!$M$4)/'17_Gia_dinh_mo_hinh'!$I$4,0)</x:f>
        <x:v>0</x:v>
      </x:c>
      <x:c r="H12" s="62" t="n">
        <x:f>G12*(1-'17_Gia_dinh_mo_hinh'!$N$4)</x:f>
        <x:v>0</x:v>
      </x:c>
      <x:c r="I12" s="62" t="n">
        <x:f>G12*'17_Gia_dinh_mo_hinh'!$O$4</x:f>
        <x:v>0</x:v>
      </x:c>
      <x:c r="J12" s="62" t="n">
        <x:f>G12*'17_Gia_dinh_mo_hinh'!$P$4</x:f>
        <x:v>0</x:v>
      </x:c>
      <x:c r="K12" s="62" t="n">
        <x:f>IF(B12&lt;='17_Gia_dinh_mo_hinh'!$J$4,'17_Gia_dinh_mo_hinh'!$K$4*(1-MIN(0.95,'17_Gia_dinh_mo_hinh'!$M$4*0.75))/'17_Gia_dinh_mo_hinh'!$J$4,0)</x:f>
        <x:v>135.41666666666666</x:v>
      </x:c>
      <x:c r="L12" s="62" t="n">
        <x:f>S11*'17_Gia_dinh_mo_hinh'!$Q$4/12</x:f>
        <x:v>15.521444316930976</x:v>
      </x:c>
      <x:c r="M12" s="62" t="n">
        <x:f>G12-H12-I12-J12-L12</x:f>
        <x:v>-15.521444316930976</x:v>
      </x:c>
      <x:c r="N12" s="62" t="n">
        <x:f>MAX(0,M12*'17_Gia_dinh_mo_hinh'!$S$4)</x:f>
        <x:v>0</x:v>
      </x:c>
      <x:c r="O12" s="62" t="n">
        <x:f>M12-N12</x:f>
        <x:v>-15.521444316930976</x:v>
      </x:c>
      <x:c r="P12" s="62" t="n">
        <x:f>F12-K12-I12-J12-N12-L12</x:f>
        <x:v>-150.93811098359762</x:v>
      </x:c>
      <x:c r="Q12" s="62" t="n">
        <x:f>MIN(MAX(0,-(T11+P12)),MAX(0,'17_Gia_dinh_mo_hinh'!$R$4-S11))</x:f>
        <x:v>150.93811098359762</x:v>
      </x:c>
      <x:c r="R12" s="62" t="n">
        <x:f>MIN(MAX(0,T11+P12+Q12),S11+Q12)</x:f>
        <x:v>0</x:v>
      </x:c>
      <x:c r="S12" s="62" t="n">
        <x:f>S11+Q12-R12</x:f>
        <x:v>2111.541603648563</x:v>
      </x:c>
      <x:c r="T12" s="62" t="n">
        <x:f>MAX(0,T11+P12+Q12-R12)</x:f>
        <x:v>0</x:v>
      </x:c>
      <x:c r="U12" s="62" t="n">
        <x:f>MAX(0,-(T11+P12)-MAX(0,'17_Gia_dinh_mo_hinh'!$R$4-S11))</x:f>
        <x:v>0</x:v>
      </x:c>
      <x:c r="V12" s="61" t="str">
        <x:f>IF(B12&lt;'17_Gia_dinh_mo_hinh'!$F$4+D12,"Trước mở bán",IF(B12&lt;'17_Gia_dinh_mo_hinh'!$H$4+D12,"Bán hàng/thi công",IF(G12&gt;0,"Ghi nhận/bàn giao","Hậu bàn giao")))</x:f>
        <x:v>Trước mở bán</x:v>
      </x:c>
    </x:row>
    <x:row r="13">
      <x:c r="A13" s="54" t="str">
        <x:v>DA01</x:v>
      </x:c>
      <x:c r="B13" s="54" t="n">
        <x:v>10</x:v>
      </x:c>
      <x:c r="C13" s="60" t="n">
        <x:f>EDATE('17_Gia_dinh_mo_hinh'!$C$4,B13-1)</x:f>
        <x:v>46508</x:v>
      </x:c>
      <x:c r="D13" s="61" t="n">
        <x:f>ROUNDUP('17_Gia_dinh_mo_hinh'!$E$4/30,0)</x:f>
        <x:v>6</x:v>
      </x:c>
      <x:c r="E13" s="62" t="n">
        <x:f>IF(AND(B13&gt;='17_Gia_dinh_mo_hinh'!$F$4+D13,B13&lt;'17_Gia_dinh_mo_hinh'!$F$4+D13+'17_Gia_dinh_mo_hinh'!$G$4),'17_Gia_dinh_mo_hinh'!$L$4*(1-'17_Gia_dinh_mo_hinh'!$M$4)/'17_Gia_dinh_mo_hinh'!$G$4,0)</x:f>
        <x:v>0</x:v>
      </x:c>
      <x:c r="F13" s="62" t="n">
        <x:f>0.70*E13+0.30*E12</x:f>
        <x:v>0</x:v>
      </x:c>
      <x:c r="G13" s="62" t="n">
        <x:f>IF(AND(B13&gt;='17_Gia_dinh_mo_hinh'!$H$4+D13,B13&lt;'17_Gia_dinh_mo_hinh'!$H$4+D13+'17_Gia_dinh_mo_hinh'!$I$4),'17_Gia_dinh_mo_hinh'!$L$4*(1-'17_Gia_dinh_mo_hinh'!$M$4)/'17_Gia_dinh_mo_hinh'!$I$4,0)</x:f>
        <x:v>0</x:v>
      </x:c>
      <x:c r="H13" s="62" t="n">
        <x:f>G13*(1-'17_Gia_dinh_mo_hinh'!$N$4)</x:f>
        <x:v>0</x:v>
      </x:c>
      <x:c r="I13" s="62" t="n">
        <x:f>G13*'17_Gia_dinh_mo_hinh'!$O$4</x:f>
        <x:v>0</x:v>
      </x:c>
      <x:c r="J13" s="62" t="n">
        <x:f>G13*'17_Gia_dinh_mo_hinh'!$P$4</x:f>
        <x:v>0</x:v>
      </x:c>
      <x:c r="K13" s="62" t="n">
        <x:f>IF(B13&lt;='17_Gia_dinh_mo_hinh'!$J$4,'17_Gia_dinh_mo_hinh'!$K$4*(1-MIN(0.95,'17_Gia_dinh_mo_hinh'!$M$4*0.75))/'17_Gia_dinh_mo_hinh'!$J$4,0)</x:f>
        <x:v>135.41666666666666</x:v>
      </x:c>
      <x:c r="L13" s="62" t="n">
        <x:f>S12*'17_Gia_dinh_mo_hinh'!$Q$4/12</x:f>
        <x:v>16.716371028884456</x:v>
      </x:c>
      <x:c r="M13" s="62" t="n">
        <x:f>G13-H13-I13-J13-L13</x:f>
        <x:v>-16.716371028884456</x:v>
      </x:c>
      <x:c r="N13" s="62" t="n">
        <x:f>MAX(0,M13*'17_Gia_dinh_mo_hinh'!$S$4)</x:f>
        <x:v>0</x:v>
      </x:c>
      <x:c r="O13" s="62" t="n">
        <x:f>M13-N13</x:f>
        <x:v>-16.716371028884456</x:v>
      </x:c>
      <x:c r="P13" s="62" t="n">
        <x:f>F13-K13-I13-J13-N13-L13</x:f>
        <x:v>-152.1330376955511</x:v>
      </x:c>
      <x:c r="Q13" s="62" t="n">
        <x:f>MIN(MAX(0,-(T12+P13)),MAX(0,'17_Gia_dinh_mo_hinh'!$R$4-S12))</x:f>
        <x:v>152.1330376955511</x:v>
      </x:c>
      <x:c r="R13" s="62" t="n">
        <x:f>MIN(MAX(0,T12+P13+Q13),S12+Q13)</x:f>
        <x:v>0</x:v>
      </x:c>
      <x:c r="S13" s="62" t="n">
        <x:f>S12+Q13-R13</x:f>
        <x:v>2263.674641344114</x:v>
      </x:c>
      <x:c r="T13" s="62" t="n">
        <x:f>MAX(0,T12+P13+Q13-R13)</x:f>
        <x:v>0</x:v>
      </x:c>
      <x:c r="U13" s="62" t="n">
        <x:f>MAX(0,-(T12+P13)-MAX(0,'17_Gia_dinh_mo_hinh'!$R$4-S12))</x:f>
        <x:v>0</x:v>
      </x:c>
      <x:c r="V13" s="61" t="str">
        <x:f>IF(B13&lt;'17_Gia_dinh_mo_hinh'!$F$4+D13,"Trước mở bán",IF(B13&lt;'17_Gia_dinh_mo_hinh'!$H$4+D13,"Bán hàng/thi công",IF(G13&gt;0,"Ghi nhận/bàn giao","Hậu bàn giao")))</x:f>
        <x:v>Trước mở bán</x:v>
      </x:c>
    </x:row>
    <x:row r="14">
      <x:c r="A14" s="54" t="str">
        <x:v>DA01</x:v>
      </x:c>
      <x:c r="B14" s="54" t="n">
        <x:v>11</x:v>
      </x:c>
      <x:c r="C14" s="60" t="n">
        <x:f>EDATE('17_Gia_dinh_mo_hinh'!$C$4,B14-1)</x:f>
        <x:v>46539</x:v>
      </x:c>
      <x:c r="D14" s="61" t="n">
        <x:f>ROUNDUP('17_Gia_dinh_mo_hinh'!$E$4/30,0)</x:f>
        <x:v>6</x:v>
      </x:c>
      <x:c r="E14" s="62" t="n">
        <x:f>IF(AND(B14&gt;='17_Gia_dinh_mo_hinh'!$F$4+D14,B14&lt;'17_Gia_dinh_mo_hinh'!$F$4+D14+'17_Gia_dinh_mo_hinh'!$G$4),'17_Gia_dinh_mo_hinh'!$L$4*(1-'17_Gia_dinh_mo_hinh'!$M$4)/'17_Gia_dinh_mo_hinh'!$G$4,0)</x:f>
        <x:v>0</x:v>
      </x:c>
      <x:c r="F14" s="62" t="n">
        <x:f>0.70*E14+0.30*E13</x:f>
        <x:v>0</x:v>
      </x:c>
      <x:c r="G14" s="62" t="n">
        <x:f>IF(AND(B14&gt;='17_Gia_dinh_mo_hinh'!$H$4+D14,B14&lt;'17_Gia_dinh_mo_hinh'!$H$4+D14+'17_Gia_dinh_mo_hinh'!$I$4),'17_Gia_dinh_mo_hinh'!$L$4*(1-'17_Gia_dinh_mo_hinh'!$M$4)/'17_Gia_dinh_mo_hinh'!$I$4,0)</x:f>
        <x:v>0</x:v>
      </x:c>
      <x:c r="H14" s="62" t="n">
        <x:f>G14*(1-'17_Gia_dinh_mo_hinh'!$N$4)</x:f>
        <x:v>0</x:v>
      </x:c>
      <x:c r="I14" s="62" t="n">
        <x:f>G14*'17_Gia_dinh_mo_hinh'!$O$4</x:f>
        <x:v>0</x:v>
      </x:c>
      <x:c r="J14" s="62" t="n">
        <x:f>G14*'17_Gia_dinh_mo_hinh'!$P$4</x:f>
        <x:v>0</x:v>
      </x:c>
      <x:c r="K14" s="62" t="n">
        <x:f>IF(B14&lt;='17_Gia_dinh_mo_hinh'!$J$4,'17_Gia_dinh_mo_hinh'!$K$4*(1-MIN(0.95,'17_Gia_dinh_mo_hinh'!$M$4*0.75))/'17_Gia_dinh_mo_hinh'!$J$4,0)</x:f>
        <x:v>135.41666666666666</x:v>
      </x:c>
      <x:c r="L14" s="62" t="n">
        <x:f>S13*'17_Gia_dinh_mo_hinh'!$Q$4/12</x:f>
        <x:v>17.920757577307572</x:v>
      </x:c>
      <x:c r="M14" s="62" t="n">
        <x:f>G14-H14-I14-J14-L14</x:f>
        <x:v>-17.920757577307572</x:v>
      </x:c>
      <x:c r="N14" s="62" t="n">
        <x:f>MAX(0,M14*'17_Gia_dinh_mo_hinh'!$S$4)</x:f>
        <x:v>0</x:v>
      </x:c>
      <x:c r="O14" s="62" t="n">
        <x:f>M14-N14</x:f>
        <x:v>-17.920757577307572</x:v>
      </x:c>
      <x:c r="P14" s="62" t="n">
        <x:f>F14-K14-I14-J14-N14-L14</x:f>
        <x:v>-153.33742424397423</x:v>
      </x:c>
      <x:c r="Q14" s="62" t="n">
        <x:f>MIN(MAX(0,-(T13+P14)),MAX(0,'17_Gia_dinh_mo_hinh'!$R$4-S13))</x:f>
        <x:v>153.33742424397423</x:v>
      </x:c>
      <x:c r="R14" s="62" t="n">
        <x:f>MIN(MAX(0,T13+P14+Q14),S13+Q14)</x:f>
        <x:v>0</x:v>
      </x:c>
      <x:c r="S14" s="62" t="n">
        <x:f>S13+Q14-R14</x:f>
        <x:v>2417.0120655880883</x:v>
      </x:c>
      <x:c r="T14" s="62" t="n">
        <x:f>MAX(0,T13+P14+Q14-R14)</x:f>
        <x:v>0</x:v>
      </x:c>
      <x:c r="U14" s="62" t="n">
        <x:f>MAX(0,-(T13+P14)-MAX(0,'17_Gia_dinh_mo_hinh'!$R$4-S13))</x:f>
        <x:v>0</x:v>
      </x:c>
      <x:c r="V14" s="61" t="str">
        <x:f>IF(B14&lt;'17_Gia_dinh_mo_hinh'!$F$4+D14,"Trước mở bán",IF(B14&lt;'17_Gia_dinh_mo_hinh'!$H$4+D14,"Bán hàng/thi công",IF(G14&gt;0,"Ghi nhận/bàn giao","Hậu bàn giao")))</x:f>
        <x:v>Trước mở bán</x:v>
      </x:c>
    </x:row>
    <x:row r="15">
      <x:c r="A15" s="54" t="str">
        <x:v>DA01</x:v>
      </x:c>
      <x:c r="B15" s="54" t="n">
        <x:v>12</x:v>
      </x:c>
      <x:c r="C15" s="60" t="n">
        <x:f>EDATE('17_Gia_dinh_mo_hinh'!$C$4,B15-1)</x:f>
        <x:v>46569</x:v>
      </x:c>
      <x:c r="D15" s="61" t="n">
        <x:f>ROUNDUP('17_Gia_dinh_mo_hinh'!$E$4/30,0)</x:f>
        <x:v>6</x:v>
      </x:c>
      <x:c r="E15" s="62" t="n">
        <x:f>IF(AND(B15&gt;='17_Gia_dinh_mo_hinh'!$F$4+D15,B15&lt;'17_Gia_dinh_mo_hinh'!$F$4+D15+'17_Gia_dinh_mo_hinh'!$G$4),'17_Gia_dinh_mo_hinh'!$L$4*(1-'17_Gia_dinh_mo_hinh'!$M$4)/'17_Gia_dinh_mo_hinh'!$G$4,0)</x:f>
        <x:v>0</x:v>
      </x:c>
      <x:c r="F15" s="62" t="n">
        <x:f>0.70*E15+0.30*E14</x:f>
        <x:v>0</x:v>
      </x:c>
      <x:c r="G15" s="62" t="n">
        <x:f>IF(AND(B15&gt;='17_Gia_dinh_mo_hinh'!$H$4+D15,B15&lt;'17_Gia_dinh_mo_hinh'!$H$4+D15+'17_Gia_dinh_mo_hinh'!$I$4),'17_Gia_dinh_mo_hinh'!$L$4*(1-'17_Gia_dinh_mo_hinh'!$M$4)/'17_Gia_dinh_mo_hinh'!$I$4,0)</x:f>
        <x:v>0</x:v>
      </x:c>
      <x:c r="H15" s="62" t="n">
        <x:f>G15*(1-'17_Gia_dinh_mo_hinh'!$N$4)</x:f>
        <x:v>0</x:v>
      </x:c>
      <x:c r="I15" s="62" t="n">
        <x:f>G15*'17_Gia_dinh_mo_hinh'!$O$4</x:f>
        <x:v>0</x:v>
      </x:c>
      <x:c r="J15" s="62" t="n">
        <x:f>G15*'17_Gia_dinh_mo_hinh'!$P$4</x:f>
        <x:v>0</x:v>
      </x:c>
      <x:c r="K15" s="62" t="n">
        <x:f>IF(B15&lt;='17_Gia_dinh_mo_hinh'!$J$4,'17_Gia_dinh_mo_hinh'!$K$4*(1-MIN(0.95,'17_Gia_dinh_mo_hinh'!$M$4*0.75))/'17_Gia_dinh_mo_hinh'!$J$4,0)</x:f>
        <x:v>135.41666666666666</x:v>
      </x:c>
      <x:c r="L15" s="62" t="n">
        <x:f>S14*'17_Gia_dinh_mo_hinh'!$Q$4/12</x:f>
        <x:v>19.134678852572367</x:v>
      </x:c>
      <x:c r="M15" s="62" t="n">
        <x:f>G15-H15-I15-J15-L15</x:f>
        <x:v>-19.134678852572367</x:v>
      </x:c>
      <x:c r="N15" s="62" t="n">
        <x:f>MAX(0,M15*'17_Gia_dinh_mo_hinh'!$S$4)</x:f>
        <x:v>0</x:v>
      </x:c>
      <x:c r="O15" s="62" t="n">
        <x:f>M15-N15</x:f>
        <x:v>-19.134678852572367</x:v>
      </x:c>
      <x:c r="P15" s="62" t="n">
        <x:f>F15-K15-I15-J15-N15-L15</x:f>
        <x:v>-154.55134551923902</x:v>
      </x:c>
      <x:c r="Q15" s="62" t="n">
        <x:f>MIN(MAX(0,-(T14+P15)),MAX(0,'17_Gia_dinh_mo_hinh'!$R$4-S14))</x:f>
        <x:v>154.55134551923902</x:v>
      </x:c>
      <x:c r="R15" s="62" t="n">
        <x:f>MIN(MAX(0,T14+P15+Q15),S14+Q15)</x:f>
        <x:v>0</x:v>
      </x:c>
      <x:c r="S15" s="62" t="n">
        <x:f>S14+Q15-R15</x:f>
        <x:v>2571.5634111073273</x:v>
      </x:c>
      <x:c r="T15" s="62" t="n">
        <x:f>MAX(0,T14+P15+Q15-R15)</x:f>
        <x:v>0</x:v>
      </x:c>
      <x:c r="U15" s="62" t="n">
        <x:f>MAX(0,-(T14+P15)-MAX(0,'17_Gia_dinh_mo_hinh'!$R$4-S14))</x:f>
        <x:v>0</x:v>
      </x:c>
      <x:c r="V15" s="61" t="str">
        <x:f>IF(B15&lt;'17_Gia_dinh_mo_hinh'!$F$4+D15,"Trước mở bán",IF(B15&lt;'17_Gia_dinh_mo_hinh'!$H$4+D15,"Bán hàng/thi công",IF(G15&gt;0,"Ghi nhận/bàn giao","Hậu bàn giao")))</x:f>
        <x:v>Trước mở bán</x:v>
      </x:c>
    </x:row>
    <x:row r="16">
      <x:c r="A16" s="54" t="str">
        <x:v>DA01</x:v>
      </x:c>
      <x:c r="B16" s="54" t="n">
        <x:v>13</x:v>
      </x:c>
      <x:c r="C16" s="60" t="n">
        <x:f>EDATE('17_Gia_dinh_mo_hinh'!$C$4,B16-1)</x:f>
        <x:v>46600</x:v>
      </x:c>
      <x:c r="D16" s="61" t="n">
        <x:f>ROUNDUP('17_Gia_dinh_mo_hinh'!$E$4/30,0)</x:f>
        <x:v>6</x:v>
      </x:c>
      <x:c r="E16" s="62" t="n">
        <x:f>IF(AND(B16&gt;='17_Gia_dinh_mo_hinh'!$F$4+D16,B16&lt;'17_Gia_dinh_mo_hinh'!$F$4+D16+'17_Gia_dinh_mo_hinh'!$G$4),'17_Gia_dinh_mo_hinh'!$L$4*(1-'17_Gia_dinh_mo_hinh'!$M$4)/'17_Gia_dinh_mo_hinh'!$G$4,0)</x:f>
        <x:v>0</x:v>
      </x:c>
      <x:c r="F16" s="62" t="n">
        <x:f>0.70*E16+0.30*E15</x:f>
        <x:v>0</x:v>
      </x:c>
      <x:c r="G16" s="62" t="n">
        <x:f>IF(AND(B16&gt;='17_Gia_dinh_mo_hinh'!$H$4+D16,B16&lt;'17_Gia_dinh_mo_hinh'!$H$4+D16+'17_Gia_dinh_mo_hinh'!$I$4),'17_Gia_dinh_mo_hinh'!$L$4*(1-'17_Gia_dinh_mo_hinh'!$M$4)/'17_Gia_dinh_mo_hinh'!$I$4,0)</x:f>
        <x:v>0</x:v>
      </x:c>
      <x:c r="H16" s="62" t="n">
        <x:f>G16*(1-'17_Gia_dinh_mo_hinh'!$N$4)</x:f>
        <x:v>0</x:v>
      </x:c>
      <x:c r="I16" s="62" t="n">
        <x:f>G16*'17_Gia_dinh_mo_hinh'!$O$4</x:f>
        <x:v>0</x:v>
      </x:c>
      <x:c r="J16" s="62" t="n">
        <x:f>G16*'17_Gia_dinh_mo_hinh'!$P$4</x:f>
        <x:v>0</x:v>
      </x:c>
      <x:c r="K16" s="62" t="n">
        <x:f>IF(B16&lt;='17_Gia_dinh_mo_hinh'!$J$4,'17_Gia_dinh_mo_hinh'!$K$4*(1-MIN(0.95,'17_Gia_dinh_mo_hinh'!$M$4*0.75))/'17_Gia_dinh_mo_hinh'!$J$4,0)</x:f>
        <x:v>135.41666666666666</x:v>
      </x:c>
      <x:c r="L16" s="62" t="n">
        <x:f>S15*'17_Gia_dinh_mo_hinh'!$Q$4/12</x:f>
        <x:v>20.358210337933006</x:v>
      </x:c>
      <x:c r="M16" s="62" t="n">
        <x:f>G16-H16-I16-J16-L16</x:f>
        <x:v>-20.358210337933006</x:v>
      </x:c>
      <x:c r="N16" s="62" t="n">
        <x:f>MAX(0,M16*'17_Gia_dinh_mo_hinh'!$S$4)</x:f>
        <x:v>0</x:v>
      </x:c>
      <x:c r="O16" s="62" t="n">
        <x:f>M16-N16</x:f>
        <x:v>-20.358210337933006</x:v>
      </x:c>
      <x:c r="P16" s="62" t="n">
        <x:f>F16-K16-I16-J16-N16-L16</x:f>
        <x:v>-155.77487700459966</x:v>
      </x:c>
      <x:c r="Q16" s="62" t="n">
        <x:f>MIN(MAX(0,-(T15+P16)),MAX(0,'17_Gia_dinh_mo_hinh'!$R$4-S15))</x:f>
        <x:v>155.77487700459966</x:v>
      </x:c>
      <x:c r="R16" s="62" t="n">
        <x:f>MIN(MAX(0,T15+P16+Q16),S15+Q16)</x:f>
        <x:v>0</x:v>
      </x:c>
      <x:c r="S16" s="62" t="n">
        <x:f>S15+Q16-R16</x:f>
        <x:v>2727.338288111927</x:v>
      </x:c>
      <x:c r="T16" s="62" t="n">
        <x:f>MAX(0,T15+P16+Q16-R16)</x:f>
        <x:v>0</x:v>
      </x:c>
      <x:c r="U16" s="62" t="n">
        <x:f>MAX(0,-(T15+P16)-MAX(0,'17_Gia_dinh_mo_hinh'!$R$4-S15))</x:f>
        <x:v>0</x:v>
      </x:c>
      <x:c r="V16" s="61" t="str">
        <x:f>IF(B16&lt;'17_Gia_dinh_mo_hinh'!$F$4+D16,"Trước mở bán",IF(B16&lt;'17_Gia_dinh_mo_hinh'!$H$4+D16,"Bán hàng/thi công",IF(G16&gt;0,"Ghi nhận/bàn giao","Hậu bàn giao")))</x:f>
        <x:v>Trước mở bán</x:v>
      </x:c>
    </x:row>
    <x:row r="17">
      <x:c r="A17" s="54" t="str">
        <x:v>DA01</x:v>
      </x:c>
      <x:c r="B17" s="54" t="n">
        <x:v>14</x:v>
      </x:c>
      <x:c r="C17" s="60" t="n">
        <x:f>EDATE('17_Gia_dinh_mo_hinh'!$C$4,B17-1)</x:f>
        <x:v>46631</x:v>
      </x:c>
      <x:c r="D17" s="61" t="n">
        <x:f>ROUNDUP('17_Gia_dinh_mo_hinh'!$E$4/30,0)</x:f>
        <x:v>6</x:v>
      </x:c>
      <x:c r="E17" s="62" t="n">
        <x:f>IF(AND(B17&gt;='17_Gia_dinh_mo_hinh'!$F$4+D17,B17&lt;'17_Gia_dinh_mo_hinh'!$F$4+D17+'17_Gia_dinh_mo_hinh'!$G$4),'17_Gia_dinh_mo_hinh'!$L$4*(1-'17_Gia_dinh_mo_hinh'!$M$4)/'17_Gia_dinh_mo_hinh'!$G$4,0)</x:f>
        <x:v>0</x:v>
      </x:c>
      <x:c r="F17" s="62" t="n">
        <x:f>0.70*E17+0.30*E16</x:f>
        <x:v>0</x:v>
      </x:c>
      <x:c r="G17" s="62" t="n">
        <x:f>IF(AND(B17&gt;='17_Gia_dinh_mo_hinh'!$H$4+D17,B17&lt;'17_Gia_dinh_mo_hinh'!$H$4+D17+'17_Gia_dinh_mo_hinh'!$I$4),'17_Gia_dinh_mo_hinh'!$L$4*(1-'17_Gia_dinh_mo_hinh'!$M$4)/'17_Gia_dinh_mo_hinh'!$I$4,0)</x:f>
        <x:v>0</x:v>
      </x:c>
      <x:c r="H17" s="62" t="n">
        <x:f>G17*(1-'17_Gia_dinh_mo_hinh'!$N$4)</x:f>
        <x:v>0</x:v>
      </x:c>
      <x:c r="I17" s="62" t="n">
        <x:f>G17*'17_Gia_dinh_mo_hinh'!$O$4</x:f>
        <x:v>0</x:v>
      </x:c>
      <x:c r="J17" s="62" t="n">
        <x:f>G17*'17_Gia_dinh_mo_hinh'!$P$4</x:f>
        <x:v>0</x:v>
      </x:c>
      <x:c r="K17" s="62" t="n">
        <x:f>IF(B17&lt;='17_Gia_dinh_mo_hinh'!$J$4,'17_Gia_dinh_mo_hinh'!$K$4*(1-MIN(0.95,'17_Gia_dinh_mo_hinh'!$M$4*0.75))/'17_Gia_dinh_mo_hinh'!$J$4,0)</x:f>
        <x:v>135.41666666666666</x:v>
      </x:c>
      <x:c r="L17" s="62" t="n">
        <x:f>S16*'17_Gia_dinh_mo_hinh'!$Q$4/12</x:f>
        <x:v>21.591428114219422</x:v>
      </x:c>
      <x:c r="M17" s="62" t="n">
        <x:f>G17-H17-I17-J17-L17</x:f>
        <x:v>-21.591428114219422</x:v>
      </x:c>
      <x:c r="N17" s="62" t="n">
        <x:f>MAX(0,M17*'17_Gia_dinh_mo_hinh'!$S$4)</x:f>
        <x:v>0</x:v>
      </x:c>
      <x:c r="O17" s="62" t="n">
        <x:f>M17-N17</x:f>
        <x:v>-21.591428114219422</x:v>
      </x:c>
      <x:c r="P17" s="62" t="n">
        <x:f>F17-K17-I17-J17-N17-L17</x:f>
        <x:v>-157.00809478088607</x:v>
      </x:c>
      <x:c r="Q17" s="62" t="n">
        <x:f>MIN(MAX(0,-(T16+P17)),MAX(0,'17_Gia_dinh_mo_hinh'!$R$4-S16))</x:f>
        <x:v>157.00809478088607</x:v>
      </x:c>
      <x:c r="R17" s="62" t="n">
        <x:f>MIN(MAX(0,T16+P17+Q17),S16+Q17)</x:f>
        <x:v>0</x:v>
      </x:c>
      <x:c r="S17" s="62" t="n">
        <x:f>S16+Q17-R17</x:f>
        <x:v>2884.346382892813</x:v>
      </x:c>
      <x:c r="T17" s="62" t="n">
        <x:f>MAX(0,T16+P17+Q17-R17)</x:f>
        <x:v>0</x:v>
      </x:c>
      <x:c r="U17" s="62" t="n">
        <x:f>MAX(0,-(T16+P17)-MAX(0,'17_Gia_dinh_mo_hinh'!$R$4-S16))</x:f>
        <x:v>0</x:v>
      </x:c>
      <x:c r="V17" s="61" t="str">
        <x:f>IF(B17&lt;'17_Gia_dinh_mo_hinh'!$F$4+D17,"Trước mở bán",IF(B17&lt;'17_Gia_dinh_mo_hinh'!$H$4+D17,"Bán hàng/thi công",IF(G17&gt;0,"Ghi nhận/bàn giao","Hậu bàn giao")))</x:f>
        <x:v>Trước mở bán</x:v>
      </x:c>
    </x:row>
    <x:row r="18">
      <x:c r="A18" s="54" t="str">
        <x:v>DA01</x:v>
      </x:c>
      <x:c r="B18" s="54" t="n">
        <x:v>15</x:v>
      </x:c>
      <x:c r="C18" s="60" t="n">
        <x:f>EDATE('17_Gia_dinh_mo_hinh'!$C$4,B18-1)</x:f>
        <x:v>46661</x:v>
      </x:c>
      <x:c r="D18" s="61" t="n">
        <x:f>ROUNDUP('17_Gia_dinh_mo_hinh'!$E$4/30,0)</x:f>
        <x:v>6</x:v>
      </x:c>
      <x:c r="E18" s="62" t="n">
        <x:f>IF(AND(B18&gt;='17_Gia_dinh_mo_hinh'!$F$4+D18,B18&lt;'17_Gia_dinh_mo_hinh'!$F$4+D18+'17_Gia_dinh_mo_hinh'!$G$4),'17_Gia_dinh_mo_hinh'!$L$4*(1-'17_Gia_dinh_mo_hinh'!$M$4)/'17_Gia_dinh_mo_hinh'!$G$4,0)</x:f>
        <x:v>0</x:v>
      </x:c>
      <x:c r="F18" s="62" t="n">
        <x:f>0.70*E18+0.30*E17</x:f>
        <x:v>0</x:v>
      </x:c>
      <x:c r="G18" s="62" t="n">
        <x:f>IF(AND(B18&gt;='17_Gia_dinh_mo_hinh'!$H$4+D18,B18&lt;'17_Gia_dinh_mo_hinh'!$H$4+D18+'17_Gia_dinh_mo_hinh'!$I$4),'17_Gia_dinh_mo_hinh'!$L$4*(1-'17_Gia_dinh_mo_hinh'!$M$4)/'17_Gia_dinh_mo_hinh'!$I$4,0)</x:f>
        <x:v>0</x:v>
      </x:c>
      <x:c r="H18" s="62" t="n">
        <x:f>G18*(1-'17_Gia_dinh_mo_hinh'!$N$4)</x:f>
        <x:v>0</x:v>
      </x:c>
      <x:c r="I18" s="62" t="n">
        <x:f>G18*'17_Gia_dinh_mo_hinh'!$O$4</x:f>
        <x:v>0</x:v>
      </x:c>
      <x:c r="J18" s="62" t="n">
        <x:f>G18*'17_Gia_dinh_mo_hinh'!$P$4</x:f>
        <x:v>0</x:v>
      </x:c>
      <x:c r="K18" s="62" t="n">
        <x:f>IF(B18&lt;='17_Gia_dinh_mo_hinh'!$J$4,'17_Gia_dinh_mo_hinh'!$K$4*(1-MIN(0.95,'17_Gia_dinh_mo_hinh'!$M$4*0.75))/'17_Gia_dinh_mo_hinh'!$J$4,0)</x:f>
        <x:v>135.41666666666666</x:v>
      </x:c>
      <x:c r="L18" s="62" t="n">
        <x:f>S17*'17_Gia_dinh_mo_hinh'!$Q$4/12</x:f>
        <x:v>22.834408864568104</x:v>
      </x:c>
      <x:c r="M18" s="62" t="n">
        <x:f>G18-H18-I18-J18-L18</x:f>
        <x:v>-22.834408864568104</x:v>
      </x:c>
      <x:c r="N18" s="62" t="n">
        <x:f>MAX(0,M18*'17_Gia_dinh_mo_hinh'!$S$4)</x:f>
        <x:v>0</x:v>
      </x:c>
      <x:c r="O18" s="62" t="n">
        <x:f>M18-N18</x:f>
        <x:v>-22.834408864568104</x:v>
      </x:c>
      <x:c r="P18" s="62" t="n">
        <x:f>F18-K18-I18-J18-N18-L18</x:f>
        <x:v>-158.25107553123476</x:v>
      </x:c>
      <x:c r="Q18" s="62" t="n">
        <x:f>MIN(MAX(0,-(T17+P18)),MAX(0,'17_Gia_dinh_mo_hinh'!$R$4-S17))</x:f>
        <x:v>40.653617107187074</x:v>
      </x:c>
      <x:c r="R18" s="62" t="n">
        <x:f>MIN(MAX(0,T17+P18+Q18),S17+Q18)</x:f>
        <x:v>0</x:v>
      </x:c>
      <x:c r="S18" s="62" t="n">
        <x:f>S17+Q18-R18</x:f>
        <x:v>2925</x:v>
      </x:c>
      <x:c r="T18" s="62" t="n">
        <x:f>MAX(0,T17+P18+Q18-R18)</x:f>
        <x:v>0</x:v>
      </x:c>
      <x:c r="U18" s="62" t="n">
        <x:f>MAX(0,-(T17+P18)-MAX(0,'17_Gia_dinh_mo_hinh'!$R$4-S17))</x:f>
        <x:v>117.59745842404769</x:v>
      </x:c>
      <x:c r="V18" s="61" t="str">
        <x:f>IF(B18&lt;'17_Gia_dinh_mo_hinh'!$F$4+D18,"Trước mở bán",IF(B18&lt;'17_Gia_dinh_mo_hinh'!$H$4+D18,"Bán hàng/thi công",IF(G18&gt;0,"Ghi nhận/bàn giao","Hậu bàn giao")))</x:f>
        <x:v>Trước mở bán</x:v>
      </x:c>
    </x:row>
    <x:row r="19">
      <x:c r="A19" s="54" t="str">
        <x:v>DA01</x:v>
      </x:c>
      <x:c r="B19" s="54" t="n">
        <x:v>16</x:v>
      </x:c>
      <x:c r="C19" s="60" t="n">
        <x:f>EDATE('17_Gia_dinh_mo_hinh'!$C$4,B19-1)</x:f>
        <x:v>46692</x:v>
      </x:c>
      <x:c r="D19" s="61" t="n">
        <x:f>ROUNDUP('17_Gia_dinh_mo_hinh'!$E$4/30,0)</x:f>
        <x:v>6</x:v>
      </x:c>
      <x:c r="E19" s="62" t="n">
        <x:f>IF(AND(B19&gt;='17_Gia_dinh_mo_hinh'!$F$4+D19,B19&lt;'17_Gia_dinh_mo_hinh'!$F$4+D19+'17_Gia_dinh_mo_hinh'!$G$4),'17_Gia_dinh_mo_hinh'!$L$4*(1-'17_Gia_dinh_mo_hinh'!$M$4)/'17_Gia_dinh_mo_hinh'!$G$4,0)</x:f>
        <x:v>0</x:v>
      </x:c>
      <x:c r="F19" s="62" t="n">
        <x:f>0.70*E19+0.30*E18</x:f>
        <x:v>0</x:v>
      </x:c>
      <x:c r="G19" s="62" t="n">
        <x:f>IF(AND(B19&gt;='17_Gia_dinh_mo_hinh'!$H$4+D19,B19&lt;'17_Gia_dinh_mo_hinh'!$H$4+D19+'17_Gia_dinh_mo_hinh'!$I$4),'17_Gia_dinh_mo_hinh'!$L$4*(1-'17_Gia_dinh_mo_hinh'!$M$4)/'17_Gia_dinh_mo_hinh'!$I$4,0)</x:f>
        <x:v>0</x:v>
      </x:c>
      <x:c r="H19" s="62" t="n">
        <x:f>G19*(1-'17_Gia_dinh_mo_hinh'!$N$4)</x:f>
        <x:v>0</x:v>
      </x:c>
      <x:c r="I19" s="62" t="n">
        <x:f>G19*'17_Gia_dinh_mo_hinh'!$O$4</x:f>
        <x:v>0</x:v>
      </x:c>
      <x:c r="J19" s="62" t="n">
        <x:f>G19*'17_Gia_dinh_mo_hinh'!$P$4</x:f>
        <x:v>0</x:v>
      </x:c>
      <x:c r="K19" s="62" t="n">
        <x:f>IF(B19&lt;='17_Gia_dinh_mo_hinh'!$J$4,'17_Gia_dinh_mo_hinh'!$K$4*(1-MIN(0.95,'17_Gia_dinh_mo_hinh'!$M$4*0.75))/'17_Gia_dinh_mo_hinh'!$J$4,0)</x:f>
        <x:v>135.41666666666666</x:v>
      </x:c>
      <x:c r="L19" s="62" t="n">
        <x:f>S18*'17_Gia_dinh_mo_hinh'!$Q$4/12</x:f>
        <x:v>23.15625</x:v>
      </x:c>
      <x:c r="M19" s="62" t="n">
        <x:f>G19-H19-I19-J19-L19</x:f>
        <x:v>-23.15625</x:v>
      </x:c>
      <x:c r="N19" s="62" t="n">
        <x:f>MAX(0,M19*'17_Gia_dinh_mo_hinh'!$S$4)</x:f>
        <x:v>0</x:v>
      </x:c>
      <x:c r="O19" s="62" t="n">
        <x:f>M19-N19</x:f>
        <x:v>-23.15625</x:v>
      </x:c>
      <x:c r="P19" s="62" t="n">
        <x:f>F19-K19-I19-J19-N19-L19</x:f>
        <x:v>-158.57291666666666</x:v>
      </x:c>
      <x:c r="Q19" s="62" t="n">
        <x:f>MIN(MAX(0,-(T18+P19)),MAX(0,'17_Gia_dinh_mo_hinh'!$R$4-S18))</x:f>
        <x:v>0</x:v>
      </x:c>
      <x:c r="R19" s="62" t="n">
        <x:f>MIN(MAX(0,T18+P19+Q19),S18+Q19)</x:f>
        <x:v>0</x:v>
      </x:c>
      <x:c r="S19" s="62" t="n">
        <x:f>S18+Q19-R19</x:f>
        <x:v>2925</x:v>
      </x:c>
      <x:c r="T19" s="62" t="n">
        <x:f>MAX(0,T18+P19+Q19-R19)</x:f>
        <x:v>0</x:v>
      </x:c>
      <x:c r="U19" s="62" t="n">
        <x:f>MAX(0,-(T18+P19)-MAX(0,'17_Gia_dinh_mo_hinh'!$R$4-S18))</x:f>
        <x:v>158.57291666666666</x:v>
      </x:c>
      <x:c r="V19" s="61" t="str">
        <x:f>IF(B19&lt;'17_Gia_dinh_mo_hinh'!$F$4+D19,"Trước mở bán",IF(B19&lt;'17_Gia_dinh_mo_hinh'!$H$4+D19,"Bán hàng/thi công",IF(G19&gt;0,"Ghi nhận/bàn giao","Hậu bàn giao")))</x:f>
        <x:v>Trước mở bán</x:v>
      </x:c>
    </x:row>
    <x:row r="20">
      <x:c r="A20" s="54" t="str">
        <x:v>DA01</x:v>
      </x:c>
      <x:c r="B20" s="54" t="n">
        <x:v>17</x:v>
      </x:c>
      <x:c r="C20" s="60" t="n">
        <x:f>EDATE('17_Gia_dinh_mo_hinh'!$C$4,B20-1)</x:f>
        <x:v>46722</x:v>
      </x:c>
      <x:c r="D20" s="61" t="n">
        <x:f>ROUNDUP('17_Gia_dinh_mo_hinh'!$E$4/30,0)</x:f>
        <x:v>6</x:v>
      </x:c>
      <x:c r="E20" s="62" t="n">
        <x:f>IF(AND(B20&gt;='17_Gia_dinh_mo_hinh'!$F$4+D20,B20&lt;'17_Gia_dinh_mo_hinh'!$F$4+D20+'17_Gia_dinh_mo_hinh'!$G$4),'17_Gia_dinh_mo_hinh'!$L$4*(1-'17_Gia_dinh_mo_hinh'!$M$4)/'17_Gia_dinh_mo_hinh'!$G$4,0)</x:f>
        <x:v>0</x:v>
      </x:c>
      <x:c r="F20" s="62" t="n">
        <x:f>0.70*E20+0.30*E19</x:f>
        <x:v>0</x:v>
      </x:c>
      <x:c r="G20" s="62" t="n">
        <x:f>IF(AND(B20&gt;='17_Gia_dinh_mo_hinh'!$H$4+D20,B20&lt;'17_Gia_dinh_mo_hinh'!$H$4+D20+'17_Gia_dinh_mo_hinh'!$I$4),'17_Gia_dinh_mo_hinh'!$L$4*(1-'17_Gia_dinh_mo_hinh'!$M$4)/'17_Gia_dinh_mo_hinh'!$I$4,0)</x:f>
        <x:v>0</x:v>
      </x:c>
      <x:c r="H20" s="62" t="n">
        <x:f>G20*(1-'17_Gia_dinh_mo_hinh'!$N$4)</x:f>
        <x:v>0</x:v>
      </x:c>
      <x:c r="I20" s="62" t="n">
        <x:f>G20*'17_Gia_dinh_mo_hinh'!$O$4</x:f>
        <x:v>0</x:v>
      </x:c>
      <x:c r="J20" s="62" t="n">
        <x:f>G20*'17_Gia_dinh_mo_hinh'!$P$4</x:f>
        <x:v>0</x:v>
      </x:c>
      <x:c r="K20" s="62" t="n">
        <x:f>IF(B20&lt;='17_Gia_dinh_mo_hinh'!$J$4,'17_Gia_dinh_mo_hinh'!$K$4*(1-MIN(0.95,'17_Gia_dinh_mo_hinh'!$M$4*0.75))/'17_Gia_dinh_mo_hinh'!$J$4,0)</x:f>
        <x:v>135.41666666666666</x:v>
      </x:c>
      <x:c r="L20" s="62" t="n">
        <x:f>S19*'17_Gia_dinh_mo_hinh'!$Q$4/12</x:f>
        <x:v>23.15625</x:v>
      </x:c>
      <x:c r="M20" s="62" t="n">
        <x:f>G20-H20-I20-J20-L20</x:f>
        <x:v>-23.15625</x:v>
      </x:c>
      <x:c r="N20" s="62" t="n">
        <x:f>MAX(0,M20*'17_Gia_dinh_mo_hinh'!$S$4)</x:f>
        <x:v>0</x:v>
      </x:c>
      <x:c r="O20" s="62" t="n">
        <x:f>M20-N20</x:f>
        <x:v>-23.15625</x:v>
      </x:c>
      <x:c r="P20" s="62" t="n">
        <x:f>F20-K20-I20-J20-N20-L20</x:f>
        <x:v>-158.57291666666666</x:v>
      </x:c>
      <x:c r="Q20" s="62" t="n">
        <x:f>MIN(MAX(0,-(T19+P20)),MAX(0,'17_Gia_dinh_mo_hinh'!$R$4-S19))</x:f>
        <x:v>0</x:v>
      </x:c>
      <x:c r="R20" s="62" t="n">
        <x:f>MIN(MAX(0,T19+P20+Q20),S19+Q20)</x:f>
        <x:v>0</x:v>
      </x:c>
      <x:c r="S20" s="62" t="n">
        <x:f>S19+Q20-R20</x:f>
        <x:v>2925</x:v>
      </x:c>
      <x:c r="T20" s="62" t="n">
        <x:f>MAX(0,T19+P20+Q20-R20)</x:f>
        <x:v>0</x:v>
      </x:c>
      <x:c r="U20" s="62" t="n">
        <x:f>MAX(0,-(T19+P20)-MAX(0,'17_Gia_dinh_mo_hinh'!$R$4-S19))</x:f>
        <x:v>158.57291666666666</x:v>
      </x:c>
      <x:c r="V20" s="61" t="str">
        <x:f>IF(B20&lt;'17_Gia_dinh_mo_hinh'!$F$4+D20,"Trước mở bán",IF(B20&lt;'17_Gia_dinh_mo_hinh'!$H$4+D20,"Bán hàng/thi công",IF(G20&gt;0,"Ghi nhận/bàn giao","Hậu bàn giao")))</x:f>
        <x:v>Trước mở bán</x:v>
      </x:c>
    </x:row>
    <x:row r="21">
      <x:c r="A21" s="54" t="str">
        <x:v>DA01</x:v>
      </x:c>
      <x:c r="B21" s="54" t="n">
        <x:v>18</x:v>
      </x:c>
      <x:c r="C21" s="60" t="n">
        <x:f>EDATE('17_Gia_dinh_mo_hinh'!$C$4,B21-1)</x:f>
        <x:v>46753</x:v>
      </x:c>
      <x:c r="D21" s="61" t="n">
        <x:f>ROUNDUP('17_Gia_dinh_mo_hinh'!$E$4/30,0)</x:f>
        <x:v>6</x:v>
      </x:c>
      <x:c r="E21" s="62" t="n">
        <x:f>IF(AND(B21&gt;='17_Gia_dinh_mo_hinh'!$F$4+D21,B21&lt;'17_Gia_dinh_mo_hinh'!$F$4+D21+'17_Gia_dinh_mo_hinh'!$G$4),'17_Gia_dinh_mo_hinh'!$L$4*(1-'17_Gia_dinh_mo_hinh'!$M$4)/'17_Gia_dinh_mo_hinh'!$G$4,0)</x:f>
        <x:v>0</x:v>
      </x:c>
      <x:c r="F21" s="62" t="n">
        <x:f>0.70*E21+0.30*E20</x:f>
        <x:v>0</x:v>
      </x:c>
      <x:c r="G21" s="62" t="n">
        <x:f>IF(AND(B21&gt;='17_Gia_dinh_mo_hinh'!$H$4+D21,B21&lt;'17_Gia_dinh_mo_hinh'!$H$4+D21+'17_Gia_dinh_mo_hinh'!$I$4),'17_Gia_dinh_mo_hinh'!$L$4*(1-'17_Gia_dinh_mo_hinh'!$M$4)/'17_Gia_dinh_mo_hinh'!$I$4,0)</x:f>
        <x:v>0</x:v>
      </x:c>
      <x:c r="H21" s="62" t="n">
        <x:f>G21*(1-'17_Gia_dinh_mo_hinh'!$N$4)</x:f>
        <x:v>0</x:v>
      </x:c>
      <x:c r="I21" s="62" t="n">
        <x:f>G21*'17_Gia_dinh_mo_hinh'!$O$4</x:f>
        <x:v>0</x:v>
      </x:c>
      <x:c r="J21" s="62" t="n">
        <x:f>G21*'17_Gia_dinh_mo_hinh'!$P$4</x:f>
        <x:v>0</x:v>
      </x:c>
      <x:c r="K21" s="62" t="n">
        <x:f>IF(B21&lt;='17_Gia_dinh_mo_hinh'!$J$4,'17_Gia_dinh_mo_hinh'!$K$4*(1-MIN(0.95,'17_Gia_dinh_mo_hinh'!$M$4*0.75))/'17_Gia_dinh_mo_hinh'!$J$4,0)</x:f>
        <x:v>135.41666666666666</x:v>
      </x:c>
      <x:c r="L21" s="62" t="n">
        <x:f>S20*'17_Gia_dinh_mo_hinh'!$Q$4/12</x:f>
        <x:v>23.15625</x:v>
      </x:c>
      <x:c r="M21" s="62" t="n">
        <x:f>G21-H21-I21-J21-L21</x:f>
        <x:v>-23.15625</x:v>
      </x:c>
      <x:c r="N21" s="62" t="n">
        <x:f>MAX(0,M21*'17_Gia_dinh_mo_hinh'!$S$4)</x:f>
        <x:v>0</x:v>
      </x:c>
      <x:c r="O21" s="62" t="n">
        <x:f>M21-N21</x:f>
        <x:v>-23.15625</x:v>
      </x:c>
      <x:c r="P21" s="62" t="n">
        <x:f>F21-K21-I21-J21-N21-L21</x:f>
        <x:v>-158.57291666666666</x:v>
      </x:c>
      <x:c r="Q21" s="62" t="n">
        <x:f>MIN(MAX(0,-(T20+P21)),MAX(0,'17_Gia_dinh_mo_hinh'!$R$4-S20))</x:f>
        <x:v>0</x:v>
      </x:c>
      <x:c r="R21" s="62" t="n">
        <x:f>MIN(MAX(0,T20+P21+Q21),S20+Q21)</x:f>
        <x:v>0</x:v>
      </x:c>
      <x:c r="S21" s="62" t="n">
        <x:f>S20+Q21-R21</x:f>
        <x:v>2925</x:v>
      </x:c>
      <x:c r="T21" s="62" t="n">
        <x:f>MAX(0,T20+P21+Q21-R21)</x:f>
        <x:v>0</x:v>
      </x:c>
      <x:c r="U21" s="62" t="n">
        <x:f>MAX(0,-(T20+P21)-MAX(0,'17_Gia_dinh_mo_hinh'!$R$4-S20))</x:f>
        <x:v>158.57291666666666</x:v>
      </x:c>
      <x:c r="V21" s="61" t="str">
        <x:f>IF(B21&lt;'17_Gia_dinh_mo_hinh'!$F$4+D21,"Trước mở bán",IF(B21&lt;'17_Gia_dinh_mo_hinh'!$H$4+D21,"Bán hàng/thi công",IF(G21&gt;0,"Ghi nhận/bàn giao","Hậu bàn giao")))</x:f>
        <x:v>Trước mở bán</x:v>
      </x:c>
    </x:row>
    <x:row r="22">
      <x:c r="A22" s="54" t="str">
        <x:v>DA01</x:v>
      </x:c>
      <x:c r="B22" s="54" t="n">
        <x:v>19</x:v>
      </x:c>
      <x:c r="C22" s="60" t="n">
        <x:f>EDATE('17_Gia_dinh_mo_hinh'!$C$4,B22-1)</x:f>
        <x:v>46784</x:v>
      </x:c>
      <x:c r="D22" s="61" t="n">
        <x:f>ROUNDUP('17_Gia_dinh_mo_hinh'!$E$4/30,0)</x:f>
        <x:v>6</x:v>
      </x:c>
      <x:c r="E22" s="62" t="n">
        <x:f>IF(AND(B22&gt;='17_Gia_dinh_mo_hinh'!$F$4+D22,B22&lt;'17_Gia_dinh_mo_hinh'!$F$4+D22+'17_Gia_dinh_mo_hinh'!$G$4),'17_Gia_dinh_mo_hinh'!$L$4*(1-'17_Gia_dinh_mo_hinh'!$M$4)/'17_Gia_dinh_mo_hinh'!$G$4,0)</x:f>
        <x:v>0</x:v>
      </x:c>
      <x:c r="F22" s="62" t="n">
        <x:f>0.70*E22+0.30*E21</x:f>
        <x:v>0</x:v>
      </x:c>
      <x:c r="G22" s="62" t="n">
        <x:f>IF(AND(B22&gt;='17_Gia_dinh_mo_hinh'!$H$4+D22,B22&lt;'17_Gia_dinh_mo_hinh'!$H$4+D22+'17_Gia_dinh_mo_hinh'!$I$4),'17_Gia_dinh_mo_hinh'!$L$4*(1-'17_Gia_dinh_mo_hinh'!$M$4)/'17_Gia_dinh_mo_hinh'!$I$4,0)</x:f>
        <x:v>0</x:v>
      </x:c>
      <x:c r="H22" s="62" t="n">
        <x:f>G22*(1-'17_Gia_dinh_mo_hinh'!$N$4)</x:f>
        <x:v>0</x:v>
      </x:c>
      <x:c r="I22" s="62" t="n">
        <x:f>G22*'17_Gia_dinh_mo_hinh'!$O$4</x:f>
        <x:v>0</x:v>
      </x:c>
      <x:c r="J22" s="62" t="n">
        <x:f>G22*'17_Gia_dinh_mo_hinh'!$P$4</x:f>
        <x:v>0</x:v>
      </x:c>
      <x:c r="K22" s="62" t="n">
        <x:f>IF(B22&lt;='17_Gia_dinh_mo_hinh'!$J$4,'17_Gia_dinh_mo_hinh'!$K$4*(1-MIN(0.95,'17_Gia_dinh_mo_hinh'!$M$4*0.75))/'17_Gia_dinh_mo_hinh'!$J$4,0)</x:f>
        <x:v>135.41666666666666</x:v>
      </x:c>
      <x:c r="L22" s="62" t="n">
        <x:f>S21*'17_Gia_dinh_mo_hinh'!$Q$4/12</x:f>
        <x:v>23.15625</x:v>
      </x:c>
      <x:c r="M22" s="62" t="n">
        <x:f>G22-H22-I22-J22-L22</x:f>
        <x:v>-23.15625</x:v>
      </x:c>
      <x:c r="N22" s="62" t="n">
        <x:f>MAX(0,M22*'17_Gia_dinh_mo_hinh'!$S$4)</x:f>
        <x:v>0</x:v>
      </x:c>
      <x:c r="O22" s="62" t="n">
        <x:f>M22-N22</x:f>
        <x:v>-23.15625</x:v>
      </x:c>
      <x:c r="P22" s="62" t="n">
        <x:f>F22-K22-I22-J22-N22-L22</x:f>
        <x:v>-158.57291666666666</x:v>
      </x:c>
      <x:c r="Q22" s="62" t="n">
        <x:f>MIN(MAX(0,-(T21+P22)),MAX(0,'17_Gia_dinh_mo_hinh'!$R$4-S21))</x:f>
        <x:v>0</x:v>
      </x:c>
      <x:c r="R22" s="62" t="n">
        <x:f>MIN(MAX(0,T21+P22+Q22),S21+Q22)</x:f>
        <x:v>0</x:v>
      </x:c>
      <x:c r="S22" s="62" t="n">
        <x:f>S21+Q22-R22</x:f>
        <x:v>2925</x:v>
      </x:c>
      <x:c r="T22" s="62" t="n">
        <x:f>MAX(0,T21+P22+Q22-R22)</x:f>
        <x:v>0</x:v>
      </x:c>
      <x:c r="U22" s="62" t="n">
        <x:f>MAX(0,-(T21+P22)-MAX(0,'17_Gia_dinh_mo_hinh'!$R$4-S21))</x:f>
        <x:v>158.57291666666666</x:v>
      </x:c>
      <x:c r="V22" s="61" t="str">
        <x:f>IF(B22&lt;'17_Gia_dinh_mo_hinh'!$F$4+D22,"Trước mở bán",IF(B22&lt;'17_Gia_dinh_mo_hinh'!$H$4+D22,"Bán hàng/thi công",IF(G22&gt;0,"Ghi nhận/bàn giao","Hậu bàn giao")))</x:f>
        <x:v>Trước mở bán</x:v>
      </x:c>
    </x:row>
    <x:row r="23">
      <x:c r="A23" s="54" t="str">
        <x:v>DA01</x:v>
      </x:c>
      <x:c r="B23" s="54" t="n">
        <x:v>20</x:v>
      </x:c>
      <x:c r="C23" s="60" t="n">
        <x:f>EDATE('17_Gia_dinh_mo_hinh'!$C$4,B23-1)</x:f>
        <x:v>46813</x:v>
      </x:c>
      <x:c r="D23" s="61" t="n">
        <x:f>ROUNDUP('17_Gia_dinh_mo_hinh'!$E$4/30,0)</x:f>
        <x:v>6</x:v>
      </x:c>
      <x:c r="E23" s="62" t="n">
        <x:f>IF(AND(B23&gt;='17_Gia_dinh_mo_hinh'!$F$4+D23,B23&lt;'17_Gia_dinh_mo_hinh'!$F$4+D23+'17_Gia_dinh_mo_hinh'!$G$4),'17_Gia_dinh_mo_hinh'!$L$4*(1-'17_Gia_dinh_mo_hinh'!$M$4)/'17_Gia_dinh_mo_hinh'!$G$4,0)</x:f>
        <x:v>0</x:v>
      </x:c>
      <x:c r="F23" s="62" t="n">
        <x:f>0.70*E23+0.30*E22</x:f>
        <x:v>0</x:v>
      </x:c>
      <x:c r="G23" s="62" t="n">
        <x:f>IF(AND(B23&gt;='17_Gia_dinh_mo_hinh'!$H$4+D23,B23&lt;'17_Gia_dinh_mo_hinh'!$H$4+D23+'17_Gia_dinh_mo_hinh'!$I$4),'17_Gia_dinh_mo_hinh'!$L$4*(1-'17_Gia_dinh_mo_hinh'!$M$4)/'17_Gia_dinh_mo_hinh'!$I$4,0)</x:f>
        <x:v>0</x:v>
      </x:c>
      <x:c r="H23" s="62" t="n">
        <x:f>G23*(1-'17_Gia_dinh_mo_hinh'!$N$4)</x:f>
        <x:v>0</x:v>
      </x:c>
      <x:c r="I23" s="62" t="n">
        <x:f>G23*'17_Gia_dinh_mo_hinh'!$O$4</x:f>
        <x:v>0</x:v>
      </x:c>
      <x:c r="J23" s="62" t="n">
        <x:f>G23*'17_Gia_dinh_mo_hinh'!$P$4</x:f>
        <x:v>0</x:v>
      </x:c>
      <x:c r="K23" s="62" t="n">
        <x:f>IF(B23&lt;='17_Gia_dinh_mo_hinh'!$J$4,'17_Gia_dinh_mo_hinh'!$K$4*(1-MIN(0.95,'17_Gia_dinh_mo_hinh'!$M$4*0.75))/'17_Gia_dinh_mo_hinh'!$J$4,0)</x:f>
        <x:v>135.41666666666666</x:v>
      </x:c>
      <x:c r="L23" s="62" t="n">
        <x:f>S22*'17_Gia_dinh_mo_hinh'!$Q$4/12</x:f>
        <x:v>23.15625</x:v>
      </x:c>
      <x:c r="M23" s="62" t="n">
        <x:f>G23-H23-I23-J23-L23</x:f>
        <x:v>-23.15625</x:v>
      </x:c>
      <x:c r="N23" s="62" t="n">
        <x:f>MAX(0,M23*'17_Gia_dinh_mo_hinh'!$S$4)</x:f>
        <x:v>0</x:v>
      </x:c>
      <x:c r="O23" s="62" t="n">
        <x:f>M23-N23</x:f>
        <x:v>-23.15625</x:v>
      </x:c>
      <x:c r="P23" s="62" t="n">
        <x:f>F23-K23-I23-J23-N23-L23</x:f>
        <x:v>-158.57291666666666</x:v>
      </x:c>
      <x:c r="Q23" s="62" t="n">
        <x:f>MIN(MAX(0,-(T22+P23)),MAX(0,'17_Gia_dinh_mo_hinh'!$R$4-S22))</x:f>
        <x:v>0</x:v>
      </x:c>
      <x:c r="R23" s="62" t="n">
        <x:f>MIN(MAX(0,T22+P23+Q23),S22+Q23)</x:f>
        <x:v>0</x:v>
      </x:c>
      <x:c r="S23" s="62" t="n">
        <x:f>S22+Q23-R23</x:f>
        <x:v>2925</x:v>
      </x:c>
      <x:c r="T23" s="62" t="n">
        <x:f>MAX(0,T22+P23+Q23-R23)</x:f>
        <x:v>0</x:v>
      </x:c>
      <x:c r="U23" s="62" t="n">
        <x:f>MAX(0,-(T22+P23)-MAX(0,'17_Gia_dinh_mo_hinh'!$R$4-S22))</x:f>
        <x:v>158.57291666666666</x:v>
      </x:c>
      <x:c r="V23" s="61" t="str">
        <x:f>IF(B23&lt;'17_Gia_dinh_mo_hinh'!$F$4+D23,"Trước mở bán",IF(B23&lt;'17_Gia_dinh_mo_hinh'!$H$4+D23,"Bán hàng/thi công",IF(G23&gt;0,"Ghi nhận/bàn giao","Hậu bàn giao")))</x:f>
        <x:v>Trước mở bán</x:v>
      </x:c>
    </x:row>
    <x:row r="24">
      <x:c r="A24" s="54" t="str">
        <x:v>DA01</x:v>
      </x:c>
      <x:c r="B24" s="54" t="n">
        <x:v>21</x:v>
      </x:c>
      <x:c r="C24" s="60" t="n">
        <x:f>EDATE('17_Gia_dinh_mo_hinh'!$C$4,B24-1)</x:f>
        <x:v>46844</x:v>
      </x:c>
      <x:c r="D24" s="61" t="n">
        <x:f>ROUNDUP('17_Gia_dinh_mo_hinh'!$E$4/30,0)</x:f>
        <x:v>6</x:v>
      </x:c>
      <x:c r="E24" s="62" t="n">
        <x:f>IF(AND(B24&gt;='17_Gia_dinh_mo_hinh'!$F$4+D24,B24&lt;'17_Gia_dinh_mo_hinh'!$F$4+D24+'17_Gia_dinh_mo_hinh'!$G$4),'17_Gia_dinh_mo_hinh'!$L$4*(1-'17_Gia_dinh_mo_hinh'!$M$4)/'17_Gia_dinh_mo_hinh'!$G$4,0)</x:f>
        <x:v>0</x:v>
      </x:c>
      <x:c r="F24" s="62" t="n">
        <x:f>0.70*E24+0.30*E23</x:f>
        <x:v>0</x:v>
      </x:c>
      <x:c r="G24" s="62" t="n">
        <x:f>IF(AND(B24&gt;='17_Gia_dinh_mo_hinh'!$H$4+D24,B24&lt;'17_Gia_dinh_mo_hinh'!$H$4+D24+'17_Gia_dinh_mo_hinh'!$I$4),'17_Gia_dinh_mo_hinh'!$L$4*(1-'17_Gia_dinh_mo_hinh'!$M$4)/'17_Gia_dinh_mo_hinh'!$I$4,0)</x:f>
        <x:v>0</x:v>
      </x:c>
      <x:c r="H24" s="62" t="n">
        <x:f>G24*(1-'17_Gia_dinh_mo_hinh'!$N$4)</x:f>
        <x:v>0</x:v>
      </x:c>
      <x:c r="I24" s="62" t="n">
        <x:f>G24*'17_Gia_dinh_mo_hinh'!$O$4</x:f>
        <x:v>0</x:v>
      </x:c>
      <x:c r="J24" s="62" t="n">
        <x:f>G24*'17_Gia_dinh_mo_hinh'!$P$4</x:f>
        <x:v>0</x:v>
      </x:c>
      <x:c r="K24" s="62" t="n">
        <x:f>IF(B24&lt;='17_Gia_dinh_mo_hinh'!$J$4,'17_Gia_dinh_mo_hinh'!$K$4*(1-MIN(0.95,'17_Gia_dinh_mo_hinh'!$M$4*0.75))/'17_Gia_dinh_mo_hinh'!$J$4,0)</x:f>
        <x:v>135.41666666666666</x:v>
      </x:c>
      <x:c r="L24" s="62" t="n">
        <x:f>S23*'17_Gia_dinh_mo_hinh'!$Q$4/12</x:f>
        <x:v>23.15625</x:v>
      </x:c>
      <x:c r="M24" s="62" t="n">
        <x:f>G24-H24-I24-J24-L24</x:f>
        <x:v>-23.15625</x:v>
      </x:c>
      <x:c r="N24" s="62" t="n">
        <x:f>MAX(0,M24*'17_Gia_dinh_mo_hinh'!$S$4)</x:f>
        <x:v>0</x:v>
      </x:c>
      <x:c r="O24" s="62" t="n">
        <x:f>M24-N24</x:f>
        <x:v>-23.15625</x:v>
      </x:c>
      <x:c r="P24" s="62" t="n">
        <x:f>F24-K24-I24-J24-N24-L24</x:f>
        <x:v>-158.57291666666666</x:v>
      </x:c>
      <x:c r="Q24" s="62" t="n">
        <x:f>MIN(MAX(0,-(T23+P24)),MAX(0,'17_Gia_dinh_mo_hinh'!$R$4-S23))</x:f>
        <x:v>0</x:v>
      </x:c>
      <x:c r="R24" s="62" t="n">
        <x:f>MIN(MAX(0,T23+P24+Q24),S23+Q24)</x:f>
        <x:v>0</x:v>
      </x:c>
      <x:c r="S24" s="62" t="n">
        <x:f>S23+Q24-R24</x:f>
        <x:v>2925</x:v>
      </x:c>
      <x:c r="T24" s="62" t="n">
        <x:f>MAX(0,T23+P24+Q24-R24)</x:f>
        <x:v>0</x:v>
      </x:c>
      <x:c r="U24" s="62" t="n">
        <x:f>MAX(0,-(T23+P24)-MAX(0,'17_Gia_dinh_mo_hinh'!$R$4-S23))</x:f>
        <x:v>158.57291666666666</x:v>
      </x:c>
      <x:c r="V24" s="61" t="str">
        <x:f>IF(B24&lt;'17_Gia_dinh_mo_hinh'!$F$4+D24,"Trước mở bán",IF(B24&lt;'17_Gia_dinh_mo_hinh'!$H$4+D24,"Bán hàng/thi công",IF(G24&gt;0,"Ghi nhận/bàn giao","Hậu bàn giao")))</x:f>
        <x:v>Trước mở bán</x:v>
      </x:c>
    </x:row>
    <x:row r="25">
      <x:c r="A25" s="54" t="str">
        <x:v>DA01</x:v>
      </x:c>
      <x:c r="B25" s="54" t="n">
        <x:v>22</x:v>
      </x:c>
      <x:c r="C25" s="60" t="n">
        <x:f>EDATE('17_Gia_dinh_mo_hinh'!$C$4,B25-1)</x:f>
        <x:v>46874</x:v>
      </x:c>
      <x:c r="D25" s="61" t="n">
        <x:f>ROUNDUP('17_Gia_dinh_mo_hinh'!$E$4/30,0)</x:f>
        <x:v>6</x:v>
      </x:c>
      <x:c r="E25" s="62" t="n">
        <x:f>IF(AND(B25&gt;='17_Gia_dinh_mo_hinh'!$F$4+D25,B25&lt;'17_Gia_dinh_mo_hinh'!$F$4+D25+'17_Gia_dinh_mo_hinh'!$G$4),'17_Gia_dinh_mo_hinh'!$L$4*(1-'17_Gia_dinh_mo_hinh'!$M$4)/'17_Gia_dinh_mo_hinh'!$G$4,0)</x:f>
        <x:v>0</x:v>
      </x:c>
      <x:c r="F25" s="62" t="n">
        <x:f>0.70*E25+0.30*E24</x:f>
        <x:v>0</x:v>
      </x:c>
      <x:c r="G25" s="62" t="n">
        <x:f>IF(AND(B25&gt;='17_Gia_dinh_mo_hinh'!$H$4+D25,B25&lt;'17_Gia_dinh_mo_hinh'!$H$4+D25+'17_Gia_dinh_mo_hinh'!$I$4),'17_Gia_dinh_mo_hinh'!$L$4*(1-'17_Gia_dinh_mo_hinh'!$M$4)/'17_Gia_dinh_mo_hinh'!$I$4,0)</x:f>
        <x:v>0</x:v>
      </x:c>
      <x:c r="H25" s="62" t="n">
        <x:f>G25*(1-'17_Gia_dinh_mo_hinh'!$N$4)</x:f>
        <x:v>0</x:v>
      </x:c>
      <x:c r="I25" s="62" t="n">
        <x:f>G25*'17_Gia_dinh_mo_hinh'!$O$4</x:f>
        <x:v>0</x:v>
      </x:c>
      <x:c r="J25" s="62" t="n">
        <x:f>G25*'17_Gia_dinh_mo_hinh'!$P$4</x:f>
        <x:v>0</x:v>
      </x:c>
      <x:c r="K25" s="62" t="n">
        <x:f>IF(B25&lt;='17_Gia_dinh_mo_hinh'!$J$4,'17_Gia_dinh_mo_hinh'!$K$4*(1-MIN(0.95,'17_Gia_dinh_mo_hinh'!$M$4*0.75))/'17_Gia_dinh_mo_hinh'!$J$4,0)</x:f>
        <x:v>135.41666666666666</x:v>
      </x:c>
      <x:c r="L25" s="62" t="n">
        <x:f>S24*'17_Gia_dinh_mo_hinh'!$Q$4/12</x:f>
        <x:v>23.15625</x:v>
      </x:c>
      <x:c r="M25" s="62" t="n">
        <x:f>G25-H25-I25-J25-L25</x:f>
        <x:v>-23.15625</x:v>
      </x:c>
      <x:c r="N25" s="62" t="n">
        <x:f>MAX(0,M25*'17_Gia_dinh_mo_hinh'!$S$4)</x:f>
        <x:v>0</x:v>
      </x:c>
      <x:c r="O25" s="62" t="n">
        <x:f>M25-N25</x:f>
        <x:v>-23.15625</x:v>
      </x:c>
      <x:c r="P25" s="62" t="n">
        <x:f>F25-K25-I25-J25-N25-L25</x:f>
        <x:v>-158.57291666666666</x:v>
      </x:c>
      <x:c r="Q25" s="62" t="n">
        <x:f>MIN(MAX(0,-(T24+P25)),MAX(0,'17_Gia_dinh_mo_hinh'!$R$4-S24))</x:f>
        <x:v>0</x:v>
      </x:c>
      <x:c r="R25" s="62" t="n">
        <x:f>MIN(MAX(0,T24+P25+Q25),S24+Q25)</x:f>
        <x:v>0</x:v>
      </x:c>
      <x:c r="S25" s="62" t="n">
        <x:f>S24+Q25-R25</x:f>
        <x:v>2925</x:v>
      </x:c>
      <x:c r="T25" s="62" t="n">
        <x:f>MAX(0,T24+P25+Q25-R25)</x:f>
        <x:v>0</x:v>
      </x:c>
      <x:c r="U25" s="62" t="n">
        <x:f>MAX(0,-(T24+P25)-MAX(0,'17_Gia_dinh_mo_hinh'!$R$4-S24))</x:f>
        <x:v>158.57291666666666</x:v>
      </x:c>
      <x:c r="V25" s="61" t="str">
        <x:f>IF(B25&lt;'17_Gia_dinh_mo_hinh'!$F$4+D25,"Trước mở bán",IF(B25&lt;'17_Gia_dinh_mo_hinh'!$H$4+D25,"Bán hàng/thi công",IF(G25&gt;0,"Ghi nhận/bàn giao","Hậu bàn giao")))</x:f>
        <x:v>Trước mở bán</x:v>
      </x:c>
    </x:row>
    <x:row r="26">
      <x:c r="A26" s="54" t="str">
        <x:v>DA01</x:v>
      </x:c>
      <x:c r="B26" s="54" t="n">
        <x:v>23</x:v>
      </x:c>
      <x:c r="C26" s="60" t="n">
        <x:f>EDATE('17_Gia_dinh_mo_hinh'!$C$4,B26-1)</x:f>
        <x:v>46905</x:v>
      </x:c>
      <x:c r="D26" s="61" t="n">
        <x:f>ROUNDUP('17_Gia_dinh_mo_hinh'!$E$4/30,0)</x:f>
        <x:v>6</x:v>
      </x:c>
      <x:c r="E26" s="62" t="n">
        <x:f>IF(AND(B26&gt;='17_Gia_dinh_mo_hinh'!$F$4+D26,B26&lt;'17_Gia_dinh_mo_hinh'!$F$4+D26+'17_Gia_dinh_mo_hinh'!$G$4),'17_Gia_dinh_mo_hinh'!$L$4*(1-'17_Gia_dinh_mo_hinh'!$M$4)/'17_Gia_dinh_mo_hinh'!$G$4,0)</x:f>
        <x:v>0</x:v>
      </x:c>
      <x:c r="F26" s="62" t="n">
        <x:f>0.70*E26+0.30*E25</x:f>
        <x:v>0</x:v>
      </x:c>
      <x:c r="G26" s="62" t="n">
        <x:f>IF(AND(B26&gt;='17_Gia_dinh_mo_hinh'!$H$4+D26,B26&lt;'17_Gia_dinh_mo_hinh'!$H$4+D26+'17_Gia_dinh_mo_hinh'!$I$4),'17_Gia_dinh_mo_hinh'!$L$4*(1-'17_Gia_dinh_mo_hinh'!$M$4)/'17_Gia_dinh_mo_hinh'!$I$4,0)</x:f>
        <x:v>0</x:v>
      </x:c>
      <x:c r="H26" s="62" t="n">
        <x:f>G26*(1-'17_Gia_dinh_mo_hinh'!$N$4)</x:f>
        <x:v>0</x:v>
      </x:c>
      <x:c r="I26" s="62" t="n">
        <x:f>G26*'17_Gia_dinh_mo_hinh'!$O$4</x:f>
        <x:v>0</x:v>
      </x:c>
      <x:c r="J26" s="62" t="n">
        <x:f>G26*'17_Gia_dinh_mo_hinh'!$P$4</x:f>
        <x:v>0</x:v>
      </x:c>
      <x:c r="K26" s="62" t="n">
        <x:f>IF(B26&lt;='17_Gia_dinh_mo_hinh'!$J$4,'17_Gia_dinh_mo_hinh'!$K$4*(1-MIN(0.95,'17_Gia_dinh_mo_hinh'!$M$4*0.75))/'17_Gia_dinh_mo_hinh'!$J$4,0)</x:f>
        <x:v>135.41666666666666</x:v>
      </x:c>
      <x:c r="L26" s="62" t="n">
        <x:f>S25*'17_Gia_dinh_mo_hinh'!$Q$4/12</x:f>
        <x:v>23.15625</x:v>
      </x:c>
      <x:c r="M26" s="62" t="n">
        <x:f>G26-H26-I26-J26-L26</x:f>
        <x:v>-23.15625</x:v>
      </x:c>
      <x:c r="N26" s="62" t="n">
        <x:f>MAX(0,M26*'17_Gia_dinh_mo_hinh'!$S$4)</x:f>
        <x:v>0</x:v>
      </x:c>
      <x:c r="O26" s="62" t="n">
        <x:f>M26-N26</x:f>
        <x:v>-23.15625</x:v>
      </x:c>
      <x:c r="P26" s="62" t="n">
        <x:f>F26-K26-I26-J26-N26-L26</x:f>
        <x:v>-158.57291666666666</x:v>
      </x:c>
      <x:c r="Q26" s="62" t="n">
        <x:f>MIN(MAX(0,-(T25+P26)),MAX(0,'17_Gia_dinh_mo_hinh'!$R$4-S25))</x:f>
        <x:v>0</x:v>
      </x:c>
      <x:c r="R26" s="62" t="n">
        <x:f>MIN(MAX(0,T25+P26+Q26),S25+Q26)</x:f>
        <x:v>0</x:v>
      </x:c>
      <x:c r="S26" s="62" t="n">
        <x:f>S25+Q26-R26</x:f>
        <x:v>2925</x:v>
      </x:c>
      <x:c r="T26" s="62" t="n">
        <x:f>MAX(0,T25+P26+Q26-R26)</x:f>
        <x:v>0</x:v>
      </x:c>
      <x:c r="U26" s="62" t="n">
        <x:f>MAX(0,-(T25+P26)-MAX(0,'17_Gia_dinh_mo_hinh'!$R$4-S25))</x:f>
        <x:v>158.57291666666666</x:v>
      </x:c>
      <x:c r="V26" s="61" t="str">
        <x:f>IF(B26&lt;'17_Gia_dinh_mo_hinh'!$F$4+D26,"Trước mở bán",IF(B26&lt;'17_Gia_dinh_mo_hinh'!$H$4+D26,"Bán hàng/thi công",IF(G26&gt;0,"Ghi nhận/bàn giao","Hậu bàn giao")))</x:f>
        <x:v>Trước mở bán</x:v>
      </x:c>
    </x:row>
    <x:row r="27">
      <x:c r="A27" s="54" t="str">
        <x:v>DA01</x:v>
      </x:c>
      <x:c r="B27" s="54" t="n">
        <x:v>24</x:v>
      </x:c>
      <x:c r="C27" s="60" t="n">
        <x:f>EDATE('17_Gia_dinh_mo_hinh'!$C$4,B27-1)</x:f>
        <x:v>46935</x:v>
      </x:c>
      <x:c r="D27" s="61" t="n">
        <x:f>ROUNDUP('17_Gia_dinh_mo_hinh'!$E$4/30,0)</x:f>
        <x:v>6</x:v>
      </x:c>
      <x:c r="E27" s="62" t="n">
        <x:f>IF(AND(B27&gt;='17_Gia_dinh_mo_hinh'!$F$4+D27,B27&lt;'17_Gia_dinh_mo_hinh'!$F$4+D27+'17_Gia_dinh_mo_hinh'!$G$4),'17_Gia_dinh_mo_hinh'!$L$4*(1-'17_Gia_dinh_mo_hinh'!$M$4)/'17_Gia_dinh_mo_hinh'!$G$4,0)</x:f>
        <x:v>326.6666666666667</x:v>
      </x:c>
      <x:c r="F27" s="62" t="n">
        <x:f>0.70*E27+0.30*E26</x:f>
        <x:v>228.66666666666666</x:v>
      </x:c>
      <x:c r="G27" s="62" t="n">
        <x:f>IF(AND(B27&gt;='17_Gia_dinh_mo_hinh'!$H$4+D27,B27&lt;'17_Gia_dinh_mo_hinh'!$H$4+D27+'17_Gia_dinh_mo_hinh'!$I$4),'17_Gia_dinh_mo_hinh'!$L$4*(1-'17_Gia_dinh_mo_hinh'!$M$4)/'17_Gia_dinh_mo_hinh'!$I$4,0)</x:f>
        <x:v>0</x:v>
      </x:c>
      <x:c r="H27" s="62" t="n">
        <x:f>G27*(1-'17_Gia_dinh_mo_hinh'!$N$4)</x:f>
        <x:v>0</x:v>
      </x:c>
      <x:c r="I27" s="62" t="n">
        <x:f>G27*'17_Gia_dinh_mo_hinh'!$O$4</x:f>
        <x:v>0</x:v>
      </x:c>
      <x:c r="J27" s="62" t="n">
        <x:f>G27*'17_Gia_dinh_mo_hinh'!$P$4</x:f>
        <x:v>0</x:v>
      </x:c>
      <x:c r="K27" s="62" t="n">
        <x:f>IF(B27&lt;='17_Gia_dinh_mo_hinh'!$J$4,'17_Gia_dinh_mo_hinh'!$K$4*(1-MIN(0.95,'17_Gia_dinh_mo_hinh'!$M$4*0.75))/'17_Gia_dinh_mo_hinh'!$J$4,0)</x:f>
        <x:v>135.41666666666666</x:v>
      </x:c>
      <x:c r="L27" s="62" t="n">
        <x:f>S26*'17_Gia_dinh_mo_hinh'!$Q$4/12</x:f>
        <x:v>23.15625</x:v>
      </x:c>
      <x:c r="M27" s="62" t="n">
        <x:f>G27-H27-I27-J27-L27</x:f>
        <x:v>-23.15625</x:v>
      </x:c>
      <x:c r="N27" s="62" t="n">
        <x:f>MAX(0,M27*'17_Gia_dinh_mo_hinh'!$S$4)</x:f>
        <x:v>0</x:v>
      </x:c>
      <x:c r="O27" s="62" t="n">
        <x:f>M27-N27</x:f>
        <x:v>-23.15625</x:v>
      </x:c>
      <x:c r="P27" s="62" t="n">
        <x:f>F27-K27-I27-J27-N27-L27</x:f>
        <x:v>70.09375</x:v>
      </x:c>
      <x:c r="Q27" s="62" t="n">
        <x:f>MIN(MAX(0,-(T26+P27)),MAX(0,'17_Gia_dinh_mo_hinh'!$R$4-S26))</x:f>
        <x:v>0</x:v>
      </x:c>
      <x:c r="R27" s="62" t="n">
        <x:f>MIN(MAX(0,T26+P27+Q27),S26+Q27)</x:f>
        <x:v>70.09375</x:v>
      </x:c>
      <x:c r="S27" s="62" t="n">
        <x:f>S26+Q27-R27</x:f>
        <x:v>2854.90625</x:v>
      </x:c>
      <x:c r="T27" s="62" t="n">
        <x:f>MAX(0,T26+P27+Q27-R27)</x:f>
        <x:v>0</x:v>
      </x:c>
      <x:c r="U27" s="62" t="n">
        <x:f>MAX(0,-(T26+P27)-MAX(0,'17_Gia_dinh_mo_hinh'!$R$4-S26))</x:f>
        <x:v>0</x:v>
      </x:c>
      <x:c r="V27" s="61" t="str">
        <x:f>IF(B27&lt;'17_Gia_dinh_mo_hinh'!$F$4+D27,"Trước mở bán",IF(B27&lt;'17_Gia_dinh_mo_hinh'!$H$4+D27,"Bán hàng/thi công",IF(G27&gt;0,"Ghi nhận/bàn giao","Hậu bàn giao")))</x:f>
        <x:v>Bán hàng/thi công</x:v>
      </x:c>
    </x:row>
    <x:row r="28">
      <x:c r="A28" s="54" t="str">
        <x:v>DA01</x:v>
      </x:c>
      <x:c r="B28" s="54" t="n">
        <x:v>25</x:v>
      </x:c>
      <x:c r="C28" s="60" t="n">
        <x:f>EDATE('17_Gia_dinh_mo_hinh'!$C$4,B28-1)</x:f>
        <x:v>46966</x:v>
      </x:c>
      <x:c r="D28" s="61" t="n">
        <x:f>ROUNDUP('17_Gia_dinh_mo_hinh'!$E$4/30,0)</x:f>
        <x:v>6</x:v>
      </x:c>
      <x:c r="E28" s="62" t="n">
        <x:f>IF(AND(B28&gt;='17_Gia_dinh_mo_hinh'!$F$4+D28,B28&lt;'17_Gia_dinh_mo_hinh'!$F$4+D28+'17_Gia_dinh_mo_hinh'!$G$4),'17_Gia_dinh_mo_hinh'!$L$4*(1-'17_Gia_dinh_mo_hinh'!$M$4)/'17_Gia_dinh_mo_hinh'!$G$4,0)</x:f>
        <x:v>326.6666666666667</x:v>
      </x:c>
      <x:c r="F28" s="62" t="n">
        <x:f>0.70*E28+0.30*E27</x:f>
        <x:v>326.66666666666663</x:v>
      </x:c>
      <x:c r="G28" s="62" t="n">
        <x:f>IF(AND(B28&gt;='17_Gia_dinh_mo_hinh'!$H$4+D28,B28&lt;'17_Gia_dinh_mo_hinh'!$H$4+D28+'17_Gia_dinh_mo_hinh'!$I$4),'17_Gia_dinh_mo_hinh'!$L$4*(1-'17_Gia_dinh_mo_hinh'!$M$4)/'17_Gia_dinh_mo_hinh'!$I$4,0)</x:f>
        <x:v>0</x:v>
      </x:c>
      <x:c r="H28" s="62" t="n">
        <x:f>G28*(1-'17_Gia_dinh_mo_hinh'!$N$4)</x:f>
        <x:v>0</x:v>
      </x:c>
      <x:c r="I28" s="62" t="n">
        <x:f>G28*'17_Gia_dinh_mo_hinh'!$O$4</x:f>
        <x:v>0</x:v>
      </x:c>
      <x:c r="J28" s="62" t="n">
        <x:f>G28*'17_Gia_dinh_mo_hinh'!$P$4</x:f>
        <x:v>0</x:v>
      </x:c>
      <x:c r="K28" s="62" t="n">
        <x:f>IF(B28&lt;='17_Gia_dinh_mo_hinh'!$J$4,'17_Gia_dinh_mo_hinh'!$K$4*(1-MIN(0.95,'17_Gia_dinh_mo_hinh'!$M$4*0.75))/'17_Gia_dinh_mo_hinh'!$J$4,0)</x:f>
        <x:v>135.41666666666666</x:v>
      </x:c>
      <x:c r="L28" s="62" t="n">
        <x:f>S27*'17_Gia_dinh_mo_hinh'!$Q$4/12</x:f>
        <x:v>22.601341145833334</x:v>
      </x:c>
      <x:c r="M28" s="62" t="n">
        <x:f>G28-H28-I28-J28-L28</x:f>
        <x:v>-22.601341145833334</x:v>
      </x:c>
      <x:c r="N28" s="62" t="n">
        <x:f>MAX(0,M28*'17_Gia_dinh_mo_hinh'!$S$4)</x:f>
        <x:v>0</x:v>
      </x:c>
      <x:c r="O28" s="62" t="n">
        <x:f>M28-N28</x:f>
        <x:v>-22.601341145833334</x:v>
      </x:c>
      <x:c r="P28" s="62" t="n">
        <x:f>F28-K28-I28-J28-N28-L28</x:f>
        <x:v>168.64865885416663</x:v>
      </x:c>
      <x:c r="Q28" s="62" t="n">
        <x:f>MIN(MAX(0,-(T27+P28)),MAX(0,'17_Gia_dinh_mo_hinh'!$R$4-S27))</x:f>
        <x:v>0</x:v>
      </x:c>
      <x:c r="R28" s="62" t="n">
        <x:f>MIN(MAX(0,T27+P28+Q28),S27+Q28)</x:f>
        <x:v>168.64865885416663</x:v>
      </x:c>
      <x:c r="S28" s="62" t="n">
        <x:f>S27+Q28-R28</x:f>
        <x:v>2686.2575911458334</x:v>
      </x:c>
      <x:c r="T28" s="62" t="n">
        <x:f>MAX(0,T27+P28+Q28-R28)</x:f>
        <x:v>0</x:v>
      </x:c>
      <x:c r="U28" s="62" t="n">
        <x:f>MAX(0,-(T27+P28)-MAX(0,'17_Gia_dinh_mo_hinh'!$R$4-S27))</x:f>
        <x:v>0</x:v>
      </x:c>
      <x:c r="V28" s="61" t="str">
        <x:f>IF(B28&lt;'17_Gia_dinh_mo_hinh'!$F$4+D28,"Trước mở bán",IF(B28&lt;'17_Gia_dinh_mo_hinh'!$H$4+D28,"Bán hàng/thi công",IF(G28&gt;0,"Ghi nhận/bàn giao","Hậu bàn giao")))</x:f>
        <x:v>Bán hàng/thi công</x:v>
      </x:c>
    </x:row>
    <x:row r="29">
      <x:c r="A29" s="54" t="str">
        <x:v>DA01</x:v>
      </x:c>
      <x:c r="B29" s="54" t="n">
        <x:v>26</x:v>
      </x:c>
      <x:c r="C29" s="60" t="n">
        <x:f>EDATE('17_Gia_dinh_mo_hinh'!$C$4,B29-1)</x:f>
        <x:v>46997</x:v>
      </x:c>
      <x:c r="D29" s="61" t="n">
        <x:f>ROUNDUP('17_Gia_dinh_mo_hinh'!$E$4/30,0)</x:f>
        <x:v>6</x:v>
      </x:c>
      <x:c r="E29" s="62" t="n">
        <x:f>IF(AND(B29&gt;='17_Gia_dinh_mo_hinh'!$F$4+D29,B29&lt;'17_Gia_dinh_mo_hinh'!$F$4+D29+'17_Gia_dinh_mo_hinh'!$G$4),'17_Gia_dinh_mo_hinh'!$L$4*(1-'17_Gia_dinh_mo_hinh'!$M$4)/'17_Gia_dinh_mo_hinh'!$G$4,0)</x:f>
        <x:v>326.6666666666667</x:v>
      </x:c>
      <x:c r="F29" s="62" t="n">
        <x:f>0.70*E29+0.30*E28</x:f>
        <x:v>326.66666666666663</x:v>
      </x:c>
      <x:c r="G29" s="62" t="n">
        <x:f>IF(AND(B29&gt;='17_Gia_dinh_mo_hinh'!$H$4+D29,B29&lt;'17_Gia_dinh_mo_hinh'!$H$4+D29+'17_Gia_dinh_mo_hinh'!$I$4),'17_Gia_dinh_mo_hinh'!$L$4*(1-'17_Gia_dinh_mo_hinh'!$M$4)/'17_Gia_dinh_mo_hinh'!$I$4,0)</x:f>
        <x:v>0</x:v>
      </x:c>
      <x:c r="H29" s="62" t="n">
        <x:f>G29*(1-'17_Gia_dinh_mo_hinh'!$N$4)</x:f>
        <x:v>0</x:v>
      </x:c>
      <x:c r="I29" s="62" t="n">
        <x:f>G29*'17_Gia_dinh_mo_hinh'!$O$4</x:f>
        <x:v>0</x:v>
      </x:c>
      <x:c r="J29" s="62" t="n">
        <x:f>G29*'17_Gia_dinh_mo_hinh'!$P$4</x:f>
        <x:v>0</x:v>
      </x:c>
      <x:c r="K29" s="62" t="n">
        <x:f>IF(B29&lt;='17_Gia_dinh_mo_hinh'!$J$4,'17_Gia_dinh_mo_hinh'!$K$4*(1-MIN(0.95,'17_Gia_dinh_mo_hinh'!$M$4*0.75))/'17_Gia_dinh_mo_hinh'!$J$4,0)</x:f>
        <x:v>135.41666666666666</x:v>
      </x:c>
      <x:c r="L29" s="62" t="n">
        <x:f>S28*'17_Gia_dinh_mo_hinh'!$Q$4/12</x:f>
        <x:v>21.266205929904515</x:v>
      </x:c>
      <x:c r="M29" s="62" t="n">
        <x:f>G29-H29-I29-J29-L29</x:f>
        <x:v>-21.266205929904515</x:v>
      </x:c>
      <x:c r="N29" s="62" t="n">
        <x:f>MAX(0,M29*'17_Gia_dinh_mo_hinh'!$S$4)</x:f>
        <x:v>0</x:v>
      </x:c>
      <x:c r="O29" s="62" t="n">
        <x:f>M29-N29</x:f>
        <x:v>-21.266205929904515</x:v>
      </x:c>
      <x:c r="P29" s="62" t="n">
        <x:f>F29-K29-I29-J29-N29-L29</x:f>
        <x:v>169.98379407009546</x:v>
      </x:c>
      <x:c r="Q29" s="62" t="n">
        <x:f>MIN(MAX(0,-(T28+P29)),MAX(0,'17_Gia_dinh_mo_hinh'!$R$4-S28))</x:f>
        <x:v>0</x:v>
      </x:c>
      <x:c r="R29" s="62" t="n">
        <x:f>MIN(MAX(0,T28+P29+Q29),S28+Q29)</x:f>
        <x:v>169.98379407009546</x:v>
      </x:c>
      <x:c r="S29" s="62" t="n">
        <x:f>S28+Q29-R29</x:f>
        <x:v>2516.273797075738</x:v>
      </x:c>
      <x:c r="T29" s="62" t="n">
        <x:f>MAX(0,T28+P29+Q29-R29)</x:f>
        <x:v>0</x:v>
      </x:c>
      <x:c r="U29" s="62" t="n">
        <x:f>MAX(0,-(T28+P29)-MAX(0,'17_Gia_dinh_mo_hinh'!$R$4-S28))</x:f>
        <x:v>0</x:v>
      </x:c>
      <x:c r="V29" s="61" t="str">
        <x:f>IF(B29&lt;'17_Gia_dinh_mo_hinh'!$F$4+D29,"Trước mở bán",IF(B29&lt;'17_Gia_dinh_mo_hinh'!$H$4+D29,"Bán hàng/thi công",IF(G29&gt;0,"Ghi nhận/bàn giao","Hậu bàn giao")))</x:f>
        <x:v>Bán hàng/thi công</x:v>
      </x:c>
    </x:row>
    <x:row r="30">
      <x:c r="A30" s="54" t="str">
        <x:v>DA01</x:v>
      </x:c>
      <x:c r="B30" s="54" t="n">
        <x:v>27</x:v>
      </x:c>
      <x:c r="C30" s="60" t="n">
        <x:f>EDATE('17_Gia_dinh_mo_hinh'!$C$4,B30-1)</x:f>
        <x:v>47027</x:v>
      </x:c>
      <x:c r="D30" s="61" t="n">
        <x:f>ROUNDUP('17_Gia_dinh_mo_hinh'!$E$4/30,0)</x:f>
        <x:v>6</x:v>
      </x:c>
      <x:c r="E30" s="62" t="n">
        <x:f>IF(AND(B30&gt;='17_Gia_dinh_mo_hinh'!$F$4+D30,B30&lt;'17_Gia_dinh_mo_hinh'!$F$4+D30+'17_Gia_dinh_mo_hinh'!$G$4),'17_Gia_dinh_mo_hinh'!$L$4*(1-'17_Gia_dinh_mo_hinh'!$M$4)/'17_Gia_dinh_mo_hinh'!$G$4,0)</x:f>
        <x:v>326.6666666666667</x:v>
      </x:c>
      <x:c r="F30" s="62" t="n">
        <x:f>0.70*E30+0.30*E29</x:f>
        <x:v>326.66666666666663</x:v>
      </x:c>
      <x:c r="G30" s="62" t="n">
        <x:f>IF(AND(B30&gt;='17_Gia_dinh_mo_hinh'!$H$4+D30,B30&lt;'17_Gia_dinh_mo_hinh'!$H$4+D30+'17_Gia_dinh_mo_hinh'!$I$4),'17_Gia_dinh_mo_hinh'!$L$4*(1-'17_Gia_dinh_mo_hinh'!$M$4)/'17_Gia_dinh_mo_hinh'!$I$4,0)</x:f>
        <x:v>0</x:v>
      </x:c>
      <x:c r="H30" s="62" t="n">
        <x:f>G30*(1-'17_Gia_dinh_mo_hinh'!$N$4)</x:f>
        <x:v>0</x:v>
      </x:c>
      <x:c r="I30" s="62" t="n">
        <x:f>G30*'17_Gia_dinh_mo_hinh'!$O$4</x:f>
        <x:v>0</x:v>
      </x:c>
      <x:c r="J30" s="62" t="n">
        <x:f>G30*'17_Gia_dinh_mo_hinh'!$P$4</x:f>
        <x:v>0</x:v>
      </x:c>
      <x:c r="K30" s="62" t="n">
        <x:f>IF(B30&lt;='17_Gia_dinh_mo_hinh'!$J$4,'17_Gia_dinh_mo_hinh'!$K$4*(1-MIN(0.95,'17_Gia_dinh_mo_hinh'!$M$4*0.75))/'17_Gia_dinh_mo_hinh'!$J$4,0)</x:f>
        <x:v>135.41666666666666</x:v>
      </x:c>
      <x:c r="L30" s="62" t="n">
        <x:f>S29*'17_Gia_dinh_mo_hinh'!$Q$4/12</x:f>
        <x:v>19.92050089351626</x:v>
      </x:c>
      <x:c r="M30" s="62" t="n">
        <x:f>G30-H30-I30-J30-L30</x:f>
        <x:v>-19.92050089351626</x:v>
      </x:c>
      <x:c r="N30" s="62" t="n">
        <x:f>MAX(0,M30*'17_Gia_dinh_mo_hinh'!$S$4)</x:f>
        <x:v>0</x:v>
      </x:c>
      <x:c r="O30" s="62" t="n">
        <x:f>M30-N30</x:f>
        <x:v>-19.92050089351626</x:v>
      </x:c>
      <x:c r="P30" s="62" t="n">
        <x:f>F30-K30-I30-J30-N30-L30</x:f>
        <x:v>171.32949910648372</x:v>
      </x:c>
      <x:c r="Q30" s="62" t="n">
        <x:f>MIN(MAX(0,-(T29+P30)),MAX(0,'17_Gia_dinh_mo_hinh'!$R$4-S29))</x:f>
        <x:v>0</x:v>
      </x:c>
      <x:c r="R30" s="62" t="n">
        <x:f>MIN(MAX(0,T29+P30+Q30),S29+Q30)</x:f>
        <x:v>171.32949910648372</x:v>
      </x:c>
      <x:c r="S30" s="62" t="n">
        <x:f>S29+Q30-R30</x:f>
        <x:v>2344.9442979692544</x:v>
      </x:c>
      <x:c r="T30" s="62" t="n">
        <x:f>MAX(0,T29+P30+Q30-R30)</x:f>
        <x:v>0</x:v>
      </x:c>
      <x:c r="U30" s="62" t="n">
        <x:f>MAX(0,-(T29+P30)-MAX(0,'17_Gia_dinh_mo_hinh'!$R$4-S29))</x:f>
        <x:v>0</x:v>
      </x:c>
      <x:c r="V30" s="61" t="str">
        <x:f>IF(B30&lt;'17_Gia_dinh_mo_hinh'!$F$4+D30,"Trước mở bán",IF(B30&lt;'17_Gia_dinh_mo_hinh'!$H$4+D30,"Bán hàng/thi công",IF(G30&gt;0,"Ghi nhận/bàn giao","Hậu bàn giao")))</x:f>
        <x:v>Bán hàng/thi công</x:v>
      </x:c>
    </x:row>
    <x:row r="31">
      <x:c r="A31" s="54" t="str">
        <x:v>DA01</x:v>
      </x:c>
      <x:c r="B31" s="54" t="n">
        <x:v>28</x:v>
      </x:c>
      <x:c r="C31" s="60" t="n">
        <x:f>EDATE('17_Gia_dinh_mo_hinh'!$C$4,B31-1)</x:f>
        <x:v>47058</x:v>
      </x:c>
      <x:c r="D31" s="61" t="n">
        <x:f>ROUNDUP('17_Gia_dinh_mo_hinh'!$E$4/30,0)</x:f>
        <x:v>6</x:v>
      </x:c>
      <x:c r="E31" s="62" t="n">
        <x:f>IF(AND(B31&gt;='17_Gia_dinh_mo_hinh'!$F$4+D31,B31&lt;'17_Gia_dinh_mo_hinh'!$F$4+D31+'17_Gia_dinh_mo_hinh'!$G$4),'17_Gia_dinh_mo_hinh'!$L$4*(1-'17_Gia_dinh_mo_hinh'!$M$4)/'17_Gia_dinh_mo_hinh'!$G$4,0)</x:f>
        <x:v>326.6666666666667</x:v>
      </x:c>
      <x:c r="F31" s="62" t="n">
        <x:f>0.70*E31+0.30*E30</x:f>
        <x:v>326.66666666666663</x:v>
      </x:c>
      <x:c r="G31" s="62" t="n">
        <x:f>IF(AND(B31&gt;='17_Gia_dinh_mo_hinh'!$H$4+D31,B31&lt;'17_Gia_dinh_mo_hinh'!$H$4+D31+'17_Gia_dinh_mo_hinh'!$I$4),'17_Gia_dinh_mo_hinh'!$L$4*(1-'17_Gia_dinh_mo_hinh'!$M$4)/'17_Gia_dinh_mo_hinh'!$I$4,0)</x:f>
        <x:v>0</x:v>
      </x:c>
      <x:c r="H31" s="62" t="n">
        <x:f>G31*(1-'17_Gia_dinh_mo_hinh'!$N$4)</x:f>
        <x:v>0</x:v>
      </x:c>
      <x:c r="I31" s="62" t="n">
        <x:f>G31*'17_Gia_dinh_mo_hinh'!$O$4</x:f>
        <x:v>0</x:v>
      </x:c>
      <x:c r="J31" s="62" t="n">
        <x:f>G31*'17_Gia_dinh_mo_hinh'!$P$4</x:f>
        <x:v>0</x:v>
      </x:c>
      <x:c r="K31" s="62" t="n">
        <x:f>IF(B31&lt;='17_Gia_dinh_mo_hinh'!$J$4,'17_Gia_dinh_mo_hinh'!$K$4*(1-MIN(0.95,'17_Gia_dinh_mo_hinh'!$M$4*0.75))/'17_Gia_dinh_mo_hinh'!$J$4,0)</x:f>
        <x:v>135.41666666666666</x:v>
      </x:c>
      <x:c r="L31" s="62" t="n">
        <x:f>S30*'17_Gia_dinh_mo_hinh'!$Q$4/12</x:f>
        <x:v>18.564142358923267</x:v>
      </x:c>
      <x:c r="M31" s="62" t="n">
        <x:f>G31-H31-I31-J31-L31</x:f>
        <x:v>-18.564142358923267</x:v>
      </x:c>
      <x:c r="N31" s="62" t="n">
        <x:f>MAX(0,M31*'17_Gia_dinh_mo_hinh'!$S$4)</x:f>
        <x:v>0</x:v>
      </x:c>
      <x:c r="O31" s="62" t="n">
        <x:f>M31-N31</x:f>
        <x:v>-18.564142358923267</x:v>
      </x:c>
      <x:c r="P31" s="62" t="n">
        <x:f>F31-K31-I31-J31-N31-L31</x:f>
        <x:v>172.6858576410767</x:v>
      </x:c>
      <x:c r="Q31" s="62" t="n">
        <x:f>MIN(MAX(0,-(T30+P31)),MAX(0,'17_Gia_dinh_mo_hinh'!$R$4-S30))</x:f>
        <x:v>0</x:v>
      </x:c>
      <x:c r="R31" s="62" t="n">
        <x:f>MIN(MAX(0,T30+P31+Q31),S30+Q31)</x:f>
        <x:v>172.6858576410767</x:v>
      </x:c>
      <x:c r="S31" s="62" t="n">
        <x:f>S30+Q31-R31</x:f>
        <x:v>2172.2584403281776</x:v>
      </x:c>
      <x:c r="T31" s="62" t="n">
        <x:f>MAX(0,T30+P31+Q31-R31)</x:f>
        <x:v>0</x:v>
      </x:c>
      <x:c r="U31" s="62" t="n">
        <x:f>MAX(0,-(T30+P31)-MAX(0,'17_Gia_dinh_mo_hinh'!$R$4-S30))</x:f>
        <x:v>0</x:v>
      </x:c>
      <x:c r="V31" s="61" t="str">
        <x:f>IF(B31&lt;'17_Gia_dinh_mo_hinh'!$F$4+D31,"Trước mở bán",IF(B31&lt;'17_Gia_dinh_mo_hinh'!$H$4+D31,"Bán hàng/thi công",IF(G31&gt;0,"Ghi nhận/bàn giao","Hậu bàn giao")))</x:f>
        <x:v>Bán hàng/thi công</x:v>
      </x:c>
    </x:row>
    <x:row r="32">
      <x:c r="A32" s="54" t="str">
        <x:v>DA01</x:v>
      </x:c>
      <x:c r="B32" s="54" t="n">
        <x:v>29</x:v>
      </x:c>
      <x:c r="C32" s="60" t="n">
        <x:f>EDATE('17_Gia_dinh_mo_hinh'!$C$4,B32-1)</x:f>
        <x:v>47088</x:v>
      </x:c>
      <x:c r="D32" s="61" t="n">
        <x:f>ROUNDUP('17_Gia_dinh_mo_hinh'!$E$4/30,0)</x:f>
        <x:v>6</x:v>
      </x:c>
      <x:c r="E32" s="62" t="n">
        <x:f>IF(AND(B32&gt;='17_Gia_dinh_mo_hinh'!$F$4+D32,B32&lt;'17_Gia_dinh_mo_hinh'!$F$4+D32+'17_Gia_dinh_mo_hinh'!$G$4),'17_Gia_dinh_mo_hinh'!$L$4*(1-'17_Gia_dinh_mo_hinh'!$M$4)/'17_Gia_dinh_mo_hinh'!$G$4,0)</x:f>
        <x:v>326.6666666666667</x:v>
      </x:c>
      <x:c r="F32" s="62" t="n">
        <x:f>0.70*E32+0.30*E31</x:f>
        <x:v>326.66666666666663</x:v>
      </x:c>
      <x:c r="G32" s="62" t="n">
        <x:f>IF(AND(B32&gt;='17_Gia_dinh_mo_hinh'!$H$4+D32,B32&lt;'17_Gia_dinh_mo_hinh'!$H$4+D32+'17_Gia_dinh_mo_hinh'!$I$4),'17_Gia_dinh_mo_hinh'!$L$4*(1-'17_Gia_dinh_mo_hinh'!$M$4)/'17_Gia_dinh_mo_hinh'!$I$4,0)</x:f>
        <x:v>0</x:v>
      </x:c>
      <x:c r="H32" s="62" t="n">
        <x:f>G32*(1-'17_Gia_dinh_mo_hinh'!$N$4)</x:f>
        <x:v>0</x:v>
      </x:c>
      <x:c r="I32" s="62" t="n">
        <x:f>G32*'17_Gia_dinh_mo_hinh'!$O$4</x:f>
        <x:v>0</x:v>
      </x:c>
      <x:c r="J32" s="62" t="n">
        <x:f>G32*'17_Gia_dinh_mo_hinh'!$P$4</x:f>
        <x:v>0</x:v>
      </x:c>
      <x:c r="K32" s="62" t="n">
        <x:f>IF(B32&lt;='17_Gia_dinh_mo_hinh'!$J$4,'17_Gia_dinh_mo_hinh'!$K$4*(1-MIN(0.95,'17_Gia_dinh_mo_hinh'!$M$4*0.75))/'17_Gia_dinh_mo_hinh'!$J$4,0)</x:f>
        <x:v>135.41666666666666</x:v>
      </x:c>
      <x:c r="L32" s="62" t="n">
        <x:f>S31*'17_Gia_dinh_mo_hinh'!$Q$4/12</x:f>
        <x:v>17.197045985931407</x:v>
      </x:c>
      <x:c r="M32" s="62" t="n">
        <x:f>G32-H32-I32-J32-L32</x:f>
        <x:v>-17.197045985931407</x:v>
      </x:c>
      <x:c r="N32" s="62" t="n">
        <x:f>MAX(0,M32*'17_Gia_dinh_mo_hinh'!$S$4)</x:f>
        <x:v>0</x:v>
      </x:c>
      <x:c r="O32" s="62" t="n">
        <x:f>M32-N32</x:f>
        <x:v>-17.197045985931407</x:v>
      </x:c>
      <x:c r="P32" s="62" t="n">
        <x:f>F32-K32-I32-J32-N32-L32</x:f>
        <x:v>174.05295401406858</x:v>
      </x:c>
      <x:c r="Q32" s="62" t="n">
        <x:f>MIN(MAX(0,-(T31+P32)),MAX(0,'17_Gia_dinh_mo_hinh'!$R$4-S31))</x:f>
        <x:v>0</x:v>
      </x:c>
      <x:c r="R32" s="62" t="n">
        <x:f>MIN(MAX(0,T31+P32+Q32),S31+Q32)</x:f>
        <x:v>174.05295401406858</x:v>
      </x:c>
      <x:c r="S32" s="62" t="n">
        <x:f>S31+Q32-R32</x:f>
        <x:v>1998.205486314109</x:v>
      </x:c>
      <x:c r="T32" s="62" t="n">
        <x:f>MAX(0,T31+P32+Q32-R32)</x:f>
        <x:v>0</x:v>
      </x:c>
      <x:c r="U32" s="62" t="n">
        <x:f>MAX(0,-(T31+P32)-MAX(0,'17_Gia_dinh_mo_hinh'!$R$4-S31))</x:f>
        <x:v>0</x:v>
      </x:c>
      <x:c r="V32" s="61" t="str">
        <x:f>IF(B32&lt;'17_Gia_dinh_mo_hinh'!$F$4+D32,"Trước mở bán",IF(B32&lt;'17_Gia_dinh_mo_hinh'!$H$4+D32,"Bán hàng/thi công",IF(G32&gt;0,"Ghi nhận/bàn giao","Hậu bàn giao")))</x:f>
        <x:v>Bán hàng/thi công</x:v>
      </x:c>
    </x:row>
    <x:row r="33">
      <x:c r="A33" s="54" t="str">
        <x:v>DA01</x:v>
      </x:c>
      <x:c r="B33" s="54" t="n">
        <x:v>30</x:v>
      </x:c>
      <x:c r="C33" s="60" t="n">
        <x:f>EDATE('17_Gia_dinh_mo_hinh'!$C$4,B33-1)</x:f>
        <x:v>47119</x:v>
      </x:c>
      <x:c r="D33" s="61" t="n">
        <x:f>ROUNDUP('17_Gia_dinh_mo_hinh'!$E$4/30,0)</x:f>
        <x:v>6</x:v>
      </x:c>
      <x:c r="E33" s="62" t="n">
        <x:f>IF(AND(B33&gt;='17_Gia_dinh_mo_hinh'!$F$4+D33,B33&lt;'17_Gia_dinh_mo_hinh'!$F$4+D33+'17_Gia_dinh_mo_hinh'!$G$4),'17_Gia_dinh_mo_hinh'!$L$4*(1-'17_Gia_dinh_mo_hinh'!$M$4)/'17_Gia_dinh_mo_hinh'!$G$4,0)</x:f>
        <x:v>326.6666666666667</x:v>
      </x:c>
      <x:c r="F33" s="62" t="n">
        <x:f>0.70*E33+0.30*E32</x:f>
        <x:v>326.66666666666663</x:v>
      </x:c>
      <x:c r="G33" s="62" t="n">
        <x:f>IF(AND(B33&gt;='17_Gia_dinh_mo_hinh'!$H$4+D33,B33&lt;'17_Gia_dinh_mo_hinh'!$H$4+D33+'17_Gia_dinh_mo_hinh'!$I$4),'17_Gia_dinh_mo_hinh'!$L$4*(1-'17_Gia_dinh_mo_hinh'!$M$4)/'17_Gia_dinh_mo_hinh'!$I$4,0)</x:f>
        <x:v>0</x:v>
      </x:c>
      <x:c r="H33" s="62" t="n">
        <x:f>G33*(1-'17_Gia_dinh_mo_hinh'!$N$4)</x:f>
        <x:v>0</x:v>
      </x:c>
      <x:c r="I33" s="62" t="n">
        <x:f>G33*'17_Gia_dinh_mo_hinh'!$O$4</x:f>
        <x:v>0</x:v>
      </x:c>
      <x:c r="J33" s="62" t="n">
        <x:f>G33*'17_Gia_dinh_mo_hinh'!$P$4</x:f>
        <x:v>0</x:v>
      </x:c>
      <x:c r="K33" s="62" t="n">
        <x:f>IF(B33&lt;='17_Gia_dinh_mo_hinh'!$J$4,'17_Gia_dinh_mo_hinh'!$K$4*(1-MIN(0.95,'17_Gia_dinh_mo_hinh'!$M$4*0.75))/'17_Gia_dinh_mo_hinh'!$J$4,0)</x:f>
        <x:v>135.41666666666666</x:v>
      </x:c>
      <x:c r="L33" s="62" t="n">
        <x:f>S32*'17_Gia_dinh_mo_hinh'!$Q$4/12</x:f>
        <x:v>15.819126766653364</x:v>
      </x:c>
      <x:c r="M33" s="62" t="n">
        <x:f>G33-H33-I33-J33-L33</x:f>
        <x:v>-15.819126766653364</x:v>
      </x:c>
      <x:c r="N33" s="62" t="n">
        <x:f>MAX(0,M33*'17_Gia_dinh_mo_hinh'!$S$4)</x:f>
        <x:v>0</x:v>
      </x:c>
      <x:c r="O33" s="62" t="n">
        <x:f>M33-N33</x:f>
        <x:v>-15.819126766653364</x:v>
      </x:c>
      <x:c r="P33" s="62" t="n">
        <x:f>F33-K33-I33-J33-N33-L33</x:f>
        <x:v>175.4308732333466</x:v>
      </x:c>
      <x:c r="Q33" s="62" t="n">
        <x:f>MIN(MAX(0,-(T32+P33)),MAX(0,'17_Gia_dinh_mo_hinh'!$R$4-S32))</x:f>
        <x:v>0</x:v>
      </x:c>
      <x:c r="R33" s="62" t="n">
        <x:f>MIN(MAX(0,T32+P33+Q33),S32+Q33)</x:f>
        <x:v>175.4308732333466</x:v>
      </x:c>
      <x:c r="S33" s="62" t="n">
        <x:f>S32+Q33-R33</x:f>
        <x:v>1822.7746130807625</x:v>
      </x:c>
      <x:c r="T33" s="62" t="n">
        <x:f>MAX(0,T32+P33+Q33-R33)</x:f>
        <x:v>0</x:v>
      </x:c>
      <x:c r="U33" s="62" t="n">
        <x:f>MAX(0,-(T32+P33)-MAX(0,'17_Gia_dinh_mo_hinh'!$R$4-S32))</x:f>
        <x:v>0</x:v>
      </x:c>
      <x:c r="V33" s="61" t="str">
        <x:f>IF(B33&lt;'17_Gia_dinh_mo_hinh'!$F$4+D33,"Trước mở bán",IF(B33&lt;'17_Gia_dinh_mo_hinh'!$H$4+D33,"Bán hàng/thi công",IF(G33&gt;0,"Ghi nhận/bàn giao","Hậu bàn giao")))</x:f>
        <x:v>Bán hàng/thi công</x:v>
      </x:c>
    </x:row>
    <x:row r="34">
      <x:c r="A34" s="54" t="str">
        <x:v>DA01</x:v>
      </x:c>
      <x:c r="B34" s="54" t="n">
        <x:v>31</x:v>
      </x:c>
      <x:c r="C34" s="60" t="n">
        <x:f>EDATE('17_Gia_dinh_mo_hinh'!$C$4,B34-1)</x:f>
        <x:v>47150</x:v>
      </x:c>
      <x:c r="D34" s="61" t="n">
        <x:f>ROUNDUP('17_Gia_dinh_mo_hinh'!$E$4/30,0)</x:f>
        <x:v>6</x:v>
      </x:c>
      <x:c r="E34" s="62" t="n">
        <x:f>IF(AND(B34&gt;='17_Gia_dinh_mo_hinh'!$F$4+D34,B34&lt;'17_Gia_dinh_mo_hinh'!$F$4+D34+'17_Gia_dinh_mo_hinh'!$G$4),'17_Gia_dinh_mo_hinh'!$L$4*(1-'17_Gia_dinh_mo_hinh'!$M$4)/'17_Gia_dinh_mo_hinh'!$G$4,0)</x:f>
        <x:v>326.6666666666667</x:v>
      </x:c>
      <x:c r="F34" s="62" t="n">
        <x:f>0.70*E34+0.30*E33</x:f>
        <x:v>326.66666666666663</x:v>
      </x:c>
      <x:c r="G34" s="62" t="n">
        <x:f>IF(AND(B34&gt;='17_Gia_dinh_mo_hinh'!$H$4+D34,B34&lt;'17_Gia_dinh_mo_hinh'!$H$4+D34+'17_Gia_dinh_mo_hinh'!$I$4),'17_Gia_dinh_mo_hinh'!$L$4*(1-'17_Gia_dinh_mo_hinh'!$M$4)/'17_Gia_dinh_mo_hinh'!$I$4,0)</x:f>
        <x:v>0</x:v>
      </x:c>
      <x:c r="H34" s="62" t="n">
        <x:f>G34*(1-'17_Gia_dinh_mo_hinh'!$N$4)</x:f>
        <x:v>0</x:v>
      </x:c>
      <x:c r="I34" s="62" t="n">
        <x:f>G34*'17_Gia_dinh_mo_hinh'!$O$4</x:f>
        <x:v>0</x:v>
      </x:c>
      <x:c r="J34" s="62" t="n">
        <x:f>G34*'17_Gia_dinh_mo_hinh'!$P$4</x:f>
        <x:v>0</x:v>
      </x:c>
      <x:c r="K34" s="62" t="n">
        <x:f>IF(B34&lt;='17_Gia_dinh_mo_hinh'!$J$4,'17_Gia_dinh_mo_hinh'!$K$4*(1-MIN(0.95,'17_Gia_dinh_mo_hinh'!$M$4*0.75))/'17_Gia_dinh_mo_hinh'!$J$4,0)</x:f>
        <x:v>135.41666666666666</x:v>
      </x:c>
      <x:c r="L34" s="62" t="n">
        <x:f>S33*'17_Gia_dinh_mo_hinh'!$Q$4/12</x:f>
        <x:v>14.430299020222703</x:v>
      </x:c>
      <x:c r="M34" s="62" t="n">
        <x:f>G34-H34-I34-J34-L34</x:f>
        <x:v>-14.430299020222703</x:v>
      </x:c>
      <x:c r="N34" s="62" t="n">
        <x:f>MAX(0,M34*'17_Gia_dinh_mo_hinh'!$S$4)</x:f>
        <x:v>0</x:v>
      </x:c>
      <x:c r="O34" s="62" t="n">
        <x:f>M34-N34</x:f>
        <x:v>-14.430299020222703</x:v>
      </x:c>
      <x:c r="P34" s="62" t="n">
        <x:f>F34-K34-I34-J34-N34-L34</x:f>
        <x:v>176.81970097977728</x:v>
      </x:c>
      <x:c r="Q34" s="62" t="n">
        <x:f>MIN(MAX(0,-(T33+P34)),MAX(0,'17_Gia_dinh_mo_hinh'!$R$4-S33))</x:f>
        <x:v>0</x:v>
      </x:c>
      <x:c r="R34" s="62" t="n">
        <x:f>MIN(MAX(0,T33+P34+Q34),S33+Q34)</x:f>
        <x:v>176.81970097977728</x:v>
      </x:c>
      <x:c r="S34" s="62" t="n">
        <x:f>S33+Q34-R34</x:f>
        <x:v>1645.9549121009852</x:v>
      </x:c>
      <x:c r="T34" s="62" t="n">
        <x:f>MAX(0,T33+P34+Q34-R34)</x:f>
        <x:v>0</x:v>
      </x:c>
      <x:c r="U34" s="62" t="n">
        <x:f>MAX(0,-(T33+P34)-MAX(0,'17_Gia_dinh_mo_hinh'!$R$4-S33))</x:f>
        <x:v>0</x:v>
      </x:c>
      <x:c r="V34" s="61" t="str">
        <x:f>IF(B34&lt;'17_Gia_dinh_mo_hinh'!$F$4+D34,"Trước mở bán",IF(B34&lt;'17_Gia_dinh_mo_hinh'!$H$4+D34,"Bán hàng/thi công",IF(G34&gt;0,"Ghi nhận/bàn giao","Hậu bàn giao")))</x:f>
        <x:v>Bán hàng/thi công</x:v>
      </x:c>
    </x:row>
    <x:row r="35">
      <x:c r="A35" s="54" t="str">
        <x:v>DA01</x:v>
      </x:c>
      <x:c r="B35" s="54" t="n">
        <x:v>32</x:v>
      </x:c>
      <x:c r="C35" s="60" t="n">
        <x:f>EDATE('17_Gia_dinh_mo_hinh'!$C$4,B35-1)</x:f>
        <x:v>47178</x:v>
      </x:c>
      <x:c r="D35" s="61" t="n">
        <x:f>ROUNDUP('17_Gia_dinh_mo_hinh'!$E$4/30,0)</x:f>
        <x:v>6</x:v>
      </x:c>
      <x:c r="E35" s="62" t="n">
        <x:f>IF(AND(B35&gt;='17_Gia_dinh_mo_hinh'!$F$4+D35,B35&lt;'17_Gia_dinh_mo_hinh'!$F$4+D35+'17_Gia_dinh_mo_hinh'!$G$4),'17_Gia_dinh_mo_hinh'!$L$4*(1-'17_Gia_dinh_mo_hinh'!$M$4)/'17_Gia_dinh_mo_hinh'!$G$4,0)</x:f>
        <x:v>326.6666666666667</x:v>
      </x:c>
      <x:c r="F35" s="62" t="n">
        <x:f>0.70*E35+0.30*E34</x:f>
        <x:v>326.66666666666663</x:v>
      </x:c>
      <x:c r="G35" s="62" t="n">
        <x:f>IF(AND(B35&gt;='17_Gia_dinh_mo_hinh'!$H$4+D35,B35&lt;'17_Gia_dinh_mo_hinh'!$H$4+D35+'17_Gia_dinh_mo_hinh'!$I$4),'17_Gia_dinh_mo_hinh'!$L$4*(1-'17_Gia_dinh_mo_hinh'!$M$4)/'17_Gia_dinh_mo_hinh'!$I$4,0)</x:f>
        <x:v>0</x:v>
      </x:c>
      <x:c r="H35" s="62" t="n">
        <x:f>G35*(1-'17_Gia_dinh_mo_hinh'!$N$4)</x:f>
        <x:v>0</x:v>
      </x:c>
      <x:c r="I35" s="62" t="n">
        <x:f>G35*'17_Gia_dinh_mo_hinh'!$O$4</x:f>
        <x:v>0</x:v>
      </x:c>
      <x:c r="J35" s="62" t="n">
        <x:f>G35*'17_Gia_dinh_mo_hinh'!$P$4</x:f>
        <x:v>0</x:v>
      </x:c>
      <x:c r="K35" s="62" t="n">
        <x:f>IF(B35&lt;='17_Gia_dinh_mo_hinh'!$J$4,'17_Gia_dinh_mo_hinh'!$K$4*(1-MIN(0.95,'17_Gia_dinh_mo_hinh'!$M$4*0.75))/'17_Gia_dinh_mo_hinh'!$J$4,0)</x:f>
        <x:v>135.41666666666666</x:v>
      </x:c>
      <x:c r="L35" s="62" t="n">
        <x:f>S34*'17_Gia_dinh_mo_hinh'!$Q$4/12</x:f>
        <x:v>13.030476387466132</x:v>
      </x:c>
      <x:c r="M35" s="62" t="n">
        <x:f>G35-H35-I35-J35-L35</x:f>
        <x:v>-13.030476387466132</x:v>
      </x:c>
      <x:c r="N35" s="62" t="n">
        <x:f>MAX(0,M35*'17_Gia_dinh_mo_hinh'!$S$4)</x:f>
        <x:v>0</x:v>
      </x:c>
      <x:c r="O35" s="62" t="n">
        <x:f>M35-N35</x:f>
        <x:v>-13.030476387466132</x:v>
      </x:c>
      <x:c r="P35" s="62" t="n">
        <x:f>F35-K35-I35-J35-N35-L35</x:f>
        <x:v>178.21952361253383</x:v>
      </x:c>
      <x:c r="Q35" s="62" t="n">
        <x:f>MIN(MAX(0,-(T34+P35)),MAX(0,'17_Gia_dinh_mo_hinh'!$R$4-S34))</x:f>
        <x:v>0</x:v>
      </x:c>
      <x:c r="R35" s="62" t="n">
        <x:f>MIN(MAX(0,T34+P35+Q35),S34+Q35)</x:f>
        <x:v>178.21952361253383</x:v>
      </x:c>
      <x:c r="S35" s="62" t="n">
        <x:f>S34+Q35-R35</x:f>
        <x:v>1467.7353884884515</x:v>
      </x:c>
      <x:c r="T35" s="62" t="n">
        <x:f>MAX(0,T34+P35+Q35-R35)</x:f>
        <x:v>0</x:v>
      </x:c>
      <x:c r="U35" s="62" t="n">
        <x:f>MAX(0,-(T34+P35)-MAX(0,'17_Gia_dinh_mo_hinh'!$R$4-S34))</x:f>
        <x:v>0</x:v>
      </x:c>
      <x:c r="V35" s="61" t="str">
        <x:f>IF(B35&lt;'17_Gia_dinh_mo_hinh'!$F$4+D35,"Trước mở bán",IF(B35&lt;'17_Gia_dinh_mo_hinh'!$H$4+D35,"Bán hàng/thi công",IF(G35&gt;0,"Ghi nhận/bàn giao","Hậu bàn giao")))</x:f>
        <x:v>Bán hàng/thi công</x:v>
      </x:c>
    </x:row>
    <x:row r="36">
      <x:c r="A36" s="54" t="str">
        <x:v>DA01</x:v>
      </x:c>
      <x:c r="B36" s="54" t="n">
        <x:v>33</x:v>
      </x:c>
      <x:c r="C36" s="60" t="n">
        <x:f>EDATE('17_Gia_dinh_mo_hinh'!$C$4,B36-1)</x:f>
        <x:v>47209</x:v>
      </x:c>
      <x:c r="D36" s="61" t="n">
        <x:f>ROUNDUP('17_Gia_dinh_mo_hinh'!$E$4/30,0)</x:f>
        <x:v>6</x:v>
      </x:c>
      <x:c r="E36" s="62" t="n">
        <x:f>IF(AND(B36&gt;='17_Gia_dinh_mo_hinh'!$F$4+D36,B36&lt;'17_Gia_dinh_mo_hinh'!$F$4+D36+'17_Gia_dinh_mo_hinh'!$G$4),'17_Gia_dinh_mo_hinh'!$L$4*(1-'17_Gia_dinh_mo_hinh'!$M$4)/'17_Gia_dinh_mo_hinh'!$G$4,0)</x:f>
        <x:v>326.6666666666667</x:v>
      </x:c>
      <x:c r="F36" s="62" t="n">
        <x:f>0.70*E36+0.30*E35</x:f>
        <x:v>326.66666666666663</x:v>
      </x:c>
      <x:c r="G36" s="62" t="n">
        <x:f>IF(AND(B36&gt;='17_Gia_dinh_mo_hinh'!$H$4+D36,B36&lt;'17_Gia_dinh_mo_hinh'!$H$4+D36+'17_Gia_dinh_mo_hinh'!$I$4),'17_Gia_dinh_mo_hinh'!$L$4*(1-'17_Gia_dinh_mo_hinh'!$M$4)/'17_Gia_dinh_mo_hinh'!$I$4,0)</x:f>
        <x:v>0</x:v>
      </x:c>
      <x:c r="H36" s="62" t="n">
        <x:f>G36*(1-'17_Gia_dinh_mo_hinh'!$N$4)</x:f>
        <x:v>0</x:v>
      </x:c>
      <x:c r="I36" s="62" t="n">
        <x:f>G36*'17_Gia_dinh_mo_hinh'!$O$4</x:f>
        <x:v>0</x:v>
      </x:c>
      <x:c r="J36" s="62" t="n">
        <x:f>G36*'17_Gia_dinh_mo_hinh'!$P$4</x:f>
        <x:v>0</x:v>
      </x:c>
      <x:c r="K36" s="62" t="n">
        <x:f>IF(B36&lt;='17_Gia_dinh_mo_hinh'!$J$4,'17_Gia_dinh_mo_hinh'!$K$4*(1-MIN(0.95,'17_Gia_dinh_mo_hinh'!$M$4*0.75))/'17_Gia_dinh_mo_hinh'!$J$4,0)</x:f>
        <x:v>135.41666666666666</x:v>
      </x:c>
      <x:c r="L36" s="62" t="n">
        <x:f>S35*'17_Gia_dinh_mo_hinh'!$Q$4/12</x:f>
        <x:v>11.619571825533574</x:v>
      </x:c>
      <x:c r="M36" s="62" t="n">
        <x:f>G36-H36-I36-J36-L36</x:f>
        <x:v>-11.619571825533574</x:v>
      </x:c>
      <x:c r="N36" s="62" t="n">
        <x:f>MAX(0,M36*'17_Gia_dinh_mo_hinh'!$S$4)</x:f>
        <x:v>0</x:v>
      </x:c>
      <x:c r="O36" s="62" t="n">
        <x:f>M36-N36</x:f>
        <x:v>-11.619571825533574</x:v>
      </x:c>
      <x:c r="P36" s="62" t="n">
        <x:f>F36-K36-I36-J36-N36-L36</x:f>
        <x:v>179.6304281744664</x:v>
      </x:c>
      <x:c r="Q36" s="62" t="n">
        <x:f>MIN(MAX(0,-(T35+P36)),MAX(0,'17_Gia_dinh_mo_hinh'!$R$4-S35))</x:f>
        <x:v>0</x:v>
      </x:c>
      <x:c r="R36" s="62" t="n">
        <x:f>MIN(MAX(0,T35+P36+Q36),S35+Q36)</x:f>
        <x:v>179.6304281744664</x:v>
      </x:c>
      <x:c r="S36" s="62" t="n">
        <x:f>S35+Q36-R36</x:f>
        <x:v>1288.104960313985</x:v>
      </x:c>
      <x:c r="T36" s="62" t="n">
        <x:f>MAX(0,T35+P36+Q36-R36)</x:f>
        <x:v>0</x:v>
      </x:c>
      <x:c r="U36" s="62" t="n">
        <x:f>MAX(0,-(T35+P36)-MAX(0,'17_Gia_dinh_mo_hinh'!$R$4-S35))</x:f>
        <x:v>0</x:v>
      </x:c>
      <x:c r="V36" s="61" t="str">
        <x:f>IF(B36&lt;'17_Gia_dinh_mo_hinh'!$F$4+D36,"Trước mở bán",IF(B36&lt;'17_Gia_dinh_mo_hinh'!$H$4+D36,"Bán hàng/thi công",IF(G36&gt;0,"Ghi nhận/bàn giao","Hậu bàn giao")))</x:f>
        <x:v>Bán hàng/thi công</x:v>
      </x:c>
    </x:row>
    <x:row r="37">
      <x:c r="A37" s="54" t="str">
        <x:v>DA01</x:v>
      </x:c>
      <x:c r="B37" s="54" t="n">
        <x:v>34</x:v>
      </x:c>
      <x:c r="C37" s="60" t="n">
        <x:f>EDATE('17_Gia_dinh_mo_hinh'!$C$4,B37-1)</x:f>
        <x:v>47239</x:v>
      </x:c>
      <x:c r="D37" s="61" t="n">
        <x:f>ROUNDUP('17_Gia_dinh_mo_hinh'!$E$4/30,0)</x:f>
        <x:v>6</x:v>
      </x:c>
      <x:c r="E37" s="62" t="n">
        <x:f>IF(AND(B37&gt;='17_Gia_dinh_mo_hinh'!$F$4+D37,B37&lt;'17_Gia_dinh_mo_hinh'!$F$4+D37+'17_Gia_dinh_mo_hinh'!$G$4),'17_Gia_dinh_mo_hinh'!$L$4*(1-'17_Gia_dinh_mo_hinh'!$M$4)/'17_Gia_dinh_mo_hinh'!$G$4,0)</x:f>
        <x:v>326.6666666666667</x:v>
      </x:c>
      <x:c r="F37" s="62" t="n">
        <x:f>0.70*E37+0.30*E36</x:f>
        <x:v>326.66666666666663</x:v>
      </x:c>
      <x:c r="G37" s="62" t="n">
        <x:f>IF(AND(B37&gt;='17_Gia_dinh_mo_hinh'!$H$4+D37,B37&lt;'17_Gia_dinh_mo_hinh'!$H$4+D37+'17_Gia_dinh_mo_hinh'!$I$4),'17_Gia_dinh_mo_hinh'!$L$4*(1-'17_Gia_dinh_mo_hinh'!$M$4)/'17_Gia_dinh_mo_hinh'!$I$4,0)</x:f>
        <x:v>0</x:v>
      </x:c>
      <x:c r="H37" s="62" t="n">
        <x:f>G37*(1-'17_Gia_dinh_mo_hinh'!$N$4)</x:f>
        <x:v>0</x:v>
      </x:c>
      <x:c r="I37" s="62" t="n">
        <x:f>G37*'17_Gia_dinh_mo_hinh'!$O$4</x:f>
        <x:v>0</x:v>
      </x:c>
      <x:c r="J37" s="62" t="n">
        <x:f>G37*'17_Gia_dinh_mo_hinh'!$P$4</x:f>
        <x:v>0</x:v>
      </x:c>
      <x:c r="K37" s="62" t="n">
        <x:f>IF(B37&lt;='17_Gia_dinh_mo_hinh'!$J$4,'17_Gia_dinh_mo_hinh'!$K$4*(1-MIN(0.95,'17_Gia_dinh_mo_hinh'!$M$4*0.75))/'17_Gia_dinh_mo_hinh'!$J$4,0)</x:f>
        <x:v>135.41666666666666</x:v>
      </x:c>
      <x:c r="L37" s="62" t="n">
        <x:f>S36*'17_Gia_dinh_mo_hinh'!$Q$4/12</x:f>
        <x:v>10.197497602485715</x:v>
      </x:c>
      <x:c r="M37" s="62" t="n">
        <x:f>G37-H37-I37-J37-L37</x:f>
        <x:v>-10.197497602485715</x:v>
      </x:c>
      <x:c r="N37" s="62" t="n">
        <x:f>MAX(0,M37*'17_Gia_dinh_mo_hinh'!$S$4)</x:f>
        <x:v>0</x:v>
      </x:c>
      <x:c r="O37" s="62" t="n">
        <x:f>M37-N37</x:f>
        <x:v>-10.197497602485715</x:v>
      </x:c>
      <x:c r="P37" s="62" t="n">
        <x:f>F37-K37-I37-J37-N37-L37</x:f>
        <x:v>181.05250239751425</x:v>
      </x:c>
      <x:c r="Q37" s="62" t="n">
        <x:f>MIN(MAX(0,-(T36+P37)),MAX(0,'17_Gia_dinh_mo_hinh'!$R$4-S36))</x:f>
        <x:v>0</x:v>
      </x:c>
      <x:c r="R37" s="62" t="n">
        <x:f>MIN(MAX(0,T36+P37+Q37),S36+Q37)</x:f>
        <x:v>181.05250239751425</x:v>
      </x:c>
      <x:c r="S37" s="62" t="n">
        <x:f>S36+Q37-R37</x:f>
        <x:v>1107.0524579164708</x:v>
      </x:c>
      <x:c r="T37" s="62" t="n">
        <x:f>MAX(0,T36+P37+Q37-R37)</x:f>
        <x:v>0</x:v>
      </x:c>
      <x:c r="U37" s="62" t="n">
        <x:f>MAX(0,-(T36+P37)-MAX(0,'17_Gia_dinh_mo_hinh'!$R$4-S36))</x:f>
        <x:v>0</x:v>
      </x:c>
      <x:c r="V37" s="61" t="str">
        <x:f>IF(B37&lt;'17_Gia_dinh_mo_hinh'!$F$4+D37,"Trước mở bán",IF(B37&lt;'17_Gia_dinh_mo_hinh'!$H$4+D37,"Bán hàng/thi công",IF(G37&gt;0,"Ghi nhận/bàn giao","Hậu bàn giao")))</x:f>
        <x:v>Bán hàng/thi công</x:v>
      </x:c>
    </x:row>
    <x:row r="38">
      <x:c r="A38" s="54" t="str">
        <x:v>DA01</x:v>
      </x:c>
      <x:c r="B38" s="54" t="n">
        <x:v>35</x:v>
      </x:c>
      <x:c r="C38" s="60" t="n">
        <x:f>EDATE('17_Gia_dinh_mo_hinh'!$C$4,B38-1)</x:f>
        <x:v>47270</x:v>
      </x:c>
      <x:c r="D38" s="61" t="n">
        <x:f>ROUNDUP('17_Gia_dinh_mo_hinh'!$E$4/30,0)</x:f>
        <x:v>6</x:v>
      </x:c>
      <x:c r="E38" s="62" t="n">
        <x:f>IF(AND(B38&gt;='17_Gia_dinh_mo_hinh'!$F$4+D38,B38&lt;'17_Gia_dinh_mo_hinh'!$F$4+D38+'17_Gia_dinh_mo_hinh'!$G$4),'17_Gia_dinh_mo_hinh'!$L$4*(1-'17_Gia_dinh_mo_hinh'!$M$4)/'17_Gia_dinh_mo_hinh'!$G$4,0)</x:f>
        <x:v>326.6666666666667</x:v>
      </x:c>
      <x:c r="F38" s="62" t="n">
        <x:f>0.70*E38+0.30*E37</x:f>
        <x:v>326.66666666666663</x:v>
      </x:c>
      <x:c r="G38" s="62" t="n">
        <x:f>IF(AND(B38&gt;='17_Gia_dinh_mo_hinh'!$H$4+D38,B38&lt;'17_Gia_dinh_mo_hinh'!$H$4+D38+'17_Gia_dinh_mo_hinh'!$I$4),'17_Gia_dinh_mo_hinh'!$L$4*(1-'17_Gia_dinh_mo_hinh'!$M$4)/'17_Gia_dinh_mo_hinh'!$I$4,0)</x:f>
        <x:v>0</x:v>
      </x:c>
      <x:c r="H38" s="62" t="n">
        <x:f>G38*(1-'17_Gia_dinh_mo_hinh'!$N$4)</x:f>
        <x:v>0</x:v>
      </x:c>
      <x:c r="I38" s="62" t="n">
        <x:f>G38*'17_Gia_dinh_mo_hinh'!$O$4</x:f>
        <x:v>0</x:v>
      </x:c>
      <x:c r="J38" s="62" t="n">
        <x:f>G38*'17_Gia_dinh_mo_hinh'!$P$4</x:f>
        <x:v>0</x:v>
      </x:c>
      <x:c r="K38" s="62" t="n">
        <x:f>IF(B38&lt;='17_Gia_dinh_mo_hinh'!$J$4,'17_Gia_dinh_mo_hinh'!$K$4*(1-MIN(0.95,'17_Gia_dinh_mo_hinh'!$M$4*0.75))/'17_Gia_dinh_mo_hinh'!$J$4,0)</x:f>
        <x:v>135.41666666666666</x:v>
      </x:c>
      <x:c r="L38" s="62" t="n">
        <x:f>S37*'17_Gia_dinh_mo_hinh'!$Q$4/12</x:f>
        <x:v>8.764165291838728</x:v>
      </x:c>
      <x:c r="M38" s="62" t="n">
        <x:f>G38-H38-I38-J38-L38</x:f>
        <x:v>-8.764165291838728</x:v>
      </x:c>
      <x:c r="N38" s="62" t="n">
        <x:f>MAX(0,M38*'17_Gia_dinh_mo_hinh'!$S$4)</x:f>
        <x:v>0</x:v>
      </x:c>
      <x:c r="O38" s="62" t="n">
        <x:f>M38-N38</x:f>
        <x:v>-8.764165291838728</x:v>
      </x:c>
      <x:c r="P38" s="62" t="n">
        <x:f>F38-K38-I38-J38-N38-L38</x:f>
        <x:v>182.48583470816124</x:v>
      </x:c>
      <x:c r="Q38" s="62" t="n">
        <x:f>MIN(MAX(0,-(T37+P38)),MAX(0,'17_Gia_dinh_mo_hinh'!$R$4-S37))</x:f>
        <x:v>0</x:v>
      </x:c>
      <x:c r="R38" s="62" t="n">
        <x:f>MIN(MAX(0,T37+P38+Q38),S37+Q38)</x:f>
        <x:v>182.48583470816124</x:v>
      </x:c>
      <x:c r="S38" s="62" t="n">
        <x:f>S37+Q38-R38</x:f>
        <x:v>924.5666232083095</x:v>
      </x:c>
      <x:c r="T38" s="62" t="n">
        <x:f>MAX(0,T37+P38+Q38-R38)</x:f>
        <x:v>0</x:v>
      </x:c>
      <x:c r="U38" s="62" t="n">
        <x:f>MAX(0,-(T37+P38)-MAX(0,'17_Gia_dinh_mo_hinh'!$R$4-S37))</x:f>
        <x:v>0</x:v>
      </x:c>
      <x:c r="V38" s="61" t="str">
        <x:f>IF(B38&lt;'17_Gia_dinh_mo_hinh'!$F$4+D38,"Trước mở bán",IF(B38&lt;'17_Gia_dinh_mo_hinh'!$H$4+D38,"Bán hàng/thi công",IF(G38&gt;0,"Ghi nhận/bàn giao","Hậu bàn giao")))</x:f>
        <x:v>Bán hàng/thi công</x:v>
      </x:c>
    </x:row>
    <x:row r="39">
      <x:c r="A39" s="54" t="str">
        <x:v>DA01</x:v>
      </x:c>
      <x:c r="B39" s="54" t="n">
        <x:v>36</x:v>
      </x:c>
      <x:c r="C39" s="60" t="n">
        <x:f>EDATE('17_Gia_dinh_mo_hinh'!$C$4,B39-1)</x:f>
        <x:v>47300</x:v>
      </x:c>
      <x:c r="D39" s="61" t="n">
        <x:f>ROUNDUP('17_Gia_dinh_mo_hinh'!$E$4/30,0)</x:f>
        <x:v>6</x:v>
      </x:c>
      <x:c r="E39" s="62" t="n">
        <x:f>IF(AND(B39&gt;='17_Gia_dinh_mo_hinh'!$F$4+D39,B39&lt;'17_Gia_dinh_mo_hinh'!$F$4+D39+'17_Gia_dinh_mo_hinh'!$G$4),'17_Gia_dinh_mo_hinh'!$L$4*(1-'17_Gia_dinh_mo_hinh'!$M$4)/'17_Gia_dinh_mo_hinh'!$G$4,0)</x:f>
        <x:v>326.6666666666667</x:v>
      </x:c>
      <x:c r="F39" s="62" t="n">
        <x:f>0.70*E39+0.30*E38</x:f>
        <x:v>326.66666666666663</x:v>
      </x:c>
      <x:c r="G39" s="62" t="n">
        <x:f>IF(AND(B39&gt;='17_Gia_dinh_mo_hinh'!$H$4+D39,B39&lt;'17_Gia_dinh_mo_hinh'!$H$4+D39+'17_Gia_dinh_mo_hinh'!$I$4),'17_Gia_dinh_mo_hinh'!$L$4*(1-'17_Gia_dinh_mo_hinh'!$M$4)/'17_Gia_dinh_mo_hinh'!$I$4,0)</x:f>
        <x:v>0</x:v>
      </x:c>
      <x:c r="H39" s="62" t="n">
        <x:f>G39*(1-'17_Gia_dinh_mo_hinh'!$N$4)</x:f>
        <x:v>0</x:v>
      </x:c>
      <x:c r="I39" s="62" t="n">
        <x:f>G39*'17_Gia_dinh_mo_hinh'!$O$4</x:f>
        <x:v>0</x:v>
      </x:c>
      <x:c r="J39" s="62" t="n">
        <x:f>G39*'17_Gia_dinh_mo_hinh'!$P$4</x:f>
        <x:v>0</x:v>
      </x:c>
      <x:c r="K39" s="62" t="n">
        <x:f>IF(B39&lt;='17_Gia_dinh_mo_hinh'!$J$4,'17_Gia_dinh_mo_hinh'!$K$4*(1-MIN(0.95,'17_Gia_dinh_mo_hinh'!$M$4*0.75))/'17_Gia_dinh_mo_hinh'!$J$4,0)</x:f>
        <x:v>135.41666666666666</x:v>
      </x:c>
      <x:c r="L39" s="62" t="n">
        <x:f>S38*'17_Gia_dinh_mo_hinh'!$Q$4/12</x:f>
        <x:v>7.319485767065783</x:v>
      </x:c>
      <x:c r="M39" s="62" t="n">
        <x:f>G39-H39-I39-J39-L39</x:f>
        <x:v>-7.319485767065783</x:v>
      </x:c>
      <x:c r="N39" s="62" t="n">
        <x:f>MAX(0,M39*'17_Gia_dinh_mo_hinh'!$S$4)</x:f>
        <x:v>0</x:v>
      </x:c>
      <x:c r="O39" s="62" t="n">
        <x:f>M39-N39</x:f>
        <x:v>-7.319485767065783</x:v>
      </x:c>
      <x:c r="P39" s="62" t="n">
        <x:f>F39-K39-I39-J39-N39-L39</x:f>
        <x:v>183.9305142329342</x:v>
      </x:c>
      <x:c r="Q39" s="62" t="n">
        <x:f>MIN(MAX(0,-(T38+P39)),MAX(0,'17_Gia_dinh_mo_hinh'!$R$4-S38))</x:f>
        <x:v>0</x:v>
      </x:c>
      <x:c r="R39" s="62" t="n">
        <x:f>MIN(MAX(0,T38+P39+Q39),S38+Q39)</x:f>
        <x:v>183.9305142329342</x:v>
      </x:c>
      <x:c r="S39" s="62" t="n">
        <x:f>S38+Q39-R39</x:f>
        <x:v>740.6361089753752</x:v>
      </x:c>
      <x:c r="T39" s="62" t="n">
        <x:f>MAX(0,T38+P39+Q39-R39)</x:f>
        <x:v>0</x:v>
      </x:c>
      <x:c r="U39" s="62" t="n">
        <x:f>MAX(0,-(T38+P39)-MAX(0,'17_Gia_dinh_mo_hinh'!$R$4-S38))</x:f>
        <x:v>0</x:v>
      </x:c>
      <x:c r="V39" s="61" t="str">
        <x:f>IF(B39&lt;'17_Gia_dinh_mo_hinh'!$F$4+D39,"Trước mở bán",IF(B39&lt;'17_Gia_dinh_mo_hinh'!$H$4+D39,"Bán hàng/thi công",IF(G39&gt;0,"Ghi nhận/bàn giao","Hậu bàn giao")))</x:f>
        <x:v>Bán hàng/thi công</x:v>
      </x:c>
    </x:row>
    <x:row r="40">
      <x:c r="A40" s="54" t="str">
        <x:v>DA01</x:v>
      </x:c>
      <x:c r="B40" s="54" t="n">
        <x:v>37</x:v>
      </x:c>
      <x:c r="C40" s="60" t="n">
        <x:f>EDATE('17_Gia_dinh_mo_hinh'!$C$4,B40-1)</x:f>
        <x:v>47331</x:v>
      </x:c>
      <x:c r="D40" s="61" t="n">
        <x:f>ROUNDUP('17_Gia_dinh_mo_hinh'!$E$4/30,0)</x:f>
        <x:v>6</x:v>
      </x:c>
      <x:c r="E40" s="62" t="n">
        <x:f>IF(AND(B40&gt;='17_Gia_dinh_mo_hinh'!$F$4+D40,B40&lt;'17_Gia_dinh_mo_hinh'!$F$4+D40+'17_Gia_dinh_mo_hinh'!$G$4),'17_Gia_dinh_mo_hinh'!$L$4*(1-'17_Gia_dinh_mo_hinh'!$M$4)/'17_Gia_dinh_mo_hinh'!$G$4,0)</x:f>
        <x:v>326.6666666666667</x:v>
      </x:c>
      <x:c r="F40" s="62" t="n">
        <x:f>0.70*E40+0.30*E39</x:f>
        <x:v>326.66666666666663</x:v>
      </x:c>
      <x:c r="G40" s="62" t="n">
        <x:f>IF(AND(B40&gt;='17_Gia_dinh_mo_hinh'!$H$4+D40,B40&lt;'17_Gia_dinh_mo_hinh'!$H$4+D40+'17_Gia_dinh_mo_hinh'!$I$4),'17_Gia_dinh_mo_hinh'!$L$4*(1-'17_Gia_dinh_mo_hinh'!$M$4)/'17_Gia_dinh_mo_hinh'!$I$4,0)</x:f>
        <x:v>0</x:v>
      </x:c>
      <x:c r="H40" s="62" t="n">
        <x:f>G40*(1-'17_Gia_dinh_mo_hinh'!$N$4)</x:f>
        <x:v>0</x:v>
      </x:c>
      <x:c r="I40" s="62" t="n">
        <x:f>G40*'17_Gia_dinh_mo_hinh'!$O$4</x:f>
        <x:v>0</x:v>
      </x:c>
      <x:c r="J40" s="62" t="n">
        <x:f>G40*'17_Gia_dinh_mo_hinh'!$P$4</x:f>
        <x:v>0</x:v>
      </x:c>
      <x:c r="K40" s="62" t="n">
        <x:f>IF(B40&lt;='17_Gia_dinh_mo_hinh'!$J$4,'17_Gia_dinh_mo_hinh'!$K$4*(1-MIN(0.95,'17_Gia_dinh_mo_hinh'!$M$4*0.75))/'17_Gia_dinh_mo_hinh'!$J$4,0)</x:f>
        <x:v>135.41666666666666</x:v>
      </x:c>
      <x:c r="L40" s="62" t="n">
        <x:f>S39*'17_Gia_dinh_mo_hinh'!$Q$4/12</x:f>
        <x:v>5.863369196055054</x:v>
      </x:c>
      <x:c r="M40" s="62" t="n">
        <x:f>G40-H40-I40-J40-L40</x:f>
        <x:v>-5.863369196055054</x:v>
      </x:c>
      <x:c r="N40" s="62" t="n">
        <x:f>MAX(0,M40*'17_Gia_dinh_mo_hinh'!$S$4)</x:f>
        <x:v>0</x:v>
      </x:c>
      <x:c r="O40" s="62" t="n">
        <x:f>M40-N40</x:f>
        <x:v>-5.863369196055054</x:v>
      </x:c>
      <x:c r="P40" s="62" t="n">
        <x:f>F40-K40-I40-J40-N40-L40</x:f>
        <x:v>185.3866308039449</x:v>
      </x:c>
      <x:c r="Q40" s="62" t="n">
        <x:f>MIN(MAX(0,-(T39+P40)),MAX(0,'17_Gia_dinh_mo_hinh'!$R$4-S39))</x:f>
        <x:v>0</x:v>
      </x:c>
      <x:c r="R40" s="62" t="n">
        <x:f>MIN(MAX(0,T39+P40+Q40),S39+Q40)</x:f>
        <x:v>185.3866308039449</x:v>
      </x:c>
      <x:c r="S40" s="62" t="n">
        <x:f>S39+Q40-R40</x:f>
        <x:v>555.2494781714304</x:v>
      </x:c>
      <x:c r="T40" s="62" t="n">
        <x:f>MAX(0,T39+P40+Q40-R40)</x:f>
        <x:v>0</x:v>
      </x:c>
      <x:c r="U40" s="62" t="n">
        <x:f>MAX(0,-(T39+P40)-MAX(0,'17_Gia_dinh_mo_hinh'!$R$4-S39))</x:f>
        <x:v>0</x:v>
      </x:c>
      <x:c r="V40" s="61" t="str">
        <x:f>IF(B40&lt;'17_Gia_dinh_mo_hinh'!$F$4+D40,"Trước mở bán",IF(B40&lt;'17_Gia_dinh_mo_hinh'!$H$4+D40,"Bán hàng/thi công",IF(G40&gt;0,"Ghi nhận/bàn giao","Hậu bàn giao")))</x:f>
        <x:v>Bán hàng/thi công</x:v>
      </x:c>
    </x:row>
    <x:row r="41">
      <x:c r="A41" s="54" t="str">
        <x:v>DA01</x:v>
      </x:c>
      <x:c r="B41" s="54" t="n">
        <x:v>38</x:v>
      </x:c>
      <x:c r="C41" s="60" t="n">
        <x:f>EDATE('17_Gia_dinh_mo_hinh'!$C$4,B41-1)</x:f>
        <x:v>47362</x:v>
      </x:c>
      <x:c r="D41" s="61" t="n">
        <x:f>ROUNDUP('17_Gia_dinh_mo_hinh'!$E$4/30,0)</x:f>
        <x:v>6</x:v>
      </x:c>
      <x:c r="E41" s="62" t="n">
        <x:f>IF(AND(B41&gt;='17_Gia_dinh_mo_hinh'!$F$4+D41,B41&lt;'17_Gia_dinh_mo_hinh'!$F$4+D41+'17_Gia_dinh_mo_hinh'!$G$4),'17_Gia_dinh_mo_hinh'!$L$4*(1-'17_Gia_dinh_mo_hinh'!$M$4)/'17_Gia_dinh_mo_hinh'!$G$4,0)</x:f>
        <x:v>326.6666666666667</x:v>
      </x:c>
      <x:c r="F41" s="62" t="n">
        <x:f>0.70*E41+0.30*E40</x:f>
        <x:v>326.66666666666663</x:v>
      </x:c>
      <x:c r="G41" s="62" t="n">
        <x:f>IF(AND(B41&gt;='17_Gia_dinh_mo_hinh'!$H$4+D41,B41&lt;'17_Gia_dinh_mo_hinh'!$H$4+D41+'17_Gia_dinh_mo_hinh'!$I$4),'17_Gia_dinh_mo_hinh'!$L$4*(1-'17_Gia_dinh_mo_hinh'!$M$4)/'17_Gia_dinh_mo_hinh'!$I$4,0)</x:f>
        <x:v>0</x:v>
      </x:c>
      <x:c r="H41" s="62" t="n">
        <x:f>G41*(1-'17_Gia_dinh_mo_hinh'!$N$4)</x:f>
        <x:v>0</x:v>
      </x:c>
      <x:c r="I41" s="62" t="n">
        <x:f>G41*'17_Gia_dinh_mo_hinh'!$O$4</x:f>
        <x:v>0</x:v>
      </x:c>
      <x:c r="J41" s="62" t="n">
        <x:f>G41*'17_Gia_dinh_mo_hinh'!$P$4</x:f>
        <x:v>0</x:v>
      </x:c>
      <x:c r="K41" s="62" t="n">
        <x:f>IF(B41&lt;='17_Gia_dinh_mo_hinh'!$J$4,'17_Gia_dinh_mo_hinh'!$K$4*(1-MIN(0.95,'17_Gia_dinh_mo_hinh'!$M$4*0.75))/'17_Gia_dinh_mo_hinh'!$J$4,0)</x:f>
        <x:v>135.41666666666666</x:v>
      </x:c>
      <x:c r="L41" s="62" t="n">
        <x:f>S40*'17_Gia_dinh_mo_hinh'!$Q$4/12</x:f>
        <x:v>4.3957250355238235</x:v>
      </x:c>
      <x:c r="M41" s="62" t="n">
        <x:f>G41-H41-I41-J41-L41</x:f>
        <x:v>-4.3957250355238235</x:v>
      </x:c>
      <x:c r="N41" s="62" t="n">
        <x:f>MAX(0,M41*'17_Gia_dinh_mo_hinh'!$S$4)</x:f>
        <x:v>0</x:v>
      </x:c>
      <x:c r="O41" s="62" t="n">
        <x:f>M41-N41</x:f>
        <x:v>-4.3957250355238235</x:v>
      </x:c>
      <x:c r="P41" s="62" t="n">
        <x:f>F41-K41-I41-J41-N41-L41</x:f>
        <x:v>186.85427496447616</x:v>
      </x:c>
      <x:c r="Q41" s="62" t="n">
        <x:f>MIN(MAX(0,-(T40+P41)),MAX(0,'17_Gia_dinh_mo_hinh'!$R$4-S40))</x:f>
        <x:v>0</x:v>
      </x:c>
      <x:c r="R41" s="62" t="n">
        <x:f>MIN(MAX(0,T40+P41+Q41),S40+Q41)</x:f>
        <x:v>186.85427496447616</x:v>
      </x:c>
      <x:c r="S41" s="62" t="n">
        <x:f>S40+Q41-R41</x:f>
        <x:v>368.3952032069542</x:v>
      </x:c>
      <x:c r="T41" s="62" t="n">
        <x:f>MAX(0,T40+P41+Q41-R41)</x:f>
        <x:v>0</x:v>
      </x:c>
      <x:c r="U41" s="62" t="n">
        <x:f>MAX(0,-(T40+P41)-MAX(0,'17_Gia_dinh_mo_hinh'!$R$4-S40))</x:f>
        <x:v>0</x:v>
      </x:c>
      <x:c r="V41" s="61" t="str">
        <x:f>IF(B41&lt;'17_Gia_dinh_mo_hinh'!$F$4+D41,"Trước mở bán",IF(B41&lt;'17_Gia_dinh_mo_hinh'!$H$4+D41,"Bán hàng/thi công",IF(G41&gt;0,"Ghi nhận/bàn giao","Hậu bàn giao")))</x:f>
        <x:v>Bán hàng/thi công</x:v>
      </x:c>
    </x:row>
    <x:row r="42">
      <x:c r="A42" s="54" t="str">
        <x:v>DA01</x:v>
      </x:c>
      <x:c r="B42" s="54" t="n">
        <x:v>39</x:v>
      </x:c>
      <x:c r="C42" s="60" t="n">
        <x:f>EDATE('17_Gia_dinh_mo_hinh'!$C$4,B42-1)</x:f>
        <x:v>47392</x:v>
      </x:c>
      <x:c r="D42" s="61" t="n">
        <x:f>ROUNDUP('17_Gia_dinh_mo_hinh'!$E$4/30,0)</x:f>
        <x:v>6</x:v>
      </x:c>
      <x:c r="E42" s="62" t="n">
        <x:f>IF(AND(B42&gt;='17_Gia_dinh_mo_hinh'!$F$4+D42,B42&lt;'17_Gia_dinh_mo_hinh'!$F$4+D42+'17_Gia_dinh_mo_hinh'!$G$4),'17_Gia_dinh_mo_hinh'!$L$4*(1-'17_Gia_dinh_mo_hinh'!$M$4)/'17_Gia_dinh_mo_hinh'!$G$4,0)</x:f>
        <x:v>326.6666666666667</x:v>
      </x:c>
      <x:c r="F42" s="62" t="n">
        <x:f>0.70*E42+0.30*E41</x:f>
        <x:v>326.66666666666663</x:v>
      </x:c>
      <x:c r="G42" s="62" t="n">
        <x:f>IF(AND(B42&gt;='17_Gia_dinh_mo_hinh'!$H$4+D42,B42&lt;'17_Gia_dinh_mo_hinh'!$H$4+D42+'17_Gia_dinh_mo_hinh'!$I$4),'17_Gia_dinh_mo_hinh'!$L$4*(1-'17_Gia_dinh_mo_hinh'!$M$4)/'17_Gia_dinh_mo_hinh'!$I$4,0)</x:f>
        <x:v>0</x:v>
      </x:c>
      <x:c r="H42" s="62" t="n">
        <x:f>G42*(1-'17_Gia_dinh_mo_hinh'!$N$4)</x:f>
        <x:v>0</x:v>
      </x:c>
      <x:c r="I42" s="62" t="n">
        <x:f>G42*'17_Gia_dinh_mo_hinh'!$O$4</x:f>
        <x:v>0</x:v>
      </x:c>
      <x:c r="J42" s="62" t="n">
        <x:f>G42*'17_Gia_dinh_mo_hinh'!$P$4</x:f>
        <x:v>0</x:v>
      </x:c>
      <x:c r="K42" s="62" t="n">
        <x:f>IF(B42&lt;='17_Gia_dinh_mo_hinh'!$J$4,'17_Gia_dinh_mo_hinh'!$K$4*(1-MIN(0.95,'17_Gia_dinh_mo_hinh'!$M$4*0.75))/'17_Gia_dinh_mo_hinh'!$J$4,0)</x:f>
        <x:v>135.41666666666666</x:v>
      </x:c>
      <x:c r="L42" s="62" t="n">
        <x:f>S41*'17_Gia_dinh_mo_hinh'!$Q$4/12</x:f>
        <x:v>2.9164620253883875</x:v>
      </x:c>
      <x:c r="M42" s="62" t="n">
        <x:f>G42-H42-I42-J42-L42</x:f>
        <x:v>-2.9164620253883875</x:v>
      </x:c>
      <x:c r="N42" s="62" t="n">
        <x:f>MAX(0,M42*'17_Gia_dinh_mo_hinh'!$S$4)</x:f>
        <x:v>0</x:v>
      </x:c>
      <x:c r="O42" s="62" t="n">
        <x:f>M42-N42</x:f>
        <x:v>-2.9164620253883875</x:v>
      </x:c>
      <x:c r="P42" s="62" t="n">
        <x:f>F42-K42-I42-J42-N42-L42</x:f>
        <x:v>188.33353797461157</x:v>
      </x:c>
      <x:c r="Q42" s="62" t="n">
        <x:f>MIN(MAX(0,-(T41+P42)),MAX(0,'17_Gia_dinh_mo_hinh'!$R$4-S41))</x:f>
        <x:v>0</x:v>
      </x:c>
      <x:c r="R42" s="62" t="n">
        <x:f>MIN(MAX(0,T41+P42+Q42),S41+Q42)</x:f>
        <x:v>188.33353797461157</x:v>
      </x:c>
      <x:c r="S42" s="62" t="n">
        <x:f>S41+Q42-R42</x:f>
        <x:v>180.06166523234262</x:v>
      </x:c>
      <x:c r="T42" s="62" t="n">
        <x:f>MAX(0,T41+P42+Q42-R42)</x:f>
        <x:v>0</x:v>
      </x:c>
      <x:c r="U42" s="62" t="n">
        <x:f>MAX(0,-(T41+P42)-MAX(0,'17_Gia_dinh_mo_hinh'!$R$4-S41))</x:f>
        <x:v>0</x:v>
      </x:c>
      <x:c r="V42" s="61" t="str">
        <x:f>IF(B42&lt;'17_Gia_dinh_mo_hinh'!$F$4+D42,"Trước mở bán",IF(B42&lt;'17_Gia_dinh_mo_hinh'!$H$4+D42,"Bán hàng/thi công",IF(G42&gt;0,"Ghi nhận/bàn giao","Hậu bàn giao")))</x:f>
        <x:v>Bán hàng/thi công</x:v>
      </x:c>
    </x:row>
    <x:row r="43">
      <x:c r="A43" s="54" t="str">
        <x:v>DA01</x:v>
      </x:c>
      <x:c r="B43" s="54" t="n">
        <x:v>40</x:v>
      </x:c>
      <x:c r="C43" s="60" t="n">
        <x:f>EDATE('17_Gia_dinh_mo_hinh'!$C$4,B43-1)</x:f>
        <x:v>47423</x:v>
      </x:c>
      <x:c r="D43" s="61" t="n">
        <x:f>ROUNDUP('17_Gia_dinh_mo_hinh'!$E$4/30,0)</x:f>
        <x:v>6</x:v>
      </x:c>
      <x:c r="E43" s="62" t="n">
        <x:f>IF(AND(B43&gt;='17_Gia_dinh_mo_hinh'!$F$4+D43,B43&lt;'17_Gia_dinh_mo_hinh'!$F$4+D43+'17_Gia_dinh_mo_hinh'!$G$4),'17_Gia_dinh_mo_hinh'!$L$4*(1-'17_Gia_dinh_mo_hinh'!$M$4)/'17_Gia_dinh_mo_hinh'!$G$4,0)</x:f>
        <x:v>326.6666666666667</x:v>
      </x:c>
      <x:c r="F43" s="62" t="n">
        <x:f>0.70*E43+0.30*E42</x:f>
        <x:v>326.66666666666663</x:v>
      </x:c>
      <x:c r="G43" s="62" t="n">
        <x:f>IF(AND(B43&gt;='17_Gia_dinh_mo_hinh'!$H$4+D43,B43&lt;'17_Gia_dinh_mo_hinh'!$H$4+D43+'17_Gia_dinh_mo_hinh'!$I$4),'17_Gia_dinh_mo_hinh'!$L$4*(1-'17_Gia_dinh_mo_hinh'!$M$4)/'17_Gia_dinh_mo_hinh'!$I$4,0)</x:f>
        <x:v>0</x:v>
      </x:c>
      <x:c r="H43" s="62" t="n">
        <x:f>G43*(1-'17_Gia_dinh_mo_hinh'!$N$4)</x:f>
        <x:v>0</x:v>
      </x:c>
      <x:c r="I43" s="62" t="n">
        <x:f>G43*'17_Gia_dinh_mo_hinh'!$O$4</x:f>
        <x:v>0</x:v>
      </x:c>
      <x:c r="J43" s="62" t="n">
        <x:f>G43*'17_Gia_dinh_mo_hinh'!$P$4</x:f>
        <x:v>0</x:v>
      </x:c>
      <x:c r="K43" s="62" t="n">
        <x:f>IF(B43&lt;='17_Gia_dinh_mo_hinh'!$J$4,'17_Gia_dinh_mo_hinh'!$K$4*(1-MIN(0.95,'17_Gia_dinh_mo_hinh'!$M$4*0.75))/'17_Gia_dinh_mo_hinh'!$J$4,0)</x:f>
        <x:v>135.41666666666666</x:v>
      </x:c>
      <x:c r="L43" s="62" t="n">
        <x:f>S42*'17_Gia_dinh_mo_hinh'!$Q$4/12</x:f>
        <x:v>1.425488183089379</x:v>
      </x:c>
      <x:c r="M43" s="62" t="n">
        <x:f>G43-H43-I43-J43-L43</x:f>
        <x:v>-1.425488183089379</x:v>
      </x:c>
      <x:c r="N43" s="62" t="n">
        <x:f>MAX(0,M43*'17_Gia_dinh_mo_hinh'!$S$4)</x:f>
        <x:v>0</x:v>
      </x:c>
      <x:c r="O43" s="62" t="n">
        <x:f>M43-N43</x:f>
        <x:v>-1.425488183089379</x:v>
      </x:c>
      <x:c r="P43" s="62" t="n">
        <x:f>F43-K43-I43-J43-N43-L43</x:f>
        <x:v>189.8245118169106</x:v>
      </x:c>
      <x:c r="Q43" s="62" t="n">
        <x:f>MIN(MAX(0,-(T42+P43)),MAX(0,'17_Gia_dinh_mo_hinh'!$R$4-S42))</x:f>
        <x:v>0</x:v>
      </x:c>
      <x:c r="R43" s="62" t="n">
        <x:f>MIN(MAX(0,T42+P43+Q43),S42+Q43)</x:f>
        <x:v>180.06166523234262</x:v>
      </x:c>
      <x:c r="S43" s="62" t="n">
        <x:f>S42+Q43-R43</x:f>
        <x:v>0</x:v>
      </x:c>
      <x:c r="T43" s="62" t="n">
        <x:f>MAX(0,T42+P43+Q43-R43)</x:f>
        <x:v>9.762846584567967</x:v>
      </x:c>
      <x:c r="U43" s="62" t="n">
        <x:f>MAX(0,-(T42+P43)-MAX(0,'17_Gia_dinh_mo_hinh'!$R$4-S42))</x:f>
        <x:v>0</x:v>
      </x:c>
      <x:c r="V43" s="61" t="str">
        <x:f>IF(B43&lt;'17_Gia_dinh_mo_hinh'!$F$4+D43,"Trước mở bán",IF(B43&lt;'17_Gia_dinh_mo_hinh'!$H$4+D43,"Bán hàng/thi công",IF(G43&gt;0,"Ghi nhận/bàn giao","Hậu bàn giao")))</x:f>
        <x:v>Bán hàng/thi công</x:v>
      </x:c>
    </x:row>
    <x:row r="44">
      <x:c r="A44" s="54" t="str">
        <x:v>DA01</x:v>
      </x:c>
      <x:c r="B44" s="54" t="n">
        <x:v>41</x:v>
      </x:c>
      <x:c r="C44" s="60" t="n">
        <x:f>EDATE('17_Gia_dinh_mo_hinh'!$C$4,B44-1)</x:f>
        <x:v>47453</x:v>
      </x:c>
      <x:c r="D44" s="61" t="n">
        <x:f>ROUNDUP('17_Gia_dinh_mo_hinh'!$E$4/30,0)</x:f>
        <x:v>6</x:v>
      </x:c>
      <x:c r="E44" s="62" t="n">
        <x:f>IF(AND(B44&gt;='17_Gia_dinh_mo_hinh'!$F$4+D44,B44&lt;'17_Gia_dinh_mo_hinh'!$F$4+D44+'17_Gia_dinh_mo_hinh'!$G$4),'17_Gia_dinh_mo_hinh'!$L$4*(1-'17_Gia_dinh_mo_hinh'!$M$4)/'17_Gia_dinh_mo_hinh'!$G$4,0)</x:f>
        <x:v>326.6666666666667</x:v>
      </x:c>
      <x:c r="F44" s="62" t="n">
        <x:f>0.70*E44+0.30*E43</x:f>
        <x:v>326.66666666666663</x:v>
      </x:c>
      <x:c r="G44" s="62" t="n">
        <x:f>IF(AND(B44&gt;='17_Gia_dinh_mo_hinh'!$H$4+D44,B44&lt;'17_Gia_dinh_mo_hinh'!$H$4+D44+'17_Gia_dinh_mo_hinh'!$I$4),'17_Gia_dinh_mo_hinh'!$L$4*(1-'17_Gia_dinh_mo_hinh'!$M$4)/'17_Gia_dinh_mo_hinh'!$I$4,0)</x:f>
        <x:v>0</x:v>
      </x:c>
      <x:c r="H44" s="62" t="n">
        <x:f>G44*(1-'17_Gia_dinh_mo_hinh'!$N$4)</x:f>
        <x:v>0</x:v>
      </x:c>
      <x:c r="I44" s="62" t="n">
        <x:f>G44*'17_Gia_dinh_mo_hinh'!$O$4</x:f>
        <x:v>0</x:v>
      </x:c>
      <x:c r="J44" s="62" t="n">
        <x:f>G44*'17_Gia_dinh_mo_hinh'!$P$4</x:f>
        <x:v>0</x:v>
      </x:c>
      <x:c r="K44" s="62" t="n">
        <x:f>IF(B44&lt;='17_Gia_dinh_mo_hinh'!$J$4,'17_Gia_dinh_mo_hinh'!$K$4*(1-MIN(0.95,'17_Gia_dinh_mo_hinh'!$M$4*0.75))/'17_Gia_dinh_mo_hinh'!$J$4,0)</x:f>
        <x:v>135.41666666666666</x:v>
      </x:c>
      <x:c r="L44" s="62" t="n">
        <x:f>S43*'17_Gia_dinh_mo_hinh'!$Q$4/12</x:f>
        <x:v>0</x:v>
      </x:c>
      <x:c r="M44" s="62" t="n">
        <x:f>G44-H44-I44-J44-L44</x:f>
        <x:v>0</x:v>
      </x:c>
      <x:c r="N44" s="62" t="n">
        <x:f>MAX(0,M44*'17_Gia_dinh_mo_hinh'!$S$4)</x:f>
        <x:v>0</x:v>
      </x:c>
      <x:c r="O44" s="62" t="n">
        <x:f>M44-N44</x:f>
        <x:v>0</x:v>
      </x:c>
      <x:c r="P44" s="62" t="n">
        <x:f>F44-K44-I44-J44-N44-L44</x:f>
        <x:v>191.24999999999997</x:v>
      </x:c>
      <x:c r="Q44" s="62" t="n">
        <x:f>MIN(MAX(0,-(T43+P44)),MAX(0,'17_Gia_dinh_mo_hinh'!$R$4-S43))</x:f>
        <x:v>0</x:v>
      </x:c>
      <x:c r="R44" s="62" t="n">
        <x:f>MIN(MAX(0,T43+P44+Q44),S43+Q44)</x:f>
        <x:v>0</x:v>
      </x:c>
      <x:c r="S44" s="62" t="n">
        <x:f>S43+Q44-R44</x:f>
        <x:v>0</x:v>
      </x:c>
      <x:c r="T44" s="62" t="n">
        <x:f>MAX(0,T43+P44+Q44-R44)</x:f>
        <x:v>201.01284658456794</x:v>
      </x:c>
      <x:c r="U44" s="62" t="n">
        <x:f>MAX(0,-(T43+P44)-MAX(0,'17_Gia_dinh_mo_hinh'!$R$4-S43))</x:f>
        <x:v>0</x:v>
      </x:c>
      <x:c r="V44" s="61" t="str">
        <x:f>IF(B44&lt;'17_Gia_dinh_mo_hinh'!$F$4+D44,"Trước mở bán",IF(B44&lt;'17_Gia_dinh_mo_hinh'!$H$4+D44,"Bán hàng/thi công",IF(G44&gt;0,"Ghi nhận/bàn giao","Hậu bàn giao")))</x:f>
        <x:v>Bán hàng/thi công</x:v>
      </x:c>
    </x:row>
    <x:row r="45">
      <x:c r="A45" s="54" t="str">
        <x:v>DA01</x:v>
      </x:c>
      <x:c r="B45" s="54" t="n">
        <x:v>42</x:v>
      </x:c>
      <x:c r="C45" s="60" t="n">
        <x:f>EDATE('17_Gia_dinh_mo_hinh'!$C$4,B45-1)</x:f>
        <x:v>47484</x:v>
      </x:c>
      <x:c r="D45" s="61" t="n">
        <x:f>ROUNDUP('17_Gia_dinh_mo_hinh'!$E$4/30,0)</x:f>
        <x:v>6</x:v>
      </x:c>
      <x:c r="E45" s="62" t="n">
        <x:f>IF(AND(B45&gt;='17_Gia_dinh_mo_hinh'!$F$4+D45,B45&lt;'17_Gia_dinh_mo_hinh'!$F$4+D45+'17_Gia_dinh_mo_hinh'!$G$4),'17_Gia_dinh_mo_hinh'!$L$4*(1-'17_Gia_dinh_mo_hinh'!$M$4)/'17_Gia_dinh_mo_hinh'!$G$4,0)</x:f>
        <x:v>326.6666666666667</x:v>
      </x:c>
      <x:c r="F45" s="62" t="n">
        <x:f>0.70*E45+0.30*E44</x:f>
        <x:v>326.66666666666663</x:v>
      </x:c>
      <x:c r="G45" s="62" t="n">
        <x:f>IF(AND(B45&gt;='17_Gia_dinh_mo_hinh'!$H$4+D45,B45&lt;'17_Gia_dinh_mo_hinh'!$H$4+D45+'17_Gia_dinh_mo_hinh'!$I$4),'17_Gia_dinh_mo_hinh'!$L$4*(1-'17_Gia_dinh_mo_hinh'!$M$4)/'17_Gia_dinh_mo_hinh'!$I$4,0)</x:f>
        <x:v>0</x:v>
      </x:c>
      <x:c r="H45" s="62" t="n">
        <x:f>G45*(1-'17_Gia_dinh_mo_hinh'!$N$4)</x:f>
        <x:v>0</x:v>
      </x:c>
      <x:c r="I45" s="62" t="n">
        <x:f>G45*'17_Gia_dinh_mo_hinh'!$O$4</x:f>
        <x:v>0</x:v>
      </x:c>
      <x:c r="J45" s="62" t="n">
        <x:f>G45*'17_Gia_dinh_mo_hinh'!$P$4</x:f>
        <x:v>0</x:v>
      </x:c>
      <x:c r="K45" s="62" t="n">
        <x:f>IF(B45&lt;='17_Gia_dinh_mo_hinh'!$J$4,'17_Gia_dinh_mo_hinh'!$K$4*(1-MIN(0.95,'17_Gia_dinh_mo_hinh'!$M$4*0.75))/'17_Gia_dinh_mo_hinh'!$J$4,0)</x:f>
        <x:v>135.41666666666666</x:v>
      </x:c>
      <x:c r="L45" s="62" t="n">
        <x:f>S44*'17_Gia_dinh_mo_hinh'!$Q$4/12</x:f>
        <x:v>0</x:v>
      </x:c>
      <x:c r="M45" s="62" t="n">
        <x:f>G45-H45-I45-J45-L45</x:f>
        <x:v>0</x:v>
      </x:c>
      <x:c r="N45" s="62" t="n">
        <x:f>MAX(0,M45*'17_Gia_dinh_mo_hinh'!$S$4)</x:f>
        <x:v>0</x:v>
      </x:c>
      <x:c r="O45" s="62" t="n">
        <x:f>M45-N45</x:f>
        <x:v>0</x:v>
      </x:c>
      <x:c r="P45" s="62" t="n">
        <x:f>F45-K45-I45-J45-N45-L45</x:f>
        <x:v>191.24999999999997</x:v>
      </x:c>
      <x:c r="Q45" s="62" t="n">
        <x:f>MIN(MAX(0,-(T44+P45)),MAX(0,'17_Gia_dinh_mo_hinh'!$R$4-S44))</x:f>
        <x:v>0</x:v>
      </x:c>
      <x:c r="R45" s="62" t="n">
        <x:f>MIN(MAX(0,T44+P45+Q45),S44+Q45)</x:f>
        <x:v>0</x:v>
      </x:c>
      <x:c r="S45" s="62" t="n">
        <x:f>S44+Q45-R45</x:f>
        <x:v>0</x:v>
      </x:c>
      <x:c r="T45" s="62" t="n">
        <x:f>MAX(0,T44+P45+Q45-R45)</x:f>
        <x:v>392.2628465845679</x:v>
      </x:c>
      <x:c r="U45" s="62" t="n">
        <x:f>MAX(0,-(T44+P45)-MAX(0,'17_Gia_dinh_mo_hinh'!$R$4-S44))</x:f>
        <x:v>0</x:v>
      </x:c>
      <x:c r="V45" s="61" t="str">
        <x:f>IF(B45&lt;'17_Gia_dinh_mo_hinh'!$F$4+D45,"Trước mở bán",IF(B45&lt;'17_Gia_dinh_mo_hinh'!$H$4+D45,"Bán hàng/thi công",IF(G45&gt;0,"Ghi nhận/bàn giao","Hậu bàn giao")))</x:f>
        <x:v>Bán hàng/thi công</x:v>
      </x:c>
    </x:row>
    <x:row r="46">
      <x:c r="A46" s="54" t="str">
        <x:v>DA01</x:v>
      </x:c>
      <x:c r="B46" s="54" t="n">
        <x:v>43</x:v>
      </x:c>
      <x:c r="C46" s="60" t="n">
        <x:f>EDATE('17_Gia_dinh_mo_hinh'!$C$4,B46-1)</x:f>
        <x:v>47515</x:v>
      </x:c>
      <x:c r="D46" s="61" t="n">
        <x:f>ROUNDUP('17_Gia_dinh_mo_hinh'!$E$4/30,0)</x:f>
        <x:v>6</x:v>
      </x:c>
      <x:c r="E46" s="62" t="n">
        <x:f>IF(AND(B46&gt;='17_Gia_dinh_mo_hinh'!$F$4+D46,B46&lt;'17_Gia_dinh_mo_hinh'!$F$4+D46+'17_Gia_dinh_mo_hinh'!$G$4),'17_Gia_dinh_mo_hinh'!$L$4*(1-'17_Gia_dinh_mo_hinh'!$M$4)/'17_Gia_dinh_mo_hinh'!$G$4,0)</x:f>
        <x:v>326.6666666666667</x:v>
      </x:c>
      <x:c r="F46" s="62" t="n">
        <x:f>0.70*E46+0.30*E45</x:f>
        <x:v>326.66666666666663</x:v>
      </x:c>
      <x:c r="G46" s="62" t="n">
        <x:f>IF(AND(B46&gt;='17_Gia_dinh_mo_hinh'!$H$4+D46,B46&lt;'17_Gia_dinh_mo_hinh'!$H$4+D46+'17_Gia_dinh_mo_hinh'!$I$4),'17_Gia_dinh_mo_hinh'!$L$4*(1-'17_Gia_dinh_mo_hinh'!$M$4)/'17_Gia_dinh_mo_hinh'!$I$4,0)</x:f>
        <x:v>0</x:v>
      </x:c>
      <x:c r="H46" s="62" t="n">
        <x:f>G46*(1-'17_Gia_dinh_mo_hinh'!$N$4)</x:f>
        <x:v>0</x:v>
      </x:c>
      <x:c r="I46" s="62" t="n">
        <x:f>G46*'17_Gia_dinh_mo_hinh'!$O$4</x:f>
        <x:v>0</x:v>
      </x:c>
      <x:c r="J46" s="62" t="n">
        <x:f>G46*'17_Gia_dinh_mo_hinh'!$P$4</x:f>
        <x:v>0</x:v>
      </x:c>
      <x:c r="K46" s="62" t="n">
        <x:f>IF(B46&lt;='17_Gia_dinh_mo_hinh'!$J$4,'17_Gia_dinh_mo_hinh'!$K$4*(1-MIN(0.95,'17_Gia_dinh_mo_hinh'!$M$4*0.75))/'17_Gia_dinh_mo_hinh'!$J$4,0)</x:f>
        <x:v>135.41666666666666</x:v>
      </x:c>
      <x:c r="L46" s="62" t="n">
        <x:f>S45*'17_Gia_dinh_mo_hinh'!$Q$4/12</x:f>
        <x:v>0</x:v>
      </x:c>
      <x:c r="M46" s="62" t="n">
        <x:f>G46-H46-I46-J46-L46</x:f>
        <x:v>0</x:v>
      </x:c>
      <x:c r="N46" s="62" t="n">
        <x:f>MAX(0,M46*'17_Gia_dinh_mo_hinh'!$S$4)</x:f>
        <x:v>0</x:v>
      </x:c>
      <x:c r="O46" s="62" t="n">
        <x:f>M46-N46</x:f>
        <x:v>0</x:v>
      </x:c>
      <x:c r="P46" s="62" t="n">
        <x:f>F46-K46-I46-J46-N46-L46</x:f>
        <x:v>191.24999999999997</x:v>
      </x:c>
      <x:c r="Q46" s="62" t="n">
        <x:f>MIN(MAX(0,-(T45+P46)),MAX(0,'17_Gia_dinh_mo_hinh'!$R$4-S45))</x:f>
        <x:v>0</x:v>
      </x:c>
      <x:c r="R46" s="62" t="n">
        <x:f>MIN(MAX(0,T45+P46+Q46),S45+Q46)</x:f>
        <x:v>0</x:v>
      </x:c>
      <x:c r="S46" s="62" t="n">
        <x:f>S45+Q46-R46</x:f>
        <x:v>0</x:v>
      </x:c>
      <x:c r="T46" s="62" t="n">
        <x:f>MAX(0,T45+P46+Q46-R46)</x:f>
        <x:v>583.5128465845679</x:v>
      </x:c>
      <x:c r="U46" s="62" t="n">
        <x:f>MAX(0,-(T45+P46)-MAX(0,'17_Gia_dinh_mo_hinh'!$R$4-S45))</x:f>
        <x:v>0</x:v>
      </x:c>
      <x:c r="V46" s="61" t="str">
        <x:f>IF(B46&lt;'17_Gia_dinh_mo_hinh'!$F$4+D46,"Trước mở bán",IF(B46&lt;'17_Gia_dinh_mo_hinh'!$H$4+D46,"Bán hàng/thi công",IF(G46&gt;0,"Ghi nhận/bàn giao","Hậu bàn giao")))</x:f>
        <x:v>Bán hàng/thi công</x:v>
      </x:c>
    </x:row>
    <x:row r="47">
      <x:c r="A47" s="54" t="str">
        <x:v>DA01</x:v>
      </x:c>
      <x:c r="B47" s="54" t="n">
        <x:v>44</x:v>
      </x:c>
      <x:c r="C47" s="60" t="n">
        <x:f>EDATE('17_Gia_dinh_mo_hinh'!$C$4,B47-1)</x:f>
        <x:v>47543</x:v>
      </x:c>
      <x:c r="D47" s="61" t="n">
        <x:f>ROUNDUP('17_Gia_dinh_mo_hinh'!$E$4/30,0)</x:f>
        <x:v>6</x:v>
      </x:c>
      <x:c r="E47" s="62" t="n">
        <x:f>IF(AND(B47&gt;='17_Gia_dinh_mo_hinh'!$F$4+D47,B47&lt;'17_Gia_dinh_mo_hinh'!$F$4+D47+'17_Gia_dinh_mo_hinh'!$G$4),'17_Gia_dinh_mo_hinh'!$L$4*(1-'17_Gia_dinh_mo_hinh'!$M$4)/'17_Gia_dinh_mo_hinh'!$G$4,0)</x:f>
        <x:v>326.6666666666667</x:v>
      </x:c>
      <x:c r="F47" s="62" t="n">
        <x:f>0.70*E47+0.30*E46</x:f>
        <x:v>326.66666666666663</x:v>
      </x:c>
      <x:c r="G47" s="62" t="n">
        <x:f>IF(AND(B47&gt;='17_Gia_dinh_mo_hinh'!$H$4+D47,B47&lt;'17_Gia_dinh_mo_hinh'!$H$4+D47+'17_Gia_dinh_mo_hinh'!$I$4),'17_Gia_dinh_mo_hinh'!$L$4*(1-'17_Gia_dinh_mo_hinh'!$M$4)/'17_Gia_dinh_mo_hinh'!$I$4,0)</x:f>
        <x:v>544.4444444444445</x:v>
      </x:c>
      <x:c r="H47" s="62" t="n">
        <x:f>G47*(1-'17_Gia_dinh_mo_hinh'!$N$4)</x:f>
        <x:v>370.2222222222222</x:v>
      </x:c>
      <x:c r="I47" s="62" t="n">
        <x:f>G47*'17_Gia_dinh_mo_hinh'!$O$4</x:f>
        <x:v>19.055555555555557</x:v>
      </x:c>
      <x:c r="J47" s="62" t="n">
        <x:f>G47*'17_Gia_dinh_mo_hinh'!$P$4</x:f>
        <x:v>10.88888888888889</x:v>
      </x:c>
      <x:c r="K47" s="62" t="n">
        <x:f>IF(B47&lt;='17_Gia_dinh_mo_hinh'!$J$4,'17_Gia_dinh_mo_hinh'!$K$4*(1-MIN(0.95,'17_Gia_dinh_mo_hinh'!$M$4*0.75))/'17_Gia_dinh_mo_hinh'!$J$4,0)</x:f>
        <x:v>135.41666666666666</x:v>
      </x:c>
      <x:c r="L47" s="62" t="n">
        <x:f>S46*'17_Gia_dinh_mo_hinh'!$Q$4/12</x:f>
        <x:v>0</x:v>
      </x:c>
      <x:c r="M47" s="62" t="n">
        <x:f>G47-H47-I47-J47-L47</x:f>
        <x:v>144.27777777777786</x:v>
      </x:c>
      <x:c r="N47" s="62" t="n">
        <x:f>MAX(0,M47*'17_Gia_dinh_mo_hinh'!$S$4)</x:f>
        <x:v>28.855555555555572</x:v>
      </x:c>
      <x:c r="O47" s="62" t="n">
        <x:f>M47-N47</x:f>
        <x:v>115.42222222222229</x:v>
      </x:c>
      <x:c r="P47" s="62" t="n">
        <x:f>F47-K47-I47-J47-N47-L47</x:f>
        <x:v>132.44999999999993</x:v>
      </x:c>
      <x:c r="Q47" s="62" t="n">
        <x:f>MIN(MAX(0,-(T46+P47)),MAX(0,'17_Gia_dinh_mo_hinh'!$R$4-S46))</x:f>
        <x:v>0</x:v>
      </x:c>
      <x:c r="R47" s="62" t="n">
        <x:f>MIN(MAX(0,T46+P47+Q47),S46+Q47)</x:f>
        <x:v>0</x:v>
      </x:c>
      <x:c r="S47" s="62" t="n">
        <x:f>S46+Q47-R47</x:f>
        <x:v>0</x:v>
      </x:c>
      <x:c r="T47" s="62" t="n">
        <x:f>MAX(0,T46+P47+Q47-R47)</x:f>
        <x:v>715.9628465845678</x:v>
      </x:c>
      <x:c r="U47" s="62" t="n">
        <x:f>MAX(0,-(T46+P47)-MAX(0,'17_Gia_dinh_mo_hinh'!$R$4-S46))</x:f>
        <x:v>0</x:v>
      </x:c>
      <x:c r="V47" s="61" t="str">
        <x:f>IF(B47&lt;'17_Gia_dinh_mo_hinh'!$F$4+D47,"Trước mở bán",IF(B47&lt;'17_Gia_dinh_mo_hinh'!$H$4+D47,"Bán hàng/thi công",IF(G47&gt;0,"Ghi nhận/bàn giao","Hậu bàn giao")))</x:f>
        <x:v>Ghi nhận/bàn giao</x:v>
      </x:c>
    </x:row>
    <x:row r="48">
      <x:c r="A48" s="54" t="str">
        <x:v>DA01</x:v>
      </x:c>
      <x:c r="B48" s="54" t="n">
        <x:v>45</x:v>
      </x:c>
      <x:c r="C48" s="60" t="n">
        <x:f>EDATE('17_Gia_dinh_mo_hinh'!$C$4,B48-1)</x:f>
        <x:v>47574</x:v>
      </x:c>
      <x:c r="D48" s="61" t="n">
        <x:f>ROUNDUP('17_Gia_dinh_mo_hinh'!$E$4/30,0)</x:f>
        <x:v>6</x:v>
      </x:c>
      <x:c r="E48" s="62" t="n">
        <x:f>IF(AND(B48&gt;='17_Gia_dinh_mo_hinh'!$F$4+D48,B48&lt;'17_Gia_dinh_mo_hinh'!$F$4+D48+'17_Gia_dinh_mo_hinh'!$G$4),'17_Gia_dinh_mo_hinh'!$L$4*(1-'17_Gia_dinh_mo_hinh'!$M$4)/'17_Gia_dinh_mo_hinh'!$G$4,0)</x:f>
        <x:v>326.6666666666667</x:v>
      </x:c>
      <x:c r="F48" s="62" t="n">
        <x:f>0.70*E48+0.30*E47</x:f>
        <x:v>326.66666666666663</x:v>
      </x:c>
      <x:c r="G48" s="62" t="n">
        <x:f>IF(AND(B48&gt;='17_Gia_dinh_mo_hinh'!$H$4+D48,B48&lt;'17_Gia_dinh_mo_hinh'!$H$4+D48+'17_Gia_dinh_mo_hinh'!$I$4),'17_Gia_dinh_mo_hinh'!$L$4*(1-'17_Gia_dinh_mo_hinh'!$M$4)/'17_Gia_dinh_mo_hinh'!$I$4,0)</x:f>
        <x:v>544.4444444444445</x:v>
      </x:c>
      <x:c r="H48" s="62" t="n">
        <x:f>G48*(1-'17_Gia_dinh_mo_hinh'!$N$4)</x:f>
        <x:v>370.2222222222222</x:v>
      </x:c>
      <x:c r="I48" s="62" t="n">
        <x:f>G48*'17_Gia_dinh_mo_hinh'!$O$4</x:f>
        <x:v>19.055555555555557</x:v>
      </x:c>
      <x:c r="J48" s="62" t="n">
        <x:f>G48*'17_Gia_dinh_mo_hinh'!$P$4</x:f>
        <x:v>10.88888888888889</x:v>
      </x:c>
      <x:c r="K48" s="62" t="n">
        <x:f>IF(B48&lt;='17_Gia_dinh_mo_hinh'!$J$4,'17_Gia_dinh_mo_hinh'!$K$4*(1-MIN(0.95,'17_Gia_dinh_mo_hinh'!$M$4*0.75))/'17_Gia_dinh_mo_hinh'!$J$4,0)</x:f>
        <x:v>135.41666666666666</x:v>
      </x:c>
      <x:c r="L48" s="62" t="n">
        <x:f>S47*'17_Gia_dinh_mo_hinh'!$Q$4/12</x:f>
        <x:v>0</x:v>
      </x:c>
      <x:c r="M48" s="62" t="n">
        <x:f>G48-H48-I48-J48-L48</x:f>
        <x:v>144.27777777777786</x:v>
      </x:c>
      <x:c r="N48" s="62" t="n">
        <x:f>MAX(0,M48*'17_Gia_dinh_mo_hinh'!$S$4)</x:f>
        <x:v>28.855555555555572</x:v>
      </x:c>
      <x:c r="O48" s="62" t="n">
        <x:f>M48-N48</x:f>
        <x:v>115.42222222222229</x:v>
      </x:c>
      <x:c r="P48" s="62" t="n">
        <x:f>F48-K48-I48-J48-N48-L48</x:f>
        <x:v>132.44999999999993</x:v>
      </x:c>
      <x:c r="Q48" s="62" t="n">
        <x:f>MIN(MAX(0,-(T47+P48)),MAX(0,'17_Gia_dinh_mo_hinh'!$R$4-S47))</x:f>
        <x:v>0</x:v>
      </x:c>
      <x:c r="R48" s="62" t="n">
        <x:f>MIN(MAX(0,T47+P48+Q48),S47+Q48)</x:f>
        <x:v>0</x:v>
      </x:c>
      <x:c r="S48" s="62" t="n">
        <x:f>S47+Q48-R48</x:f>
        <x:v>0</x:v>
      </x:c>
      <x:c r="T48" s="62" t="n">
        <x:f>MAX(0,T47+P48+Q48-R48)</x:f>
        <x:v>848.4128465845678</x:v>
      </x:c>
      <x:c r="U48" s="62" t="n">
        <x:f>MAX(0,-(T47+P48)-MAX(0,'17_Gia_dinh_mo_hinh'!$R$4-S47))</x:f>
        <x:v>0</x:v>
      </x:c>
      <x:c r="V48" s="61" t="str">
        <x:f>IF(B48&lt;'17_Gia_dinh_mo_hinh'!$F$4+D48,"Trước mở bán",IF(B48&lt;'17_Gia_dinh_mo_hinh'!$H$4+D48,"Bán hàng/thi công",IF(G48&gt;0,"Ghi nhận/bàn giao","Hậu bàn giao")))</x:f>
        <x:v>Ghi nhận/bàn giao</x:v>
      </x:c>
    </x:row>
    <x:row r="49">
      <x:c r="A49" s="54" t="str">
        <x:v>DA01</x:v>
      </x:c>
      <x:c r="B49" s="54" t="n">
        <x:v>46</x:v>
      </x:c>
      <x:c r="C49" s="60" t="n">
        <x:f>EDATE('17_Gia_dinh_mo_hinh'!$C$4,B49-1)</x:f>
        <x:v>47604</x:v>
      </x:c>
      <x:c r="D49" s="61" t="n">
        <x:f>ROUNDUP('17_Gia_dinh_mo_hinh'!$E$4/30,0)</x:f>
        <x:v>6</x:v>
      </x:c>
      <x:c r="E49" s="62" t="n">
        <x:f>IF(AND(B49&gt;='17_Gia_dinh_mo_hinh'!$F$4+D49,B49&lt;'17_Gia_dinh_mo_hinh'!$F$4+D49+'17_Gia_dinh_mo_hinh'!$G$4),'17_Gia_dinh_mo_hinh'!$L$4*(1-'17_Gia_dinh_mo_hinh'!$M$4)/'17_Gia_dinh_mo_hinh'!$G$4,0)</x:f>
        <x:v>326.6666666666667</x:v>
      </x:c>
      <x:c r="F49" s="62" t="n">
        <x:f>0.70*E49+0.30*E48</x:f>
        <x:v>326.66666666666663</x:v>
      </x:c>
      <x:c r="G49" s="62" t="n">
        <x:f>IF(AND(B49&gt;='17_Gia_dinh_mo_hinh'!$H$4+D49,B49&lt;'17_Gia_dinh_mo_hinh'!$H$4+D49+'17_Gia_dinh_mo_hinh'!$I$4),'17_Gia_dinh_mo_hinh'!$L$4*(1-'17_Gia_dinh_mo_hinh'!$M$4)/'17_Gia_dinh_mo_hinh'!$I$4,0)</x:f>
        <x:v>544.4444444444445</x:v>
      </x:c>
      <x:c r="H49" s="62" t="n">
        <x:f>G49*(1-'17_Gia_dinh_mo_hinh'!$N$4)</x:f>
        <x:v>370.2222222222222</x:v>
      </x:c>
      <x:c r="I49" s="62" t="n">
        <x:f>G49*'17_Gia_dinh_mo_hinh'!$O$4</x:f>
        <x:v>19.055555555555557</x:v>
      </x:c>
      <x:c r="J49" s="62" t="n">
        <x:f>G49*'17_Gia_dinh_mo_hinh'!$P$4</x:f>
        <x:v>10.88888888888889</x:v>
      </x:c>
      <x:c r="K49" s="62" t="n">
        <x:f>IF(B49&lt;='17_Gia_dinh_mo_hinh'!$J$4,'17_Gia_dinh_mo_hinh'!$K$4*(1-MIN(0.95,'17_Gia_dinh_mo_hinh'!$M$4*0.75))/'17_Gia_dinh_mo_hinh'!$J$4,0)</x:f>
        <x:v>135.41666666666666</x:v>
      </x:c>
      <x:c r="L49" s="62" t="n">
        <x:f>S48*'17_Gia_dinh_mo_hinh'!$Q$4/12</x:f>
        <x:v>0</x:v>
      </x:c>
      <x:c r="M49" s="62" t="n">
        <x:f>G49-H49-I49-J49-L49</x:f>
        <x:v>144.27777777777786</x:v>
      </x:c>
      <x:c r="N49" s="62" t="n">
        <x:f>MAX(0,M49*'17_Gia_dinh_mo_hinh'!$S$4)</x:f>
        <x:v>28.855555555555572</x:v>
      </x:c>
      <x:c r="O49" s="62" t="n">
        <x:f>M49-N49</x:f>
        <x:v>115.42222222222229</x:v>
      </x:c>
      <x:c r="P49" s="62" t="n">
        <x:f>F49-K49-I49-J49-N49-L49</x:f>
        <x:v>132.44999999999993</x:v>
      </x:c>
      <x:c r="Q49" s="62" t="n">
        <x:f>MIN(MAX(0,-(T48+P49)),MAX(0,'17_Gia_dinh_mo_hinh'!$R$4-S48))</x:f>
        <x:v>0</x:v>
      </x:c>
      <x:c r="R49" s="62" t="n">
        <x:f>MIN(MAX(0,T48+P49+Q49),S48+Q49)</x:f>
        <x:v>0</x:v>
      </x:c>
      <x:c r="S49" s="62" t="n">
        <x:f>S48+Q49-R49</x:f>
        <x:v>0</x:v>
      </x:c>
      <x:c r="T49" s="62" t="n">
        <x:f>MAX(0,T48+P49+Q49-R49)</x:f>
        <x:v>980.8628465845677</x:v>
      </x:c>
      <x:c r="U49" s="62" t="n">
        <x:f>MAX(0,-(T48+P49)-MAX(0,'17_Gia_dinh_mo_hinh'!$R$4-S48))</x:f>
        <x:v>0</x:v>
      </x:c>
      <x:c r="V49" s="61" t="str">
        <x:f>IF(B49&lt;'17_Gia_dinh_mo_hinh'!$F$4+D49,"Trước mở bán",IF(B49&lt;'17_Gia_dinh_mo_hinh'!$H$4+D49,"Bán hàng/thi công",IF(G49&gt;0,"Ghi nhận/bàn giao","Hậu bàn giao")))</x:f>
        <x:v>Ghi nhận/bàn giao</x:v>
      </x:c>
    </x:row>
    <x:row r="50">
      <x:c r="A50" s="54" t="str">
        <x:v>DA01</x:v>
      </x:c>
      <x:c r="B50" s="54" t="n">
        <x:v>47</x:v>
      </x:c>
      <x:c r="C50" s="60" t="n">
        <x:f>EDATE('17_Gia_dinh_mo_hinh'!$C$4,B50-1)</x:f>
        <x:v>47635</x:v>
      </x:c>
      <x:c r="D50" s="61" t="n">
        <x:f>ROUNDUP('17_Gia_dinh_mo_hinh'!$E$4/30,0)</x:f>
        <x:v>6</x:v>
      </x:c>
      <x:c r="E50" s="62" t="n">
        <x:f>IF(AND(B50&gt;='17_Gia_dinh_mo_hinh'!$F$4+D50,B50&lt;'17_Gia_dinh_mo_hinh'!$F$4+D50+'17_Gia_dinh_mo_hinh'!$G$4),'17_Gia_dinh_mo_hinh'!$L$4*(1-'17_Gia_dinh_mo_hinh'!$M$4)/'17_Gia_dinh_mo_hinh'!$G$4,0)</x:f>
        <x:v>326.6666666666667</x:v>
      </x:c>
      <x:c r="F50" s="62" t="n">
        <x:f>0.70*E50+0.30*E49</x:f>
        <x:v>326.66666666666663</x:v>
      </x:c>
      <x:c r="G50" s="62" t="n">
        <x:f>IF(AND(B50&gt;='17_Gia_dinh_mo_hinh'!$H$4+D50,B50&lt;'17_Gia_dinh_mo_hinh'!$H$4+D50+'17_Gia_dinh_mo_hinh'!$I$4),'17_Gia_dinh_mo_hinh'!$L$4*(1-'17_Gia_dinh_mo_hinh'!$M$4)/'17_Gia_dinh_mo_hinh'!$I$4,0)</x:f>
        <x:v>544.4444444444445</x:v>
      </x:c>
      <x:c r="H50" s="62" t="n">
        <x:f>G50*(1-'17_Gia_dinh_mo_hinh'!$N$4)</x:f>
        <x:v>370.2222222222222</x:v>
      </x:c>
      <x:c r="I50" s="62" t="n">
        <x:f>G50*'17_Gia_dinh_mo_hinh'!$O$4</x:f>
        <x:v>19.055555555555557</x:v>
      </x:c>
      <x:c r="J50" s="62" t="n">
        <x:f>G50*'17_Gia_dinh_mo_hinh'!$P$4</x:f>
        <x:v>10.88888888888889</x:v>
      </x:c>
      <x:c r="K50" s="62" t="n">
        <x:f>IF(B50&lt;='17_Gia_dinh_mo_hinh'!$J$4,'17_Gia_dinh_mo_hinh'!$K$4*(1-MIN(0.95,'17_Gia_dinh_mo_hinh'!$M$4*0.75))/'17_Gia_dinh_mo_hinh'!$J$4,0)</x:f>
        <x:v>135.41666666666666</x:v>
      </x:c>
      <x:c r="L50" s="62" t="n">
        <x:f>S49*'17_Gia_dinh_mo_hinh'!$Q$4/12</x:f>
        <x:v>0</x:v>
      </x:c>
      <x:c r="M50" s="62" t="n">
        <x:f>G50-H50-I50-J50-L50</x:f>
        <x:v>144.27777777777786</x:v>
      </x:c>
      <x:c r="N50" s="62" t="n">
        <x:f>MAX(0,M50*'17_Gia_dinh_mo_hinh'!$S$4)</x:f>
        <x:v>28.855555555555572</x:v>
      </x:c>
      <x:c r="O50" s="62" t="n">
        <x:f>M50-N50</x:f>
        <x:v>115.42222222222229</x:v>
      </x:c>
      <x:c r="P50" s="62" t="n">
        <x:f>F50-K50-I50-J50-N50-L50</x:f>
        <x:v>132.44999999999993</x:v>
      </x:c>
      <x:c r="Q50" s="62" t="n">
        <x:f>MIN(MAX(0,-(T49+P50)),MAX(0,'17_Gia_dinh_mo_hinh'!$R$4-S49))</x:f>
        <x:v>0</x:v>
      </x:c>
      <x:c r="R50" s="62" t="n">
        <x:f>MIN(MAX(0,T49+P50+Q50),S49+Q50)</x:f>
        <x:v>0</x:v>
      </x:c>
      <x:c r="S50" s="62" t="n">
        <x:f>S49+Q50-R50</x:f>
        <x:v>0</x:v>
      </x:c>
      <x:c r="T50" s="62" t="n">
        <x:f>MAX(0,T49+P50+Q50-R50)</x:f>
        <x:v>1113.3128465845675</x:v>
      </x:c>
      <x:c r="U50" s="62" t="n">
        <x:f>MAX(0,-(T49+P50)-MAX(0,'17_Gia_dinh_mo_hinh'!$R$4-S49))</x:f>
        <x:v>0</x:v>
      </x:c>
      <x:c r="V50" s="61" t="str">
        <x:f>IF(B50&lt;'17_Gia_dinh_mo_hinh'!$F$4+D50,"Trước mở bán",IF(B50&lt;'17_Gia_dinh_mo_hinh'!$H$4+D50,"Bán hàng/thi công",IF(G50&gt;0,"Ghi nhận/bàn giao","Hậu bàn giao")))</x:f>
        <x:v>Ghi nhận/bàn giao</x:v>
      </x:c>
    </x:row>
    <x:row r="51">
      <x:c r="A51" s="54" t="str">
        <x:v>DA01</x:v>
      </x:c>
      <x:c r="B51" s="54" t="n">
        <x:v>48</x:v>
      </x:c>
      <x:c r="C51" s="60" t="n">
        <x:f>EDATE('17_Gia_dinh_mo_hinh'!$C$4,B51-1)</x:f>
        <x:v>47665</x:v>
      </x:c>
      <x:c r="D51" s="61" t="n">
        <x:f>ROUNDUP('17_Gia_dinh_mo_hinh'!$E$4/30,0)</x:f>
        <x:v>6</x:v>
      </x:c>
      <x:c r="E51" s="62" t="n">
        <x:f>IF(AND(B51&gt;='17_Gia_dinh_mo_hinh'!$F$4+D51,B51&lt;'17_Gia_dinh_mo_hinh'!$F$4+D51+'17_Gia_dinh_mo_hinh'!$G$4),'17_Gia_dinh_mo_hinh'!$L$4*(1-'17_Gia_dinh_mo_hinh'!$M$4)/'17_Gia_dinh_mo_hinh'!$G$4,0)</x:f>
        <x:v>326.6666666666667</x:v>
      </x:c>
      <x:c r="F51" s="62" t="n">
        <x:f>0.70*E51+0.30*E50</x:f>
        <x:v>326.66666666666663</x:v>
      </x:c>
      <x:c r="G51" s="62" t="n">
        <x:f>IF(AND(B51&gt;='17_Gia_dinh_mo_hinh'!$H$4+D51,B51&lt;'17_Gia_dinh_mo_hinh'!$H$4+D51+'17_Gia_dinh_mo_hinh'!$I$4),'17_Gia_dinh_mo_hinh'!$L$4*(1-'17_Gia_dinh_mo_hinh'!$M$4)/'17_Gia_dinh_mo_hinh'!$I$4,0)</x:f>
        <x:v>544.4444444444445</x:v>
      </x:c>
      <x:c r="H51" s="62" t="n">
        <x:f>G51*(1-'17_Gia_dinh_mo_hinh'!$N$4)</x:f>
        <x:v>370.2222222222222</x:v>
      </x:c>
      <x:c r="I51" s="62" t="n">
        <x:f>G51*'17_Gia_dinh_mo_hinh'!$O$4</x:f>
        <x:v>19.055555555555557</x:v>
      </x:c>
      <x:c r="J51" s="62" t="n">
        <x:f>G51*'17_Gia_dinh_mo_hinh'!$P$4</x:f>
        <x:v>10.88888888888889</x:v>
      </x:c>
      <x:c r="K51" s="62" t="n">
        <x:f>IF(B51&lt;='17_Gia_dinh_mo_hinh'!$J$4,'17_Gia_dinh_mo_hinh'!$K$4*(1-MIN(0.95,'17_Gia_dinh_mo_hinh'!$M$4*0.75))/'17_Gia_dinh_mo_hinh'!$J$4,0)</x:f>
        <x:v>135.41666666666666</x:v>
      </x:c>
      <x:c r="L51" s="62" t="n">
        <x:f>S50*'17_Gia_dinh_mo_hinh'!$Q$4/12</x:f>
        <x:v>0</x:v>
      </x:c>
      <x:c r="M51" s="62" t="n">
        <x:f>G51-H51-I51-J51-L51</x:f>
        <x:v>144.27777777777786</x:v>
      </x:c>
      <x:c r="N51" s="62" t="n">
        <x:f>MAX(0,M51*'17_Gia_dinh_mo_hinh'!$S$4)</x:f>
        <x:v>28.855555555555572</x:v>
      </x:c>
      <x:c r="O51" s="62" t="n">
        <x:f>M51-N51</x:f>
        <x:v>115.42222222222229</x:v>
      </x:c>
      <x:c r="P51" s="62" t="n">
        <x:f>F51-K51-I51-J51-N51-L51</x:f>
        <x:v>132.44999999999993</x:v>
      </x:c>
      <x:c r="Q51" s="62" t="n">
        <x:f>MIN(MAX(0,-(T50+P51)),MAX(0,'17_Gia_dinh_mo_hinh'!$R$4-S50))</x:f>
        <x:v>0</x:v>
      </x:c>
      <x:c r="R51" s="62" t="n">
        <x:f>MIN(MAX(0,T50+P51+Q51),S50+Q51)</x:f>
        <x:v>0</x:v>
      </x:c>
      <x:c r="S51" s="62" t="n">
        <x:f>S50+Q51-R51</x:f>
        <x:v>0</x:v>
      </x:c>
      <x:c r="T51" s="62" t="n">
        <x:f>MAX(0,T50+P51+Q51-R51)</x:f>
        <x:v>1245.7628465845673</x:v>
      </x:c>
      <x:c r="U51" s="62" t="n">
        <x:f>MAX(0,-(T50+P51)-MAX(0,'17_Gia_dinh_mo_hinh'!$R$4-S50))</x:f>
        <x:v>0</x:v>
      </x:c>
      <x:c r="V51" s="61" t="str">
        <x:f>IF(B51&lt;'17_Gia_dinh_mo_hinh'!$F$4+D51,"Trước mở bán",IF(B51&lt;'17_Gia_dinh_mo_hinh'!$H$4+D51,"Bán hàng/thi công",IF(G51&gt;0,"Ghi nhận/bàn giao","Hậu bàn giao")))</x:f>
        <x:v>Ghi nhận/bàn giao</x:v>
      </x:c>
    </x:row>
    <x:row r="52">
      <x:c r="A52" s="54" t="str">
        <x:v>DA01</x:v>
      </x:c>
      <x:c r="B52" s="54" t="n">
        <x:v>49</x:v>
      </x:c>
      <x:c r="C52" s="60" t="n">
        <x:f>EDATE('17_Gia_dinh_mo_hinh'!$C$4,B52-1)</x:f>
        <x:v>47696</x:v>
      </x:c>
      <x:c r="D52" s="61" t="n">
        <x:f>ROUNDUP('17_Gia_dinh_mo_hinh'!$E$4/30,0)</x:f>
        <x:v>6</x:v>
      </x:c>
      <x:c r="E52" s="62" t="n">
        <x:f>IF(AND(B52&gt;='17_Gia_dinh_mo_hinh'!$F$4+D52,B52&lt;'17_Gia_dinh_mo_hinh'!$F$4+D52+'17_Gia_dinh_mo_hinh'!$G$4),'17_Gia_dinh_mo_hinh'!$L$4*(1-'17_Gia_dinh_mo_hinh'!$M$4)/'17_Gia_dinh_mo_hinh'!$G$4,0)</x:f>
        <x:v>326.6666666666667</x:v>
      </x:c>
      <x:c r="F52" s="62" t="n">
        <x:f>0.70*E52+0.30*E51</x:f>
        <x:v>326.66666666666663</x:v>
      </x:c>
      <x:c r="G52" s="62" t="n">
        <x:f>IF(AND(B52&gt;='17_Gia_dinh_mo_hinh'!$H$4+D52,B52&lt;'17_Gia_dinh_mo_hinh'!$H$4+D52+'17_Gia_dinh_mo_hinh'!$I$4),'17_Gia_dinh_mo_hinh'!$L$4*(1-'17_Gia_dinh_mo_hinh'!$M$4)/'17_Gia_dinh_mo_hinh'!$I$4,0)</x:f>
        <x:v>544.4444444444445</x:v>
      </x:c>
      <x:c r="H52" s="62" t="n">
        <x:f>G52*(1-'17_Gia_dinh_mo_hinh'!$N$4)</x:f>
        <x:v>370.2222222222222</x:v>
      </x:c>
      <x:c r="I52" s="62" t="n">
        <x:f>G52*'17_Gia_dinh_mo_hinh'!$O$4</x:f>
        <x:v>19.055555555555557</x:v>
      </x:c>
      <x:c r="J52" s="62" t="n">
        <x:f>G52*'17_Gia_dinh_mo_hinh'!$P$4</x:f>
        <x:v>10.88888888888889</x:v>
      </x:c>
      <x:c r="K52" s="62" t="n">
        <x:f>IF(B52&lt;='17_Gia_dinh_mo_hinh'!$J$4,'17_Gia_dinh_mo_hinh'!$K$4*(1-MIN(0.95,'17_Gia_dinh_mo_hinh'!$M$4*0.75))/'17_Gia_dinh_mo_hinh'!$J$4,0)</x:f>
        <x:v>0</x:v>
      </x:c>
      <x:c r="L52" s="62" t="n">
        <x:f>S51*'17_Gia_dinh_mo_hinh'!$Q$4/12</x:f>
        <x:v>0</x:v>
      </x:c>
      <x:c r="M52" s="62" t="n">
        <x:f>G52-H52-I52-J52-L52</x:f>
        <x:v>144.27777777777786</x:v>
      </x:c>
      <x:c r="N52" s="62" t="n">
        <x:f>MAX(0,M52*'17_Gia_dinh_mo_hinh'!$S$4)</x:f>
        <x:v>28.855555555555572</x:v>
      </x:c>
      <x:c r="O52" s="62" t="n">
        <x:f>M52-N52</x:f>
        <x:v>115.42222222222229</x:v>
      </x:c>
      <x:c r="P52" s="62" t="n">
        <x:f>F52-K52-I52-J52-N52-L52</x:f>
        <x:v>267.8666666666666</x:v>
      </x:c>
      <x:c r="Q52" s="62" t="n">
        <x:f>MIN(MAX(0,-(T51+P52)),MAX(0,'17_Gia_dinh_mo_hinh'!$R$4-S51))</x:f>
        <x:v>0</x:v>
      </x:c>
      <x:c r="R52" s="62" t="n">
        <x:f>MIN(MAX(0,T51+P52+Q52),S51+Q52)</x:f>
        <x:v>0</x:v>
      </x:c>
      <x:c r="S52" s="62" t="n">
        <x:f>S51+Q52-R52</x:f>
        <x:v>0</x:v>
      </x:c>
      <x:c r="T52" s="62" t="n">
        <x:f>MAX(0,T51+P52+Q52-R52)</x:f>
        <x:v>1513.629513251234</x:v>
      </x:c>
      <x:c r="U52" s="62" t="n">
        <x:f>MAX(0,-(T51+P52)-MAX(0,'17_Gia_dinh_mo_hinh'!$R$4-S51))</x:f>
        <x:v>0</x:v>
      </x:c>
      <x:c r="V52" s="61" t="str">
        <x:f>IF(B52&lt;'17_Gia_dinh_mo_hinh'!$F$4+D52,"Trước mở bán",IF(B52&lt;'17_Gia_dinh_mo_hinh'!$H$4+D52,"Bán hàng/thi công",IF(G52&gt;0,"Ghi nhận/bàn giao","Hậu bàn giao")))</x:f>
        <x:v>Ghi nhận/bàn giao</x:v>
      </x:c>
    </x:row>
    <x:row r="53">
      <x:c r="A53" s="54" t="str">
        <x:v>DA01</x:v>
      </x:c>
      <x:c r="B53" s="54" t="n">
        <x:v>50</x:v>
      </x:c>
      <x:c r="C53" s="60" t="n">
        <x:f>EDATE('17_Gia_dinh_mo_hinh'!$C$4,B53-1)</x:f>
        <x:v>47727</x:v>
      </x:c>
      <x:c r="D53" s="61" t="n">
        <x:f>ROUNDUP('17_Gia_dinh_mo_hinh'!$E$4/30,0)</x:f>
        <x:v>6</x:v>
      </x:c>
      <x:c r="E53" s="62" t="n">
        <x:f>IF(AND(B53&gt;='17_Gia_dinh_mo_hinh'!$F$4+D53,B53&lt;'17_Gia_dinh_mo_hinh'!$F$4+D53+'17_Gia_dinh_mo_hinh'!$G$4),'17_Gia_dinh_mo_hinh'!$L$4*(1-'17_Gia_dinh_mo_hinh'!$M$4)/'17_Gia_dinh_mo_hinh'!$G$4,0)</x:f>
        <x:v>326.6666666666667</x:v>
      </x:c>
      <x:c r="F53" s="62" t="n">
        <x:f>0.70*E53+0.30*E52</x:f>
        <x:v>326.66666666666663</x:v>
      </x:c>
      <x:c r="G53" s="62" t="n">
        <x:f>IF(AND(B53&gt;='17_Gia_dinh_mo_hinh'!$H$4+D53,B53&lt;'17_Gia_dinh_mo_hinh'!$H$4+D53+'17_Gia_dinh_mo_hinh'!$I$4),'17_Gia_dinh_mo_hinh'!$L$4*(1-'17_Gia_dinh_mo_hinh'!$M$4)/'17_Gia_dinh_mo_hinh'!$I$4,0)</x:f>
        <x:v>544.4444444444445</x:v>
      </x:c>
      <x:c r="H53" s="62" t="n">
        <x:f>G53*(1-'17_Gia_dinh_mo_hinh'!$N$4)</x:f>
        <x:v>370.2222222222222</x:v>
      </x:c>
      <x:c r="I53" s="62" t="n">
        <x:f>G53*'17_Gia_dinh_mo_hinh'!$O$4</x:f>
        <x:v>19.055555555555557</x:v>
      </x:c>
      <x:c r="J53" s="62" t="n">
        <x:f>G53*'17_Gia_dinh_mo_hinh'!$P$4</x:f>
        <x:v>10.88888888888889</x:v>
      </x:c>
      <x:c r="K53" s="62" t="n">
        <x:f>IF(B53&lt;='17_Gia_dinh_mo_hinh'!$J$4,'17_Gia_dinh_mo_hinh'!$K$4*(1-MIN(0.95,'17_Gia_dinh_mo_hinh'!$M$4*0.75))/'17_Gia_dinh_mo_hinh'!$J$4,0)</x:f>
        <x:v>0</x:v>
      </x:c>
      <x:c r="L53" s="62" t="n">
        <x:f>S52*'17_Gia_dinh_mo_hinh'!$Q$4/12</x:f>
        <x:v>0</x:v>
      </x:c>
      <x:c r="M53" s="62" t="n">
        <x:f>G53-H53-I53-J53-L53</x:f>
        <x:v>144.27777777777786</x:v>
      </x:c>
      <x:c r="N53" s="62" t="n">
        <x:f>MAX(0,M53*'17_Gia_dinh_mo_hinh'!$S$4)</x:f>
        <x:v>28.855555555555572</x:v>
      </x:c>
      <x:c r="O53" s="62" t="n">
        <x:f>M53-N53</x:f>
        <x:v>115.42222222222229</x:v>
      </x:c>
      <x:c r="P53" s="62" t="n">
        <x:f>F53-K53-I53-J53-N53-L53</x:f>
        <x:v>267.8666666666666</x:v>
      </x:c>
      <x:c r="Q53" s="62" t="n">
        <x:f>MIN(MAX(0,-(T52+P53)),MAX(0,'17_Gia_dinh_mo_hinh'!$R$4-S52))</x:f>
        <x:v>0</x:v>
      </x:c>
      <x:c r="R53" s="62" t="n">
        <x:f>MIN(MAX(0,T52+P53+Q53),S52+Q53)</x:f>
        <x:v>0</x:v>
      </x:c>
      <x:c r="S53" s="62" t="n">
        <x:f>S52+Q53-R53</x:f>
        <x:v>0</x:v>
      </x:c>
      <x:c r="T53" s="62" t="n">
        <x:f>MAX(0,T52+P53+Q53-R53)</x:f>
        <x:v>1781.4961799179005</x:v>
      </x:c>
      <x:c r="U53" s="62" t="n">
        <x:f>MAX(0,-(T52+P53)-MAX(0,'17_Gia_dinh_mo_hinh'!$R$4-S52))</x:f>
        <x:v>0</x:v>
      </x:c>
      <x:c r="V53" s="61" t="str">
        <x:f>IF(B53&lt;'17_Gia_dinh_mo_hinh'!$F$4+D53,"Trước mở bán",IF(B53&lt;'17_Gia_dinh_mo_hinh'!$H$4+D53,"Bán hàng/thi công",IF(G53&gt;0,"Ghi nhận/bàn giao","Hậu bàn giao")))</x:f>
        <x:v>Ghi nhận/bàn giao</x:v>
      </x:c>
    </x:row>
    <x:row r="54">
      <x:c r="A54" s="54" t="str">
        <x:v>DA01</x:v>
      </x:c>
      <x:c r="B54" s="54" t="n">
        <x:v>51</x:v>
      </x:c>
      <x:c r="C54" s="60" t="n">
        <x:f>EDATE('17_Gia_dinh_mo_hinh'!$C$4,B54-1)</x:f>
        <x:v>47757</x:v>
      </x:c>
      <x:c r="D54" s="61" t="n">
        <x:f>ROUNDUP('17_Gia_dinh_mo_hinh'!$E$4/30,0)</x:f>
        <x:v>6</x:v>
      </x:c>
      <x:c r="E54" s="62" t="n">
        <x:f>IF(AND(B54&gt;='17_Gia_dinh_mo_hinh'!$F$4+D54,B54&lt;'17_Gia_dinh_mo_hinh'!$F$4+D54+'17_Gia_dinh_mo_hinh'!$G$4),'17_Gia_dinh_mo_hinh'!$L$4*(1-'17_Gia_dinh_mo_hinh'!$M$4)/'17_Gia_dinh_mo_hinh'!$G$4,0)</x:f>
        <x:v>326.6666666666667</x:v>
      </x:c>
      <x:c r="F54" s="62" t="n">
        <x:f>0.70*E54+0.30*E53</x:f>
        <x:v>326.66666666666663</x:v>
      </x:c>
      <x:c r="G54" s="62" t="n">
        <x:f>IF(AND(B54&gt;='17_Gia_dinh_mo_hinh'!$H$4+D54,B54&lt;'17_Gia_dinh_mo_hinh'!$H$4+D54+'17_Gia_dinh_mo_hinh'!$I$4),'17_Gia_dinh_mo_hinh'!$L$4*(1-'17_Gia_dinh_mo_hinh'!$M$4)/'17_Gia_dinh_mo_hinh'!$I$4,0)</x:f>
        <x:v>544.4444444444445</x:v>
      </x:c>
      <x:c r="H54" s="62" t="n">
        <x:f>G54*(1-'17_Gia_dinh_mo_hinh'!$N$4)</x:f>
        <x:v>370.2222222222222</x:v>
      </x:c>
      <x:c r="I54" s="62" t="n">
        <x:f>G54*'17_Gia_dinh_mo_hinh'!$O$4</x:f>
        <x:v>19.055555555555557</x:v>
      </x:c>
      <x:c r="J54" s="62" t="n">
        <x:f>G54*'17_Gia_dinh_mo_hinh'!$P$4</x:f>
        <x:v>10.88888888888889</x:v>
      </x:c>
      <x:c r="K54" s="62" t="n">
        <x:f>IF(B54&lt;='17_Gia_dinh_mo_hinh'!$J$4,'17_Gia_dinh_mo_hinh'!$K$4*(1-MIN(0.95,'17_Gia_dinh_mo_hinh'!$M$4*0.75))/'17_Gia_dinh_mo_hinh'!$J$4,0)</x:f>
        <x:v>0</x:v>
      </x:c>
      <x:c r="L54" s="62" t="n">
        <x:f>S53*'17_Gia_dinh_mo_hinh'!$Q$4/12</x:f>
        <x:v>0</x:v>
      </x:c>
      <x:c r="M54" s="62" t="n">
        <x:f>G54-H54-I54-J54-L54</x:f>
        <x:v>144.27777777777786</x:v>
      </x:c>
      <x:c r="N54" s="62" t="n">
        <x:f>MAX(0,M54*'17_Gia_dinh_mo_hinh'!$S$4)</x:f>
        <x:v>28.855555555555572</x:v>
      </x:c>
      <x:c r="O54" s="62" t="n">
        <x:f>M54-N54</x:f>
        <x:v>115.42222222222229</x:v>
      </x:c>
      <x:c r="P54" s="62" t="n">
        <x:f>F54-K54-I54-J54-N54-L54</x:f>
        <x:v>267.8666666666666</x:v>
      </x:c>
      <x:c r="Q54" s="62" t="n">
        <x:f>MIN(MAX(0,-(T53+P54)),MAX(0,'17_Gia_dinh_mo_hinh'!$R$4-S53))</x:f>
        <x:v>0</x:v>
      </x:c>
      <x:c r="R54" s="62" t="n">
        <x:f>MIN(MAX(0,T53+P54+Q54),S53+Q54)</x:f>
        <x:v>0</x:v>
      </x:c>
      <x:c r="S54" s="62" t="n">
        <x:f>S53+Q54-R54</x:f>
        <x:v>0</x:v>
      </x:c>
      <x:c r="T54" s="62" t="n">
        <x:f>MAX(0,T53+P54+Q54-R54)</x:f>
        <x:v>2049.3628465845673</x:v>
      </x:c>
      <x:c r="U54" s="62" t="n">
        <x:f>MAX(0,-(T53+P54)-MAX(0,'17_Gia_dinh_mo_hinh'!$R$4-S53))</x:f>
        <x:v>0</x:v>
      </x:c>
      <x:c r="V54" s="61" t="str">
        <x:f>IF(B54&lt;'17_Gia_dinh_mo_hinh'!$F$4+D54,"Trước mở bán",IF(B54&lt;'17_Gia_dinh_mo_hinh'!$H$4+D54,"Bán hàng/thi công",IF(G54&gt;0,"Ghi nhận/bàn giao","Hậu bàn giao")))</x:f>
        <x:v>Ghi nhận/bàn giao</x:v>
      </x:c>
    </x:row>
    <x:row r="55">
      <x:c r="A55" s="54" t="str">
        <x:v>DA01</x:v>
      </x:c>
      <x:c r="B55" s="54" t="n">
        <x:v>52</x:v>
      </x:c>
      <x:c r="C55" s="60" t="n">
        <x:f>EDATE('17_Gia_dinh_mo_hinh'!$C$4,B55-1)</x:f>
        <x:v>47788</x:v>
      </x:c>
      <x:c r="D55" s="61" t="n">
        <x:f>ROUNDUP('17_Gia_dinh_mo_hinh'!$E$4/30,0)</x:f>
        <x:v>6</x:v>
      </x:c>
      <x:c r="E55" s="62" t="n">
        <x:f>IF(AND(B55&gt;='17_Gia_dinh_mo_hinh'!$F$4+D55,B55&lt;'17_Gia_dinh_mo_hinh'!$F$4+D55+'17_Gia_dinh_mo_hinh'!$G$4),'17_Gia_dinh_mo_hinh'!$L$4*(1-'17_Gia_dinh_mo_hinh'!$M$4)/'17_Gia_dinh_mo_hinh'!$G$4,0)</x:f>
        <x:v>326.6666666666667</x:v>
      </x:c>
      <x:c r="F55" s="62" t="n">
        <x:f>0.70*E55+0.30*E54</x:f>
        <x:v>326.66666666666663</x:v>
      </x:c>
      <x:c r="G55" s="62" t="n">
        <x:f>IF(AND(B55&gt;='17_Gia_dinh_mo_hinh'!$H$4+D55,B55&lt;'17_Gia_dinh_mo_hinh'!$H$4+D55+'17_Gia_dinh_mo_hinh'!$I$4),'17_Gia_dinh_mo_hinh'!$L$4*(1-'17_Gia_dinh_mo_hinh'!$M$4)/'17_Gia_dinh_mo_hinh'!$I$4,0)</x:f>
        <x:v>544.4444444444445</x:v>
      </x:c>
      <x:c r="H55" s="62" t="n">
        <x:f>G55*(1-'17_Gia_dinh_mo_hinh'!$N$4)</x:f>
        <x:v>370.2222222222222</x:v>
      </x:c>
      <x:c r="I55" s="62" t="n">
        <x:f>G55*'17_Gia_dinh_mo_hinh'!$O$4</x:f>
        <x:v>19.055555555555557</x:v>
      </x:c>
      <x:c r="J55" s="62" t="n">
        <x:f>G55*'17_Gia_dinh_mo_hinh'!$P$4</x:f>
        <x:v>10.88888888888889</x:v>
      </x:c>
      <x:c r="K55" s="62" t="n">
        <x:f>IF(B55&lt;='17_Gia_dinh_mo_hinh'!$J$4,'17_Gia_dinh_mo_hinh'!$K$4*(1-MIN(0.95,'17_Gia_dinh_mo_hinh'!$M$4*0.75))/'17_Gia_dinh_mo_hinh'!$J$4,0)</x:f>
        <x:v>0</x:v>
      </x:c>
      <x:c r="L55" s="62" t="n">
        <x:f>S54*'17_Gia_dinh_mo_hinh'!$Q$4/12</x:f>
        <x:v>0</x:v>
      </x:c>
      <x:c r="M55" s="62" t="n">
        <x:f>G55-H55-I55-J55-L55</x:f>
        <x:v>144.27777777777786</x:v>
      </x:c>
      <x:c r="N55" s="62" t="n">
        <x:f>MAX(0,M55*'17_Gia_dinh_mo_hinh'!$S$4)</x:f>
        <x:v>28.855555555555572</x:v>
      </x:c>
      <x:c r="O55" s="62" t="n">
        <x:f>M55-N55</x:f>
        <x:v>115.42222222222229</x:v>
      </x:c>
      <x:c r="P55" s="62" t="n">
        <x:f>F55-K55-I55-J55-N55-L55</x:f>
        <x:v>267.8666666666666</x:v>
      </x:c>
      <x:c r="Q55" s="62" t="n">
        <x:f>MIN(MAX(0,-(T54+P55)),MAX(0,'17_Gia_dinh_mo_hinh'!$R$4-S54))</x:f>
        <x:v>0</x:v>
      </x:c>
      <x:c r="R55" s="62" t="n">
        <x:f>MIN(MAX(0,T54+P55+Q55),S54+Q55)</x:f>
        <x:v>0</x:v>
      </x:c>
      <x:c r="S55" s="62" t="n">
        <x:f>S54+Q55-R55</x:f>
        <x:v>0</x:v>
      </x:c>
      <x:c r="T55" s="62" t="n">
        <x:f>MAX(0,T54+P55+Q55-R55)</x:f>
        <x:v>2317.229513251234</x:v>
      </x:c>
      <x:c r="U55" s="62" t="n">
        <x:f>MAX(0,-(T54+P55)-MAX(0,'17_Gia_dinh_mo_hinh'!$R$4-S54))</x:f>
        <x:v>0</x:v>
      </x:c>
      <x:c r="V55" s="61" t="str">
        <x:f>IF(B55&lt;'17_Gia_dinh_mo_hinh'!$F$4+D55,"Trước mở bán",IF(B55&lt;'17_Gia_dinh_mo_hinh'!$H$4+D55,"Bán hàng/thi công",IF(G55&gt;0,"Ghi nhận/bàn giao","Hậu bàn giao")))</x:f>
        <x:v>Ghi nhận/bàn giao</x:v>
      </x:c>
    </x:row>
    <x:row r="56">
      <x:c r="A56" s="54" t="str">
        <x:v>DA01</x:v>
      </x:c>
      <x:c r="B56" s="54" t="n">
        <x:v>53</x:v>
      </x:c>
      <x:c r="C56" s="60" t="n">
        <x:f>EDATE('17_Gia_dinh_mo_hinh'!$C$4,B56-1)</x:f>
        <x:v>47818</x:v>
      </x:c>
      <x:c r="D56" s="61" t="n">
        <x:f>ROUNDUP('17_Gia_dinh_mo_hinh'!$E$4/30,0)</x:f>
        <x:v>6</x:v>
      </x:c>
      <x:c r="E56" s="62" t="n">
        <x:f>IF(AND(B56&gt;='17_Gia_dinh_mo_hinh'!$F$4+D56,B56&lt;'17_Gia_dinh_mo_hinh'!$F$4+D56+'17_Gia_dinh_mo_hinh'!$G$4),'17_Gia_dinh_mo_hinh'!$L$4*(1-'17_Gia_dinh_mo_hinh'!$M$4)/'17_Gia_dinh_mo_hinh'!$G$4,0)</x:f>
        <x:v>326.6666666666667</x:v>
      </x:c>
      <x:c r="F56" s="62" t="n">
        <x:f>0.70*E56+0.30*E55</x:f>
        <x:v>326.66666666666663</x:v>
      </x:c>
      <x:c r="G56" s="62" t="n">
        <x:f>IF(AND(B56&gt;='17_Gia_dinh_mo_hinh'!$H$4+D56,B56&lt;'17_Gia_dinh_mo_hinh'!$H$4+D56+'17_Gia_dinh_mo_hinh'!$I$4),'17_Gia_dinh_mo_hinh'!$L$4*(1-'17_Gia_dinh_mo_hinh'!$M$4)/'17_Gia_dinh_mo_hinh'!$I$4,0)</x:f>
        <x:v>544.4444444444445</x:v>
      </x:c>
      <x:c r="H56" s="62" t="n">
        <x:f>G56*(1-'17_Gia_dinh_mo_hinh'!$N$4)</x:f>
        <x:v>370.2222222222222</x:v>
      </x:c>
      <x:c r="I56" s="62" t="n">
        <x:f>G56*'17_Gia_dinh_mo_hinh'!$O$4</x:f>
        <x:v>19.055555555555557</x:v>
      </x:c>
      <x:c r="J56" s="62" t="n">
        <x:f>G56*'17_Gia_dinh_mo_hinh'!$P$4</x:f>
        <x:v>10.88888888888889</x:v>
      </x:c>
      <x:c r="K56" s="62" t="n">
        <x:f>IF(B56&lt;='17_Gia_dinh_mo_hinh'!$J$4,'17_Gia_dinh_mo_hinh'!$K$4*(1-MIN(0.95,'17_Gia_dinh_mo_hinh'!$M$4*0.75))/'17_Gia_dinh_mo_hinh'!$J$4,0)</x:f>
        <x:v>0</x:v>
      </x:c>
      <x:c r="L56" s="62" t="n">
        <x:f>S55*'17_Gia_dinh_mo_hinh'!$Q$4/12</x:f>
        <x:v>0</x:v>
      </x:c>
      <x:c r="M56" s="62" t="n">
        <x:f>G56-H56-I56-J56-L56</x:f>
        <x:v>144.27777777777786</x:v>
      </x:c>
      <x:c r="N56" s="62" t="n">
        <x:f>MAX(0,M56*'17_Gia_dinh_mo_hinh'!$S$4)</x:f>
        <x:v>28.855555555555572</x:v>
      </x:c>
      <x:c r="O56" s="62" t="n">
        <x:f>M56-N56</x:f>
        <x:v>115.42222222222229</x:v>
      </x:c>
      <x:c r="P56" s="62" t="n">
        <x:f>F56-K56-I56-J56-N56-L56</x:f>
        <x:v>267.8666666666666</x:v>
      </x:c>
      <x:c r="Q56" s="62" t="n">
        <x:f>MIN(MAX(0,-(T55+P56)),MAX(0,'17_Gia_dinh_mo_hinh'!$R$4-S55))</x:f>
        <x:v>0</x:v>
      </x:c>
      <x:c r="R56" s="62" t="n">
        <x:f>MIN(MAX(0,T55+P56+Q56),S55+Q56)</x:f>
        <x:v>0</x:v>
      </x:c>
      <x:c r="S56" s="62" t="n">
        <x:f>S55+Q56-R56</x:f>
        <x:v>0</x:v>
      </x:c>
      <x:c r="T56" s="62" t="n">
        <x:f>MAX(0,T55+P56+Q56-R56)</x:f>
        <x:v>2585.096179917901</x:v>
      </x:c>
      <x:c r="U56" s="62" t="n">
        <x:f>MAX(0,-(T55+P56)-MAX(0,'17_Gia_dinh_mo_hinh'!$R$4-S55))</x:f>
        <x:v>0</x:v>
      </x:c>
      <x:c r="V56" s="61" t="str">
        <x:f>IF(B56&lt;'17_Gia_dinh_mo_hinh'!$F$4+D56,"Trước mở bán",IF(B56&lt;'17_Gia_dinh_mo_hinh'!$H$4+D56,"Bán hàng/thi công",IF(G56&gt;0,"Ghi nhận/bàn giao","Hậu bàn giao")))</x:f>
        <x:v>Ghi nhận/bàn giao</x:v>
      </x:c>
    </x:row>
    <x:row r="57">
      <x:c r="A57" s="54" t="str">
        <x:v>DA01</x:v>
      </x:c>
      <x:c r="B57" s="54" t="n">
        <x:v>54</x:v>
      </x:c>
      <x:c r="C57" s="60" t="n">
        <x:f>EDATE('17_Gia_dinh_mo_hinh'!$C$4,B57-1)</x:f>
        <x:v>47849</x:v>
      </x:c>
      <x:c r="D57" s="61" t="n">
        <x:f>ROUNDUP('17_Gia_dinh_mo_hinh'!$E$4/30,0)</x:f>
        <x:v>6</x:v>
      </x:c>
      <x:c r="E57" s="62" t="n">
        <x:f>IF(AND(B57&gt;='17_Gia_dinh_mo_hinh'!$F$4+D57,B57&lt;'17_Gia_dinh_mo_hinh'!$F$4+D57+'17_Gia_dinh_mo_hinh'!$G$4),'17_Gia_dinh_mo_hinh'!$L$4*(1-'17_Gia_dinh_mo_hinh'!$M$4)/'17_Gia_dinh_mo_hinh'!$G$4,0)</x:f>
        <x:v>0</x:v>
      </x:c>
      <x:c r="F57" s="62" t="n">
        <x:f>0.70*E57+0.30*E56</x:f>
        <x:v>98</x:v>
      </x:c>
      <x:c r="G57" s="62" t="n">
        <x:f>IF(AND(B57&gt;='17_Gia_dinh_mo_hinh'!$H$4+D57,B57&lt;'17_Gia_dinh_mo_hinh'!$H$4+D57+'17_Gia_dinh_mo_hinh'!$I$4),'17_Gia_dinh_mo_hinh'!$L$4*(1-'17_Gia_dinh_mo_hinh'!$M$4)/'17_Gia_dinh_mo_hinh'!$I$4,0)</x:f>
        <x:v>544.4444444444445</x:v>
      </x:c>
      <x:c r="H57" s="62" t="n">
        <x:f>G57*(1-'17_Gia_dinh_mo_hinh'!$N$4)</x:f>
        <x:v>370.2222222222222</x:v>
      </x:c>
      <x:c r="I57" s="62" t="n">
        <x:f>G57*'17_Gia_dinh_mo_hinh'!$O$4</x:f>
        <x:v>19.055555555555557</x:v>
      </x:c>
      <x:c r="J57" s="62" t="n">
        <x:f>G57*'17_Gia_dinh_mo_hinh'!$P$4</x:f>
        <x:v>10.88888888888889</x:v>
      </x:c>
      <x:c r="K57" s="62" t="n">
        <x:f>IF(B57&lt;='17_Gia_dinh_mo_hinh'!$J$4,'17_Gia_dinh_mo_hinh'!$K$4*(1-MIN(0.95,'17_Gia_dinh_mo_hinh'!$M$4*0.75))/'17_Gia_dinh_mo_hinh'!$J$4,0)</x:f>
        <x:v>0</x:v>
      </x:c>
      <x:c r="L57" s="62" t="n">
        <x:f>S56*'17_Gia_dinh_mo_hinh'!$Q$4/12</x:f>
        <x:v>0</x:v>
      </x:c>
      <x:c r="M57" s="62" t="n">
        <x:f>G57-H57-I57-J57-L57</x:f>
        <x:v>144.27777777777786</x:v>
      </x:c>
      <x:c r="N57" s="62" t="n">
        <x:f>MAX(0,M57*'17_Gia_dinh_mo_hinh'!$S$4)</x:f>
        <x:v>28.855555555555572</x:v>
      </x:c>
      <x:c r="O57" s="62" t="n">
        <x:f>M57-N57</x:f>
        <x:v>115.42222222222229</x:v>
      </x:c>
      <x:c r="P57" s="62" t="n">
        <x:f>F57-K57-I57-J57-N57-L57</x:f>
        <x:v>39.19999999999999</x:v>
      </x:c>
      <x:c r="Q57" s="62" t="n">
        <x:f>MIN(MAX(0,-(T56+P57)),MAX(0,'17_Gia_dinh_mo_hinh'!$R$4-S56))</x:f>
        <x:v>0</x:v>
      </x:c>
      <x:c r="R57" s="62" t="n">
        <x:f>MIN(MAX(0,T56+P57+Q57),S56+Q57)</x:f>
        <x:v>0</x:v>
      </x:c>
      <x:c r="S57" s="62" t="n">
        <x:f>S56+Q57-R57</x:f>
        <x:v>0</x:v>
      </x:c>
      <x:c r="T57" s="62" t="n">
        <x:f>MAX(0,T56+P57+Q57-R57)</x:f>
        <x:v>2624.2961799179006</x:v>
      </x:c>
      <x:c r="U57" s="62" t="n">
        <x:f>MAX(0,-(T56+P57)-MAX(0,'17_Gia_dinh_mo_hinh'!$R$4-S56))</x:f>
        <x:v>0</x:v>
      </x:c>
      <x:c r="V57" s="61" t="str">
        <x:f>IF(B57&lt;'17_Gia_dinh_mo_hinh'!$F$4+D57,"Trước mở bán",IF(B57&lt;'17_Gia_dinh_mo_hinh'!$H$4+D57,"Bán hàng/thi công",IF(G57&gt;0,"Ghi nhận/bàn giao","Hậu bàn giao")))</x:f>
        <x:v>Ghi nhận/bàn giao</x:v>
      </x:c>
    </x:row>
    <x:row r="58">
      <x:c r="A58" s="54" t="str">
        <x:v>DA01</x:v>
      </x:c>
      <x:c r="B58" s="54" t="n">
        <x:v>55</x:v>
      </x:c>
      <x:c r="C58" s="60" t="n">
        <x:f>EDATE('17_Gia_dinh_mo_hinh'!$C$4,B58-1)</x:f>
        <x:v>47880</x:v>
      </x:c>
      <x:c r="D58" s="61" t="n">
        <x:f>ROUNDUP('17_Gia_dinh_mo_hinh'!$E$4/30,0)</x:f>
        <x:v>6</x:v>
      </x:c>
      <x:c r="E58" s="62" t="n">
        <x:f>IF(AND(B58&gt;='17_Gia_dinh_mo_hinh'!$F$4+D58,B58&lt;'17_Gia_dinh_mo_hinh'!$F$4+D58+'17_Gia_dinh_mo_hinh'!$G$4),'17_Gia_dinh_mo_hinh'!$L$4*(1-'17_Gia_dinh_mo_hinh'!$M$4)/'17_Gia_dinh_mo_hinh'!$G$4,0)</x:f>
        <x:v>0</x:v>
      </x:c>
      <x:c r="F58" s="62" t="n">
        <x:f>0.70*E58+0.30*E57</x:f>
        <x:v>0</x:v>
      </x:c>
      <x:c r="G58" s="62" t="n">
        <x:f>IF(AND(B58&gt;='17_Gia_dinh_mo_hinh'!$H$4+D58,B58&lt;'17_Gia_dinh_mo_hinh'!$H$4+D58+'17_Gia_dinh_mo_hinh'!$I$4),'17_Gia_dinh_mo_hinh'!$L$4*(1-'17_Gia_dinh_mo_hinh'!$M$4)/'17_Gia_dinh_mo_hinh'!$I$4,0)</x:f>
        <x:v>544.4444444444445</x:v>
      </x:c>
      <x:c r="H58" s="62" t="n">
        <x:f>G58*(1-'17_Gia_dinh_mo_hinh'!$N$4)</x:f>
        <x:v>370.2222222222222</x:v>
      </x:c>
      <x:c r="I58" s="62" t="n">
        <x:f>G58*'17_Gia_dinh_mo_hinh'!$O$4</x:f>
        <x:v>19.055555555555557</x:v>
      </x:c>
      <x:c r="J58" s="62" t="n">
        <x:f>G58*'17_Gia_dinh_mo_hinh'!$P$4</x:f>
        <x:v>10.88888888888889</x:v>
      </x:c>
      <x:c r="K58" s="62" t="n">
        <x:f>IF(B58&lt;='17_Gia_dinh_mo_hinh'!$J$4,'17_Gia_dinh_mo_hinh'!$K$4*(1-MIN(0.95,'17_Gia_dinh_mo_hinh'!$M$4*0.75))/'17_Gia_dinh_mo_hinh'!$J$4,0)</x:f>
        <x:v>0</x:v>
      </x:c>
      <x:c r="L58" s="62" t="n">
        <x:f>S57*'17_Gia_dinh_mo_hinh'!$Q$4/12</x:f>
        <x:v>0</x:v>
      </x:c>
      <x:c r="M58" s="62" t="n">
        <x:f>G58-H58-I58-J58-L58</x:f>
        <x:v>144.27777777777786</x:v>
      </x:c>
      <x:c r="N58" s="62" t="n">
        <x:f>MAX(0,M58*'17_Gia_dinh_mo_hinh'!$S$4)</x:f>
        <x:v>28.855555555555572</x:v>
      </x:c>
      <x:c r="O58" s="62" t="n">
        <x:f>M58-N58</x:f>
        <x:v>115.42222222222229</x:v>
      </x:c>
      <x:c r="P58" s="62" t="n">
        <x:f>F58-K58-I58-J58-N58-L58</x:f>
        <x:v>-58.80000000000002</x:v>
      </x:c>
      <x:c r="Q58" s="62" t="n">
        <x:f>MIN(MAX(0,-(T57+P58)),MAX(0,'17_Gia_dinh_mo_hinh'!$R$4-S57))</x:f>
        <x:v>0</x:v>
      </x:c>
      <x:c r="R58" s="62" t="n">
        <x:f>MIN(MAX(0,T57+P58+Q58),S57+Q58)</x:f>
        <x:v>0</x:v>
      </x:c>
      <x:c r="S58" s="62" t="n">
        <x:f>S57+Q58-R58</x:f>
        <x:v>0</x:v>
      </x:c>
      <x:c r="T58" s="62" t="n">
        <x:f>MAX(0,T57+P58+Q58-R58)</x:f>
        <x:v>2565.4961799179005</x:v>
      </x:c>
      <x:c r="U58" s="62" t="n">
        <x:f>MAX(0,-(T57+P58)-MAX(0,'17_Gia_dinh_mo_hinh'!$R$4-S57))</x:f>
        <x:v>0</x:v>
      </x:c>
      <x:c r="V58" s="61" t="str">
        <x:f>IF(B58&lt;'17_Gia_dinh_mo_hinh'!$F$4+D58,"Trước mở bán",IF(B58&lt;'17_Gia_dinh_mo_hinh'!$H$4+D58,"Bán hàng/thi công",IF(G58&gt;0,"Ghi nhận/bàn giao","Hậu bàn giao")))</x:f>
        <x:v>Ghi nhận/bàn giao</x:v>
      </x:c>
    </x:row>
    <x:row r="59">
      <x:c r="A59" s="54" t="str">
        <x:v>DA01</x:v>
      </x:c>
      <x:c r="B59" s="54" t="n">
        <x:v>56</x:v>
      </x:c>
      <x:c r="C59" s="60" t="n">
        <x:f>EDATE('17_Gia_dinh_mo_hinh'!$C$4,B59-1)</x:f>
        <x:v>47908</x:v>
      </x:c>
      <x:c r="D59" s="61" t="n">
        <x:f>ROUNDUP('17_Gia_dinh_mo_hinh'!$E$4/30,0)</x:f>
        <x:v>6</x:v>
      </x:c>
      <x:c r="E59" s="62" t="n">
        <x:f>IF(AND(B59&gt;='17_Gia_dinh_mo_hinh'!$F$4+D59,B59&lt;'17_Gia_dinh_mo_hinh'!$F$4+D59+'17_Gia_dinh_mo_hinh'!$G$4),'17_Gia_dinh_mo_hinh'!$L$4*(1-'17_Gia_dinh_mo_hinh'!$M$4)/'17_Gia_dinh_mo_hinh'!$G$4,0)</x:f>
        <x:v>0</x:v>
      </x:c>
      <x:c r="F59" s="62" t="n">
        <x:f>0.70*E59+0.30*E58</x:f>
        <x:v>0</x:v>
      </x:c>
      <x:c r="G59" s="62" t="n">
        <x:f>IF(AND(B59&gt;='17_Gia_dinh_mo_hinh'!$H$4+D59,B59&lt;'17_Gia_dinh_mo_hinh'!$H$4+D59+'17_Gia_dinh_mo_hinh'!$I$4),'17_Gia_dinh_mo_hinh'!$L$4*(1-'17_Gia_dinh_mo_hinh'!$M$4)/'17_Gia_dinh_mo_hinh'!$I$4,0)</x:f>
        <x:v>544.4444444444445</x:v>
      </x:c>
      <x:c r="H59" s="62" t="n">
        <x:f>G59*(1-'17_Gia_dinh_mo_hinh'!$N$4)</x:f>
        <x:v>370.2222222222222</x:v>
      </x:c>
      <x:c r="I59" s="62" t="n">
        <x:f>G59*'17_Gia_dinh_mo_hinh'!$O$4</x:f>
        <x:v>19.055555555555557</x:v>
      </x:c>
      <x:c r="J59" s="62" t="n">
        <x:f>G59*'17_Gia_dinh_mo_hinh'!$P$4</x:f>
        <x:v>10.88888888888889</x:v>
      </x:c>
      <x:c r="K59" s="62" t="n">
        <x:f>IF(B59&lt;='17_Gia_dinh_mo_hinh'!$J$4,'17_Gia_dinh_mo_hinh'!$K$4*(1-MIN(0.95,'17_Gia_dinh_mo_hinh'!$M$4*0.75))/'17_Gia_dinh_mo_hinh'!$J$4,0)</x:f>
        <x:v>0</x:v>
      </x:c>
      <x:c r="L59" s="62" t="n">
        <x:f>S58*'17_Gia_dinh_mo_hinh'!$Q$4/12</x:f>
        <x:v>0</x:v>
      </x:c>
      <x:c r="M59" s="62" t="n">
        <x:f>G59-H59-I59-J59-L59</x:f>
        <x:v>144.27777777777786</x:v>
      </x:c>
      <x:c r="N59" s="62" t="n">
        <x:f>MAX(0,M59*'17_Gia_dinh_mo_hinh'!$S$4)</x:f>
        <x:v>28.855555555555572</x:v>
      </x:c>
      <x:c r="O59" s="62" t="n">
        <x:f>M59-N59</x:f>
        <x:v>115.42222222222229</x:v>
      </x:c>
      <x:c r="P59" s="62" t="n">
        <x:f>F59-K59-I59-J59-N59-L59</x:f>
        <x:v>-58.80000000000002</x:v>
      </x:c>
      <x:c r="Q59" s="62" t="n">
        <x:f>MIN(MAX(0,-(T58+P59)),MAX(0,'17_Gia_dinh_mo_hinh'!$R$4-S58))</x:f>
        <x:v>0</x:v>
      </x:c>
      <x:c r="R59" s="62" t="n">
        <x:f>MIN(MAX(0,T58+P59+Q59),S58+Q59)</x:f>
        <x:v>0</x:v>
      </x:c>
      <x:c r="S59" s="62" t="n">
        <x:f>S58+Q59-R59</x:f>
        <x:v>0</x:v>
      </x:c>
      <x:c r="T59" s="62" t="n">
        <x:f>MAX(0,T58+P59+Q59-R59)</x:f>
        <x:v>2506.6961799179003</x:v>
      </x:c>
      <x:c r="U59" s="62" t="n">
        <x:f>MAX(0,-(T58+P59)-MAX(0,'17_Gia_dinh_mo_hinh'!$R$4-S58))</x:f>
        <x:v>0</x:v>
      </x:c>
      <x:c r="V59" s="61" t="str">
        <x:f>IF(B59&lt;'17_Gia_dinh_mo_hinh'!$F$4+D59,"Trước mở bán",IF(B59&lt;'17_Gia_dinh_mo_hinh'!$H$4+D59,"Bán hàng/thi công",IF(G59&gt;0,"Ghi nhận/bàn giao","Hậu bàn giao")))</x:f>
        <x:v>Ghi nhận/bàn giao</x:v>
      </x:c>
    </x:row>
    <x:row r="60">
      <x:c r="A60" s="54" t="str">
        <x:v>DA01</x:v>
      </x:c>
      <x:c r="B60" s="54" t="n">
        <x:v>57</x:v>
      </x:c>
      <x:c r="C60" s="60" t="n">
        <x:f>EDATE('17_Gia_dinh_mo_hinh'!$C$4,B60-1)</x:f>
        <x:v>47939</x:v>
      </x:c>
      <x:c r="D60" s="61" t="n">
        <x:f>ROUNDUP('17_Gia_dinh_mo_hinh'!$E$4/30,0)</x:f>
        <x:v>6</x:v>
      </x:c>
      <x:c r="E60" s="62" t="n">
        <x:f>IF(AND(B60&gt;='17_Gia_dinh_mo_hinh'!$F$4+D60,B60&lt;'17_Gia_dinh_mo_hinh'!$F$4+D60+'17_Gia_dinh_mo_hinh'!$G$4),'17_Gia_dinh_mo_hinh'!$L$4*(1-'17_Gia_dinh_mo_hinh'!$M$4)/'17_Gia_dinh_mo_hinh'!$G$4,0)</x:f>
        <x:v>0</x:v>
      </x:c>
      <x:c r="F60" s="62" t="n">
        <x:f>0.70*E60+0.30*E59</x:f>
        <x:v>0</x:v>
      </x:c>
      <x:c r="G60" s="62" t="n">
        <x:f>IF(AND(B60&gt;='17_Gia_dinh_mo_hinh'!$H$4+D60,B60&lt;'17_Gia_dinh_mo_hinh'!$H$4+D60+'17_Gia_dinh_mo_hinh'!$I$4),'17_Gia_dinh_mo_hinh'!$L$4*(1-'17_Gia_dinh_mo_hinh'!$M$4)/'17_Gia_dinh_mo_hinh'!$I$4,0)</x:f>
        <x:v>544.4444444444445</x:v>
      </x:c>
      <x:c r="H60" s="62" t="n">
        <x:f>G60*(1-'17_Gia_dinh_mo_hinh'!$N$4)</x:f>
        <x:v>370.2222222222222</x:v>
      </x:c>
      <x:c r="I60" s="62" t="n">
        <x:f>G60*'17_Gia_dinh_mo_hinh'!$O$4</x:f>
        <x:v>19.055555555555557</x:v>
      </x:c>
      <x:c r="J60" s="62" t="n">
        <x:f>G60*'17_Gia_dinh_mo_hinh'!$P$4</x:f>
        <x:v>10.88888888888889</x:v>
      </x:c>
      <x:c r="K60" s="62" t="n">
        <x:f>IF(B60&lt;='17_Gia_dinh_mo_hinh'!$J$4,'17_Gia_dinh_mo_hinh'!$K$4*(1-MIN(0.95,'17_Gia_dinh_mo_hinh'!$M$4*0.75))/'17_Gia_dinh_mo_hinh'!$J$4,0)</x:f>
        <x:v>0</x:v>
      </x:c>
      <x:c r="L60" s="62" t="n">
        <x:f>S59*'17_Gia_dinh_mo_hinh'!$Q$4/12</x:f>
        <x:v>0</x:v>
      </x:c>
      <x:c r="M60" s="62" t="n">
        <x:f>G60-H60-I60-J60-L60</x:f>
        <x:v>144.27777777777786</x:v>
      </x:c>
      <x:c r="N60" s="62" t="n">
        <x:f>MAX(0,M60*'17_Gia_dinh_mo_hinh'!$S$4)</x:f>
        <x:v>28.855555555555572</x:v>
      </x:c>
      <x:c r="O60" s="62" t="n">
        <x:f>M60-N60</x:f>
        <x:v>115.42222222222229</x:v>
      </x:c>
      <x:c r="P60" s="62" t="n">
        <x:f>F60-K60-I60-J60-N60-L60</x:f>
        <x:v>-58.80000000000002</x:v>
      </x:c>
      <x:c r="Q60" s="62" t="n">
        <x:f>MIN(MAX(0,-(T59+P60)),MAX(0,'17_Gia_dinh_mo_hinh'!$R$4-S59))</x:f>
        <x:v>0</x:v>
      </x:c>
      <x:c r="R60" s="62" t="n">
        <x:f>MIN(MAX(0,T59+P60+Q60),S59+Q60)</x:f>
        <x:v>0</x:v>
      </x:c>
      <x:c r="S60" s="62" t="n">
        <x:f>S59+Q60-R60</x:f>
        <x:v>0</x:v>
      </x:c>
      <x:c r="T60" s="62" t="n">
        <x:f>MAX(0,T59+P60+Q60-R60)</x:f>
        <x:v>2447.8961799179</x:v>
      </x:c>
      <x:c r="U60" s="62" t="n">
        <x:f>MAX(0,-(T59+P60)-MAX(0,'17_Gia_dinh_mo_hinh'!$R$4-S59))</x:f>
        <x:v>0</x:v>
      </x:c>
      <x:c r="V60" s="61" t="str">
        <x:f>IF(B60&lt;'17_Gia_dinh_mo_hinh'!$F$4+D60,"Trước mở bán",IF(B60&lt;'17_Gia_dinh_mo_hinh'!$H$4+D60,"Bán hàng/thi công",IF(G60&gt;0,"Ghi nhận/bàn giao","Hậu bàn giao")))</x:f>
        <x:v>Ghi nhận/bàn giao</x:v>
      </x:c>
    </x:row>
    <x:row r="61">
      <x:c r="A61" s="54" t="str">
        <x:v>DA01</x:v>
      </x:c>
      <x:c r="B61" s="54" t="n">
        <x:v>58</x:v>
      </x:c>
      <x:c r="C61" s="60" t="n">
        <x:f>EDATE('17_Gia_dinh_mo_hinh'!$C$4,B61-1)</x:f>
        <x:v>47969</x:v>
      </x:c>
      <x:c r="D61" s="61" t="n">
        <x:f>ROUNDUP('17_Gia_dinh_mo_hinh'!$E$4/30,0)</x:f>
        <x:v>6</x:v>
      </x:c>
      <x:c r="E61" s="62" t="n">
        <x:f>IF(AND(B61&gt;='17_Gia_dinh_mo_hinh'!$F$4+D61,B61&lt;'17_Gia_dinh_mo_hinh'!$F$4+D61+'17_Gia_dinh_mo_hinh'!$G$4),'17_Gia_dinh_mo_hinh'!$L$4*(1-'17_Gia_dinh_mo_hinh'!$M$4)/'17_Gia_dinh_mo_hinh'!$G$4,0)</x:f>
        <x:v>0</x:v>
      </x:c>
      <x:c r="F61" s="62" t="n">
        <x:f>0.70*E61+0.30*E60</x:f>
        <x:v>0</x:v>
      </x:c>
      <x:c r="G61" s="62" t="n">
        <x:f>IF(AND(B61&gt;='17_Gia_dinh_mo_hinh'!$H$4+D61,B61&lt;'17_Gia_dinh_mo_hinh'!$H$4+D61+'17_Gia_dinh_mo_hinh'!$I$4),'17_Gia_dinh_mo_hinh'!$L$4*(1-'17_Gia_dinh_mo_hinh'!$M$4)/'17_Gia_dinh_mo_hinh'!$I$4,0)</x:f>
        <x:v>544.4444444444445</x:v>
      </x:c>
      <x:c r="H61" s="62" t="n">
        <x:f>G61*(1-'17_Gia_dinh_mo_hinh'!$N$4)</x:f>
        <x:v>370.2222222222222</x:v>
      </x:c>
      <x:c r="I61" s="62" t="n">
        <x:f>G61*'17_Gia_dinh_mo_hinh'!$O$4</x:f>
        <x:v>19.055555555555557</x:v>
      </x:c>
      <x:c r="J61" s="62" t="n">
        <x:f>G61*'17_Gia_dinh_mo_hinh'!$P$4</x:f>
        <x:v>10.88888888888889</x:v>
      </x:c>
      <x:c r="K61" s="62" t="n">
        <x:f>IF(B61&lt;='17_Gia_dinh_mo_hinh'!$J$4,'17_Gia_dinh_mo_hinh'!$K$4*(1-MIN(0.95,'17_Gia_dinh_mo_hinh'!$M$4*0.75))/'17_Gia_dinh_mo_hinh'!$J$4,0)</x:f>
        <x:v>0</x:v>
      </x:c>
      <x:c r="L61" s="62" t="n">
        <x:f>S60*'17_Gia_dinh_mo_hinh'!$Q$4/12</x:f>
        <x:v>0</x:v>
      </x:c>
      <x:c r="M61" s="62" t="n">
        <x:f>G61-H61-I61-J61-L61</x:f>
        <x:v>144.27777777777786</x:v>
      </x:c>
      <x:c r="N61" s="62" t="n">
        <x:f>MAX(0,M61*'17_Gia_dinh_mo_hinh'!$S$4)</x:f>
        <x:v>28.855555555555572</x:v>
      </x:c>
      <x:c r="O61" s="62" t="n">
        <x:f>M61-N61</x:f>
        <x:v>115.42222222222229</x:v>
      </x:c>
      <x:c r="P61" s="62" t="n">
        <x:f>F61-K61-I61-J61-N61-L61</x:f>
        <x:v>-58.80000000000002</x:v>
      </x:c>
      <x:c r="Q61" s="62" t="n">
        <x:f>MIN(MAX(0,-(T60+P61)),MAX(0,'17_Gia_dinh_mo_hinh'!$R$4-S60))</x:f>
        <x:v>0</x:v>
      </x:c>
      <x:c r="R61" s="62" t="n">
        <x:f>MIN(MAX(0,T60+P61+Q61),S60+Q61)</x:f>
        <x:v>0</x:v>
      </x:c>
      <x:c r="S61" s="62" t="n">
        <x:f>S60+Q61-R61</x:f>
        <x:v>0</x:v>
      </x:c>
      <x:c r="T61" s="62" t="n">
        <x:f>MAX(0,T60+P61+Q61-R61)</x:f>
        <x:v>2389.0961799179</x:v>
      </x:c>
      <x:c r="U61" s="62" t="n">
        <x:f>MAX(0,-(T60+P61)-MAX(0,'17_Gia_dinh_mo_hinh'!$R$4-S60))</x:f>
        <x:v>0</x:v>
      </x:c>
      <x:c r="V61" s="61" t="str">
        <x:f>IF(B61&lt;'17_Gia_dinh_mo_hinh'!$F$4+D61,"Trước mở bán",IF(B61&lt;'17_Gia_dinh_mo_hinh'!$H$4+D61,"Bán hàng/thi công",IF(G61&gt;0,"Ghi nhận/bàn giao","Hậu bàn giao")))</x:f>
        <x:v>Ghi nhận/bàn giao</x:v>
      </x:c>
    </x:row>
    <x:row r="62">
      <x:c r="A62" s="54" t="str">
        <x:v>DA01</x:v>
      </x:c>
      <x:c r="B62" s="54" t="n">
        <x:v>59</x:v>
      </x:c>
      <x:c r="C62" s="60" t="n">
        <x:f>EDATE('17_Gia_dinh_mo_hinh'!$C$4,B62-1)</x:f>
        <x:v>48000</x:v>
      </x:c>
      <x:c r="D62" s="61" t="n">
        <x:f>ROUNDUP('17_Gia_dinh_mo_hinh'!$E$4/30,0)</x:f>
        <x:v>6</x:v>
      </x:c>
      <x:c r="E62" s="62" t="n">
        <x:f>IF(AND(B62&gt;='17_Gia_dinh_mo_hinh'!$F$4+D62,B62&lt;'17_Gia_dinh_mo_hinh'!$F$4+D62+'17_Gia_dinh_mo_hinh'!$G$4),'17_Gia_dinh_mo_hinh'!$L$4*(1-'17_Gia_dinh_mo_hinh'!$M$4)/'17_Gia_dinh_mo_hinh'!$G$4,0)</x:f>
        <x:v>0</x:v>
      </x:c>
      <x:c r="F62" s="62" t="n">
        <x:f>0.70*E62+0.30*E61</x:f>
        <x:v>0</x:v>
      </x:c>
      <x:c r="G62" s="62" t="n">
        <x:f>IF(AND(B62&gt;='17_Gia_dinh_mo_hinh'!$H$4+D62,B62&lt;'17_Gia_dinh_mo_hinh'!$H$4+D62+'17_Gia_dinh_mo_hinh'!$I$4),'17_Gia_dinh_mo_hinh'!$L$4*(1-'17_Gia_dinh_mo_hinh'!$M$4)/'17_Gia_dinh_mo_hinh'!$I$4,0)</x:f>
        <x:v>544.4444444444445</x:v>
      </x:c>
      <x:c r="H62" s="62" t="n">
        <x:f>G62*(1-'17_Gia_dinh_mo_hinh'!$N$4)</x:f>
        <x:v>370.2222222222222</x:v>
      </x:c>
      <x:c r="I62" s="62" t="n">
        <x:f>G62*'17_Gia_dinh_mo_hinh'!$O$4</x:f>
        <x:v>19.055555555555557</x:v>
      </x:c>
      <x:c r="J62" s="62" t="n">
        <x:f>G62*'17_Gia_dinh_mo_hinh'!$P$4</x:f>
        <x:v>10.88888888888889</x:v>
      </x:c>
      <x:c r="K62" s="62" t="n">
        <x:f>IF(B62&lt;='17_Gia_dinh_mo_hinh'!$J$4,'17_Gia_dinh_mo_hinh'!$K$4*(1-MIN(0.95,'17_Gia_dinh_mo_hinh'!$M$4*0.75))/'17_Gia_dinh_mo_hinh'!$J$4,0)</x:f>
        <x:v>0</x:v>
      </x:c>
      <x:c r="L62" s="62" t="n">
        <x:f>S61*'17_Gia_dinh_mo_hinh'!$Q$4/12</x:f>
        <x:v>0</x:v>
      </x:c>
      <x:c r="M62" s="62" t="n">
        <x:f>G62-H62-I62-J62-L62</x:f>
        <x:v>144.27777777777786</x:v>
      </x:c>
      <x:c r="N62" s="62" t="n">
        <x:f>MAX(0,M62*'17_Gia_dinh_mo_hinh'!$S$4)</x:f>
        <x:v>28.855555555555572</x:v>
      </x:c>
      <x:c r="O62" s="62" t="n">
        <x:f>M62-N62</x:f>
        <x:v>115.42222222222229</x:v>
      </x:c>
      <x:c r="P62" s="62" t="n">
        <x:f>F62-K62-I62-J62-N62-L62</x:f>
        <x:v>-58.80000000000002</x:v>
      </x:c>
      <x:c r="Q62" s="62" t="n">
        <x:f>MIN(MAX(0,-(T61+P62)),MAX(0,'17_Gia_dinh_mo_hinh'!$R$4-S61))</x:f>
        <x:v>0</x:v>
      </x:c>
      <x:c r="R62" s="62" t="n">
        <x:f>MIN(MAX(0,T61+P62+Q62),S61+Q62)</x:f>
        <x:v>0</x:v>
      </x:c>
      <x:c r="S62" s="62" t="n">
        <x:f>S61+Q62-R62</x:f>
        <x:v>0</x:v>
      </x:c>
      <x:c r="T62" s="62" t="n">
        <x:f>MAX(0,T61+P62+Q62-R62)</x:f>
        <x:v>2330.2961799178997</x:v>
      </x:c>
      <x:c r="U62" s="62" t="n">
        <x:f>MAX(0,-(T61+P62)-MAX(0,'17_Gia_dinh_mo_hinh'!$R$4-S61))</x:f>
        <x:v>0</x:v>
      </x:c>
      <x:c r="V62" s="61" t="str">
        <x:f>IF(B62&lt;'17_Gia_dinh_mo_hinh'!$F$4+D62,"Trước mở bán",IF(B62&lt;'17_Gia_dinh_mo_hinh'!$H$4+D62,"Bán hàng/thi công",IF(G62&gt;0,"Ghi nhận/bàn giao","Hậu bàn giao")))</x:f>
        <x:v>Ghi nhận/bàn giao</x:v>
      </x:c>
    </x:row>
    <x:row r="63">
      <x:c r="A63" s="54" t="str">
        <x:v>DA01</x:v>
      </x:c>
      <x:c r="B63" s="54" t="n">
        <x:v>60</x:v>
      </x:c>
      <x:c r="C63" s="60" t="n">
        <x:f>EDATE('17_Gia_dinh_mo_hinh'!$C$4,B63-1)</x:f>
        <x:v>48030</x:v>
      </x:c>
      <x:c r="D63" s="61" t="n">
        <x:f>ROUNDUP('17_Gia_dinh_mo_hinh'!$E$4/30,0)</x:f>
        <x:v>6</x:v>
      </x:c>
      <x:c r="E63" s="62" t="n">
        <x:f>IF(AND(B63&gt;='17_Gia_dinh_mo_hinh'!$F$4+D63,B63&lt;'17_Gia_dinh_mo_hinh'!$F$4+D63+'17_Gia_dinh_mo_hinh'!$G$4),'17_Gia_dinh_mo_hinh'!$L$4*(1-'17_Gia_dinh_mo_hinh'!$M$4)/'17_Gia_dinh_mo_hinh'!$G$4,0)</x:f>
        <x:v>0</x:v>
      </x:c>
      <x:c r="F63" s="62" t="n">
        <x:f>0.70*E63+0.30*E62</x:f>
        <x:v>0</x:v>
      </x:c>
      <x:c r="G63" s="62" t="n">
        <x:f>IF(AND(B63&gt;='17_Gia_dinh_mo_hinh'!$H$4+D63,B63&lt;'17_Gia_dinh_mo_hinh'!$H$4+D63+'17_Gia_dinh_mo_hinh'!$I$4),'17_Gia_dinh_mo_hinh'!$L$4*(1-'17_Gia_dinh_mo_hinh'!$M$4)/'17_Gia_dinh_mo_hinh'!$I$4,0)</x:f>
        <x:v>544.4444444444445</x:v>
      </x:c>
      <x:c r="H63" s="62" t="n">
        <x:f>G63*(1-'17_Gia_dinh_mo_hinh'!$N$4)</x:f>
        <x:v>370.2222222222222</x:v>
      </x:c>
      <x:c r="I63" s="62" t="n">
        <x:f>G63*'17_Gia_dinh_mo_hinh'!$O$4</x:f>
        <x:v>19.055555555555557</x:v>
      </x:c>
      <x:c r="J63" s="62" t="n">
        <x:f>G63*'17_Gia_dinh_mo_hinh'!$P$4</x:f>
        <x:v>10.88888888888889</x:v>
      </x:c>
      <x:c r="K63" s="62" t="n">
        <x:f>IF(B63&lt;='17_Gia_dinh_mo_hinh'!$J$4,'17_Gia_dinh_mo_hinh'!$K$4*(1-MIN(0.95,'17_Gia_dinh_mo_hinh'!$M$4*0.75))/'17_Gia_dinh_mo_hinh'!$J$4,0)</x:f>
        <x:v>0</x:v>
      </x:c>
      <x:c r="L63" s="62" t="n">
        <x:f>S62*'17_Gia_dinh_mo_hinh'!$Q$4/12</x:f>
        <x:v>0</x:v>
      </x:c>
      <x:c r="M63" s="62" t="n">
        <x:f>G63-H63-I63-J63-L63</x:f>
        <x:v>144.27777777777786</x:v>
      </x:c>
      <x:c r="N63" s="62" t="n">
        <x:f>MAX(0,M63*'17_Gia_dinh_mo_hinh'!$S$4)</x:f>
        <x:v>28.855555555555572</x:v>
      </x:c>
      <x:c r="O63" s="62" t="n">
        <x:f>M63-N63</x:f>
        <x:v>115.42222222222229</x:v>
      </x:c>
      <x:c r="P63" s="62" t="n">
        <x:f>F63-K63-I63-J63-N63-L63</x:f>
        <x:v>-58.80000000000002</x:v>
      </x:c>
      <x:c r="Q63" s="62" t="n">
        <x:f>MIN(MAX(0,-(T62+P63)),MAX(0,'17_Gia_dinh_mo_hinh'!$R$4-S62))</x:f>
        <x:v>0</x:v>
      </x:c>
      <x:c r="R63" s="62" t="n">
        <x:f>MIN(MAX(0,T62+P63+Q63),S62+Q63)</x:f>
        <x:v>0</x:v>
      </x:c>
      <x:c r="S63" s="62" t="n">
        <x:f>S62+Q63-R63</x:f>
        <x:v>0</x:v>
      </x:c>
      <x:c r="T63" s="62" t="n">
        <x:f>MAX(0,T62+P63+Q63-R63)</x:f>
        <x:v>2271.4961799178996</x:v>
      </x:c>
      <x:c r="U63" s="62" t="n">
        <x:f>MAX(0,-(T62+P63)-MAX(0,'17_Gia_dinh_mo_hinh'!$R$4-S62))</x:f>
        <x:v>0</x:v>
      </x:c>
      <x:c r="V63" s="61" t="str">
        <x:f>IF(B63&lt;'17_Gia_dinh_mo_hinh'!$F$4+D63,"Trước mở bán",IF(B63&lt;'17_Gia_dinh_mo_hinh'!$H$4+D63,"Bán hàng/thi công",IF(G63&gt;0,"Ghi nhận/bàn giao","Hậu bàn giao")))</x:f>
        <x:v>Ghi nhận/bàn giao</x:v>
      </x:c>
    </x:row>
    <x:row r="64">
      <x:c r="A64" s="54" t="str">
        <x:v>DA02</x:v>
      </x:c>
      <x:c r="B64" s="54" t="n">
        <x:v>1</x:v>
      </x:c>
      <x:c r="C64" s="60" t="n">
        <x:f>EDATE('17_Gia_dinh_mo_hinh'!$C$5,B64-1)</x:f>
        <x:v>46235</x:v>
      </x:c>
      <x:c r="D64" s="61" t="n">
        <x:f>ROUNDUP('17_Gia_dinh_mo_hinh'!$E$5/30,0)</x:f>
        <x:v>3</x:v>
      </x:c>
      <x:c r="E64" s="62" t="n">
        <x:f>IF(AND(B64&gt;='17_Gia_dinh_mo_hinh'!$F$5+D64,B64&lt;'17_Gia_dinh_mo_hinh'!$F$5+D64+'17_Gia_dinh_mo_hinh'!$G$5),'17_Gia_dinh_mo_hinh'!$L$5*(1-'17_Gia_dinh_mo_hinh'!$M$5)/'17_Gia_dinh_mo_hinh'!$G$5,0)</x:f>
        <x:v>0</x:v>
      </x:c>
      <x:c r="F64" s="62" t="n">
        <x:f>0.70*E64+0.30*0</x:f>
        <x:v>0</x:v>
      </x:c>
      <x:c r="G64" s="62" t="n">
        <x:f>IF(AND(B64&gt;='17_Gia_dinh_mo_hinh'!$H$5+D64,B64&lt;'17_Gia_dinh_mo_hinh'!$H$5+D64+'17_Gia_dinh_mo_hinh'!$I$5),'17_Gia_dinh_mo_hinh'!$L$5*(1-'17_Gia_dinh_mo_hinh'!$M$5)/'17_Gia_dinh_mo_hinh'!$I$5,0)</x:f>
        <x:v>0</x:v>
      </x:c>
      <x:c r="H64" s="62" t="n">
        <x:f>G64*(1-'17_Gia_dinh_mo_hinh'!$N$5)</x:f>
        <x:v>0</x:v>
      </x:c>
      <x:c r="I64" s="62" t="n">
        <x:f>G64*'17_Gia_dinh_mo_hinh'!$O$5</x:f>
        <x:v>0</x:v>
      </x:c>
      <x:c r="J64" s="62" t="n">
        <x:f>G64*'17_Gia_dinh_mo_hinh'!$P$5</x:f>
        <x:v>0</x:v>
      </x:c>
      <x:c r="K64" s="62" t="n">
        <x:f>IF(B64&lt;='17_Gia_dinh_mo_hinh'!$J$5,'17_Gia_dinh_mo_hinh'!$K$5*(1-MIN(0.95,'17_Gia_dinh_mo_hinh'!$M$5*0.75))/'17_Gia_dinh_mo_hinh'!$J$5,0)</x:f>
        <x:v>171.42857142857142</x:v>
      </x:c>
      <x:c r="L64" s="62" t="n">
        <x:f>'17_Gia_dinh_mo_hinh'!$U$5*'17_Gia_dinh_mo_hinh'!$Q$5/12</x:f>
        <x:v>15.184800000000001</x:v>
      </x:c>
      <x:c r="M64" s="62" t="n">
        <x:f>G64-H64-I64-J64-L64</x:f>
        <x:v>-15.184800000000001</x:v>
      </x:c>
      <x:c r="N64" s="62" t="n">
        <x:f>MAX(0,M64*'17_Gia_dinh_mo_hinh'!$S$5)</x:f>
        <x:v>0</x:v>
      </x:c>
      <x:c r="O64" s="62" t="n">
        <x:f>M64-N64</x:f>
        <x:v>-15.184800000000001</x:v>
      </x:c>
      <x:c r="P64" s="62" t="n">
        <x:f>F64-K64-I64-J64-N64-L64</x:f>
        <x:v>-186.6133714285714</x:v>
      </x:c>
      <x:c r="Q64" s="62" t="n">
        <x:f>MIN(MAX(0,-('17_Gia_dinh_mo_hinh'!$T$5+P64)),MAX(0,'17_Gia_dinh_mo_hinh'!$R$5-'17_Gia_dinh_mo_hinh'!$U$5))</x:f>
        <x:v>46.61337142857141</x:v>
      </x:c>
      <x:c r="R64" s="62" t="n">
        <x:f>MIN(MAX(0,'17_Gia_dinh_mo_hinh'!$T$5+P64+Q64),'17_Gia_dinh_mo_hinh'!$U$5+Q64)</x:f>
        <x:v>0</x:v>
      </x:c>
      <x:c r="S64" s="62" t="n">
        <x:f>'17_Gia_dinh_mo_hinh'!$U$5+Q64-R64</x:f>
        <x:v>1964.6933714285713</x:v>
      </x:c>
      <x:c r="T64" s="62" t="n">
        <x:f>MAX(0,'17_Gia_dinh_mo_hinh'!$T$5+P64+Q64-R64)</x:f>
        <x:v>0</x:v>
      </x:c>
      <x:c r="U64" s="62" t="n">
        <x:f>MAX(0,-('17_Gia_dinh_mo_hinh'!$T$5+P64)-MAX(0,'17_Gia_dinh_mo_hinh'!$R$5-'17_Gia_dinh_mo_hinh'!$U$5))</x:f>
        <x:v>0</x:v>
      </x:c>
      <x:c r="V64" s="61" t="str">
        <x:f>IF(B64&lt;'17_Gia_dinh_mo_hinh'!$F$5+D64,"Trước mở bán",IF(B64&lt;'17_Gia_dinh_mo_hinh'!$H$5+D64,"Bán hàng/thi công",IF(G64&gt;0,"Ghi nhận/bàn giao","Hậu bàn giao")))</x:f>
        <x:v>Trước mở bán</x:v>
      </x:c>
    </x:row>
    <x:row r="65">
      <x:c r="A65" s="54" t="str">
        <x:v>DA02</x:v>
      </x:c>
      <x:c r="B65" s="54" t="n">
        <x:v>2</x:v>
      </x:c>
      <x:c r="C65" s="60" t="n">
        <x:f>EDATE('17_Gia_dinh_mo_hinh'!$C$5,B65-1)</x:f>
        <x:v>46266</x:v>
      </x:c>
      <x:c r="D65" s="61" t="n">
        <x:f>ROUNDUP('17_Gia_dinh_mo_hinh'!$E$5/30,0)</x:f>
        <x:v>3</x:v>
      </x:c>
      <x:c r="E65" s="62" t="n">
        <x:f>IF(AND(B65&gt;='17_Gia_dinh_mo_hinh'!$F$5+D65,B65&lt;'17_Gia_dinh_mo_hinh'!$F$5+D65+'17_Gia_dinh_mo_hinh'!$G$5),'17_Gia_dinh_mo_hinh'!$L$5*(1-'17_Gia_dinh_mo_hinh'!$M$5)/'17_Gia_dinh_mo_hinh'!$G$5,0)</x:f>
        <x:v>0</x:v>
      </x:c>
      <x:c r="F65" s="62" t="n">
        <x:f>0.70*E65+0.30*E64</x:f>
        <x:v>0</x:v>
      </x:c>
      <x:c r="G65" s="62" t="n">
        <x:f>IF(AND(B65&gt;='17_Gia_dinh_mo_hinh'!$H$5+D65,B65&lt;'17_Gia_dinh_mo_hinh'!$H$5+D65+'17_Gia_dinh_mo_hinh'!$I$5),'17_Gia_dinh_mo_hinh'!$L$5*(1-'17_Gia_dinh_mo_hinh'!$M$5)/'17_Gia_dinh_mo_hinh'!$I$5,0)</x:f>
        <x:v>0</x:v>
      </x:c>
      <x:c r="H65" s="62" t="n">
        <x:f>G65*(1-'17_Gia_dinh_mo_hinh'!$N$5)</x:f>
        <x:v>0</x:v>
      </x:c>
      <x:c r="I65" s="62" t="n">
        <x:f>G65*'17_Gia_dinh_mo_hinh'!$O$5</x:f>
        <x:v>0</x:v>
      </x:c>
      <x:c r="J65" s="62" t="n">
        <x:f>G65*'17_Gia_dinh_mo_hinh'!$P$5</x:f>
        <x:v>0</x:v>
      </x:c>
      <x:c r="K65" s="62" t="n">
        <x:f>IF(B65&lt;='17_Gia_dinh_mo_hinh'!$J$5,'17_Gia_dinh_mo_hinh'!$K$5*(1-MIN(0.95,'17_Gia_dinh_mo_hinh'!$M$5*0.75))/'17_Gia_dinh_mo_hinh'!$J$5,0)</x:f>
        <x:v>171.42857142857142</x:v>
      </x:c>
      <x:c r="L65" s="62" t="n">
        <x:f>S64*'17_Gia_dinh_mo_hinh'!$Q$5/12</x:f>
        <x:v>15.553822523809522</x:v>
      </x:c>
      <x:c r="M65" s="62" t="n">
        <x:f>G65-H65-I65-J65-L65</x:f>
        <x:v>-15.553822523809522</x:v>
      </x:c>
      <x:c r="N65" s="62" t="n">
        <x:f>MAX(0,M65*'17_Gia_dinh_mo_hinh'!$S$5)</x:f>
        <x:v>0</x:v>
      </x:c>
      <x:c r="O65" s="62" t="n">
        <x:f>M65-N65</x:f>
        <x:v>-15.553822523809522</x:v>
      </x:c>
      <x:c r="P65" s="62" t="n">
        <x:f>F65-K65-I65-J65-N65-L65</x:f>
        <x:v>-186.98239395238093</x:v>
      </x:c>
      <x:c r="Q65" s="62" t="n">
        <x:f>MIN(MAX(0,-(T64+P65)),MAX(0,'17_Gia_dinh_mo_hinh'!$R$5-S64))</x:f>
        <x:v>186.98239395238093</x:v>
      </x:c>
      <x:c r="R65" s="62" t="n">
        <x:f>MIN(MAX(0,T64+P65+Q65),S64+Q65)</x:f>
        <x:v>0</x:v>
      </x:c>
      <x:c r="S65" s="62" t="n">
        <x:f>S64+Q65-R65</x:f>
        <x:v>2151.6757653809523</x:v>
      </x:c>
      <x:c r="T65" s="62" t="n">
        <x:f>MAX(0,T64+P65+Q65-R65)</x:f>
        <x:v>0</x:v>
      </x:c>
      <x:c r="U65" s="62" t="n">
        <x:f>MAX(0,-(T64+P65)-MAX(0,'17_Gia_dinh_mo_hinh'!$R$5-S64))</x:f>
        <x:v>0</x:v>
      </x:c>
      <x:c r="V65" s="61" t="str">
        <x:f>IF(B65&lt;'17_Gia_dinh_mo_hinh'!$F$5+D65,"Trước mở bán",IF(B65&lt;'17_Gia_dinh_mo_hinh'!$H$5+D65,"Bán hàng/thi công",IF(G65&gt;0,"Ghi nhận/bàn giao","Hậu bàn giao")))</x:f>
        <x:v>Trước mở bán</x:v>
      </x:c>
    </x:row>
    <x:row r="66">
      <x:c r="A66" s="54" t="str">
        <x:v>DA02</x:v>
      </x:c>
      <x:c r="B66" s="54" t="n">
        <x:v>3</x:v>
      </x:c>
      <x:c r="C66" s="60" t="n">
        <x:f>EDATE('17_Gia_dinh_mo_hinh'!$C$5,B66-1)</x:f>
        <x:v>46296</x:v>
      </x:c>
      <x:c r="D66" s="61" t="n">
        <x:f>ROUNDUP('17_Gia_dinh_mo_hinh'!$E$5/30,0)</x:f>
        <x:v>3</x:v>
      </x:c>
      <x:c r="E66" s="62" t="n">
        <x:f>IF(AND(B66&gt;='17_Gia_dinh_mo_hinh'!$F$5+D66,B66&lt;'17_Gia_dinh_mo_hinh'!$F$5+D66+'17_Gia_dinh_mo_hinh'!$G$5),'17_Gia_dinh_mo_hinh'!$L$5*(1-'17_Gia_dinh_mo_hinh'!$M$5)/'17_Gia_dinh_mo_hinh'!$G$5,0)</x:f>
        <x:v>0</x:v>
      </x:c>
      <x:c r="F66" s="62" t="n">
        <x:f>0.70*E66+0.30*E65</x:f>
        <x:v>0</x:v>
      </x:c>
      <x:c r="G66" s="62" t="n">
        <x:f>IF(AND(B66&gt;='17_Gia_dinh_mo_hinh'!$H$5+D66,B66&lt;'17_Gia_dinh_mo_hinh'!$H$5+D66+'17_Gia_dinh_mo_hinh'!$I$5),'17_Gia_dinh_mo_hinh'!$L$5*(1-'17_Gia_dinh_mo_hinh'!$M$5)/'17_Gia_dinh_mo_hinh'!$I$5,0)</x:f>
        <x:v>0</x:v>
      </x:c>
      <x:c r="H66" s="62" t="n">
        <x:f>G66*(1-'17_Gia_dinh_mo_hinh'!$N$5)</x:f>
        <x:v>0</x:v>
      </x:c>
      <x:c r="I66" s="62" t="n">
        <x:f>G66*'17_Gia_dinh_mo_hinh'!$O$5</x:f>
        <x:v>0</x:v>
      </x:c>
      <x:c r="J66" s="62" t="n">
        <x:f>G66*'17_Gia_dinh_mo_hinh'!$P$5</x:f>
        <x:v>0</x:v>
      </x:c>
      <x:c r="K66" s="62" t="n">
        <x:f>IF(B66&lt;='17_Gia_dinh_mo_hinh'!$J$5,'17_Gia_dinh_mo_hinh'!$K$5*(1-MIN(0.95,'17_Gia_dinh_mo_hinh'!$M$5*0.75))/'17_Gia_dinh_mo_hinh'!$J$5,0)</x:f>
        <x:v>171.42857142857142</x:v>
      </x:c>
      <x:c r="L66" s="62" t="n">
        <x:f>S65*'17_Gia_dinh_mo_hinh'!$Q$5/12</x:f>
        <x:v>17.03409980926587</x:v>
      </x:c>
      <x:c r="M66" s="62" t="n">
        <x:f>G66-H66-I66-J66-L66</x:f>
        <x:v>-17.03409980926587</x:v>
      </x:c>
      <x:c r="N66" s="62" t="n">
        <x:f>MAX(0,M66*'17_Gia_dinh_mo_hinh'!$S$5)</x:f>
        <x:v>0</x:v>
      </x:c>
      <x:c r="O66" s="62" t="n">
        <x:f>M66-N66</x:f>
        <x:v>-17.03409980926587</x:v>
      </x:c>
      <x:c r="P66" s="62" t="n">
        <x:f>F66-K66-I66-J66-N66-L66</x:f>
        <x:v>-188.4626712378373</x:v>
      </x:c>
      <x:c r="Q66" s="62" t="n">
        <x:f>MIN(MAX(0,-(T65+P66)),MAX(0,'17_Gia_dinh_mo_hinh'!$R$5-S65))</x:f>
        <x:v>188.4626712378373</x:v>
      </x:c>
      <x:c r="R66" s="62" t="n">
        <x:f>MIN(MAX(0,T65+P66+Q66),S65+Q66)</x:f>
        <x:v>0</x:v>
      </x:c>
      <x:c r="S66" s="62" t="n">
        <x:f>S65+Q66-R66</x:f>
        <x:v>2340.1384366187895</x:v>
      </x:c>
      <x:c r="T66" s="62" t="n">
        <x:f>MAX(0,T65+P66+Q66-R66)</x:f>
        <x:v>0</x:v>
      </x:c>
      <x:c r="U66" s="62" t="n">
        <x:f>MAX(0,-(T65+P66)-MAX(0,'17_Gia_dinh_mo_hinh'!$R$5-S65))</x:f>
        <x:v>0</x:v>
      </x:c>
      <x:c r="V66" s="61" t="str">
        <x:f>IF(B66&lt;'17_Gia_dinh_mo_hinh'!$F$5+D66,"Trước mở bán",IF(B66&lt;'17_Gia_dinh_mo_hinh'!$H$5+D66,"Bán hàng/thi công",IF(G66&gt;0,"Ghi nhận/bàn giao","Hậu bàn giao")))</x:f>
        <x:v>Trước mở bán</x:v>
      </x:c>
    </x:row>
    <x:row r="67">
      <x:c r="A67" s="54" t="str">
        <x:v>DA02</x:v>
      </x:c>
      <x:c r="B67" s="54" t="n">
        <x:v>4</x:v>
      </x:c>
      <x:c r="C67" s="60" t="n">
        <x:f>EDATE('17_Gia_dinh_mo_hinh'!$C$5,B67-1)</x:f>
        <x:v>46327</x:v>
      </x:c>
      <x:c r="D67" s="61" t="n">
        <x:f>ROUNDUP('17_Gia_dinh_mo_hinh'!$E$5/30,0)</x:f>
        <x:v>3</x:v>
      </x:c>
      <x:c r="E67" s="62" t="n">
        <x:f>IF(AND(B67&gt;='17_Gia_dinh_mo_hinh'!$F$5+D67,B67&lt;'17_Gia_dinh_mo_hinh'!$F$5+D67+'17_Gia_dinh_mo_hinh'!$G$5),'17_Gia_dinh_mo_hinh'!$L$5*(1-'17_Gia_dinh_mo_hinh'!$M$5)/'17_Gia_dinh_mo_hinh'!$G$5,0)</x:f>
        <x:v>0</x:v>
      </x:c>
      <x:c r="F67" s="62" t="n">
        <x:f>0.70*E67+0.30*E66</x:f>
        <x:v>0</x:v>
      </x:c>
      <x:c r="G67" s="62" t="n">
        <x:f>IF(AND(B67&gt;='17_Gia_dinh_mo_hinh'!$H$5+D67,B67&lt;'17_Gia_dinh_mo_hinh'!$H$5+D67+'17_Gia_dinh_mo_hinh'!$I$5),'17_Gia_dinh_mo_hinh'!$L$5*(1-'17_Gia_dinh_mo_hinh'!$M$5)/'17_Gia_dinh_mo_hinh'!$I$5,0)</x:f>
        <x:v>0</x:v>
      </x:c>
      <x:c r="H67" s="62" t="n">
        <x:f>G67*(1-'17_Gia_dinh_mo_hinh'!$N$5)</x:f>
        <x:v>0</x:v>
      </x:c>
      <x:c r="I67" s="62" t="n">
        <x:f>G67*'17_Gia_dinh_mo_hinh'!$O$5</x:f>
        <x:v>0</x:v>
      </x:c>
      <x:c r="J67" s="62" t="n">
        <x:f>G67*'17_Gia_dinh_mo_hinh'!$P$5</x:f>
        <x:v>0</x:v>
      </x:c>
      <x:c r="K67" s="62" t="n">
        <x:f>IF(B67&lt;='17_Gia_dinh_mo_hinh'!$J$5,'17_Gia_dinh_mo_hinh'!$K$5*(1-MIN(0.95,'17_Gia_dinh_mo_hinh'!$M$5*0.75))/'17_Gia_dinh_mo_hinh'!$J$5,0)</x:f>
        <x:v>171.42857142857142</x:v>
      </x:c>
      <x:c r="L67" s="62" t="n">
        <x:f>S66*'17_Gia_dinh_mo_hinh'!$Q$5/12</x:f>
        <x:v>18.526095956565417</x:v>
      </x:c>
      <x:c r="M67" s="62" t="n">
        <x:f>G67-H67-I67-J67-L67</x:f>
        <x:v>-18.526095956565417</x:v>
      </x:c>
      <x:c r="N67" s="62" t="n">
        <x:f>MAX(0,M67*'17_Gia_dinh_mo_hinh'!$S$5)</x:f>
        <x:v>0</x:v>
      </x:c>
      <x:c r="O67" s="62" t="n">
        <x:f>M67-N67</x:f>
        <x:v>-18.526095956565417</x:v>
      </x:c>
      <x:c r="P67" s="62" t="n">
        <x:f>F67-K67-I67-J67-N67-L67</x:f>
        <x:v>-189.95466738513684</x:v>
      </x:c>
      <x:c r="Q67" s="62" t="n">
        <x:f>MIN(MAX(0,-(T66+P67)),MAX(0,'17_Gia_dinh_mo_hinh'!$R$5-S66))</x:f>
        <x:v>189.95466738513684</x:v>
      </x:c>
      <x:c r="R67" s="62" t="n">
        <x:f>MIN(MAX(0,T66+P67+Q67),S66+Q67)</x:f>
        <x:v>0</x:v>
      </x:c>
      <x:c r="S67" s="62" t="n">
        <x:f>S66+Q67-R67</x:f>
        <x:v>2530.0931040039263</x:v>
      </x:c>
      <x:c r="T67" s="62" t="n">
        <x:f>MAX(0,T66+P67+Q67-R67)</x:f>
        <x:v>0</x:v>
      </x:c>
      <x:c r="U67" s="62" t="n">
        <x:f>MAX(0,-(T66+P67)-MAX(0,'17_Gia_dinh_mo_hinh'!$R$5-S66))</x:f>
        <x:v>0</x:v>
      </x:c>
      <x:c r="V67" s="61" t="str">
        <x:f>IF(B67&lt;'17_Gia_dinh_mo_hinh'!$F$5+D67,"Trước mở bán",IF(B67&lt;'17_Gia_dinh_mo_hinh'!$H$5+D67,"Bán hàng/thi công",IF(G67&gt;0,"Ghi nhận/bàn giao","Hậu bàn giao")))</x:f>
        <x:v>Trước mở bán</x:v>
      </x:c>
    </x:row>
    <x:row r="68">
      <x:c r="A68" s="54" t="str">
        <x:v>DA02</x:v>
      </x:c>
      <x:c r="B68" s="54" t="n">
        <x:v>5</x:v>
      </x:c>
      <x:c r="C68" s="60" t="n">
        <x:f>EDATE('17_Gia_dinh_mo_hinh'!$C$5,B68-1)</x:f>
        <x:v>46357</x:v>
      </x:c>
      <x:c r="D68" s="61" t="n">
        <x:f>ROUNDUP('17_Gia_dinh_mo_hinh'!$E$5/30,0)</x:f>
        <x:v>3</x:v>
      </x:c>
      <x:c r="E68" s="62" t="n">
        <x:f>IF(AND(B68&gt;='17_Gia_dinh_mo_hinh'!$F$5+D68,B68&lt;'17_Gia_dinh_mo_hinh'!$F$5+D68+'17_Gia_dinh_mo_hinh'!$G$5),'17_Gia_dinh_mo_hinh'!$L$5*(1-'17_Gia_dinh_mo_hinh'!$M$5)/'17_Gia_dinh_mo_hinh'!$G$5,0)</x:f>
        <x:v>0</x:v>
      </x:c>
      <x:c r="F68" s="62" t="n">
        <x:f>0.70*E68+0.30*E67</x:f>
        <x:v>0</x:v>
      </x:c>
      <x:c r="G68" s="62" t="n">
        <x:f>IF(AND(B68&gt;='17_Gia_dinh_mo_hinh'!$H$5+D68,B68&lt;'17_Gia_dinh_mo_hinh'!$H$5+D68+'17_Gia_dinh_mo_hinh'!$I$5),'17_Gia_dinh_mo_hinh'!$L$5*(1-'17_Gia_dinh_mo_hinh'!$M$5)/'17_Gia_dinh_mo_hinh'!$I$5,0)</x:f>
        <x:v>0</x:v>
      </x:c>
      <x:c r="H68" s="62" t="n">
        <x:f>G68*(1-'17_Gia_dinh_mo_hinh'!$N$5)</x:f>
        <x:v>0</x:v>
      </x:c>
      <x:c r="I68" s="62" t="n">
        <x:f>G68*'17_Gia_dinh_mo_hinh'!$O$5</x:f>
        <x:v>0</x:v>
      </x:c>
      <x:c r="J68" s="62" t="n">
        <x:f>G68*'17_Gia_dinh_mo_hinh'!$P$5</x:f>
        <x:v>0</x:v>
      </x:c>
      <x:c r="K68" s="62" t="n">
        <x:f>IF(B68&lt;='17_Gia_dinh_mo_hinh'!$J$5,'17_Gia_dinh_mo_hinh'!$K$5*(1-MIN(0.95,'17_Gia_dinh_mo_hinh'!$M$5*0.75))/'17_Gia_dinh_mo_hinh'!$J$5,0)</x:f>
        <x:v>171.42857142857142</x:v>
      </x:c>
      <x:c r="L68" s="62" t="n">
        <x:f>S67*'17_Gia_dinh_mo_hinh'!$Q$5/12</x:f>
        <x:v>20.029903740031084</x:v>
      </x:c>
      <x:c r="M68" s="62" t="n">
        <x:f>G68-H68-I68-J68-L68</x:f>
        <x:v>-20.029903740031084</x:v>
      </x:c>
      <x:c r="N68" s="62" t="n">
        <x:f>MAX(0,M68*'17_Gia_dinh_mo_hinh'!$S$5)</x:f>
        <x:v>0</x:v>
      </x:c>
      <x:c r="O68" s="62" t="n">
        <x:f>M68-N68</x:f>
        <x:v>-20.029903740031084</x:v>
      </x:c>
      <x:c r="P68" s="62" t="n">
        <x:f>F68-K68-I68-J68-N68-L68</x:f>
        <x:v>-191.4584751686025</x:v>
      </x:c>
      <x:c r="Q68" s="62" t="n">
        <x:f>MIN(MAX(0,-(T67+P68)),MAX(0,'17_Gia_dinh_mo_hinh'!$R$5-S67))</x:f>
        <x:v>191.4584751686025</x:v>
      </x:c>
      <x:c r="R68" s="62" t="n">
        <x:f>MIN(MAX(0,T67+P68+Q68),S67+Q68)</x:f>
        <x:v>0</x:v>
      </x:c>
      <x:c r="S68" s="62" t="n">
        <x:f>S67+Q68-R68</x:f>
        <x:v>2721.551579172529</x:v>
      </x:c>
      <x:c r="T68" s="62" t="n">
        <x:f>MAX(0,T67+P68+Q68-R68)</x:f>
        <x:v>0</x:v>
      </x:c>
      <x:c r="U68" s="62" t="n">
        <x:f>MAX(0,-(T67+P68)-MAX(0,'17_Gia_dinh_mo_hinh'!$R$5-S67))</x:f>
        <x:v>0</x:v>
      </x:c>
      <x:c r="V68" s="61" t="str">
        <x:f>IF(B68&lt;'17_Gia_dinh_mo_hinh'!$F$5+D68,"Trước mở bán",IF(B68&lt;'17_Gia_dinh_mo_hinh'!$H$5+D68,"Bán hàng/thi công",IF(G68&gt;0,"Ghi nhận/bàn giao","Hậu bàn giao")))</x:f>
        <x:v>Trước mở bán</x:v>
      </x:c>
    </x:row>
    <x:row r="69">
      <x:c r="A69" s="54" t="str">
        <x:v>DA02</x:v>
      </x:c>
      <x:c r="B69" s="54" t="n">
        <x:v>6</x:v>
      </x:c>
      <x:c r="C69" s="60" t="n">
        <x:f>EDATE('17_Gia_dinh_mo_hinh'!$C$5,B69-1)</x:f>
        <x:v>46388</x:v>
      </x:c>
      <x:c r="D69" s="61" t="n">
        <x:f>ROUNDUP('17_Gia_dinh_mo_hinh'!$E$5/30,0)</x:f>
        <x:v>3</x:v>
      </x:c>
      <x:c r="E69" s="62" t="n">
        <x:f>IF(AND(B69&gt;='17_Gia_dinh_mo_hinh'!$F$5+D69,B69&lt;'17_Gia_dinh_mo_hinh'!$F$5+D69+'17_Gia_dinh_mo_hinh'!$G$5),'17_Gia_dinh_mo_hinh'!$L$5*(1-'17_Gia_dinh_mo_hinh'!$M$5)/'17_Gia_dinh_mo_hinh'!$G$5,0)</x:f>
        <x:v>0</x:v>
      </x:c>
      <x:c r="F69" s="62" t="n">
        <x:f>0.70*E69+0.30*E68</x:f>
        <x:v>0</x:v>
      </x:c>
      <x:c r="G69" s="62" t="n">
        <x:f>IF(AND(B69&gt;='17_Gia_dinh_mo_hinh'!$H$5+D69,B69&lt;'17_Gia_dinh_mo_hinh'!$H$5+D69+'17_Gia_dinh_mo_hinh'!$I$5),'17_Gia_dinh_mo_hinh'!$L$5*(1-'17_Gia_dinh_mo_hinh'!$M$5)/'17_Gia_dinh_mo_hinh'!$I$5,0)</x:f>
        <x:v>0</x:v>
      </x:c>
      <x:c r="H69" s="62" t="n">
        <x:f>G69*(1-'17_Gia_dinh_mo_hinh'!$N$5)</x:f>
        <x:v>0</x:v>
      </x:c>
      <x:c r="I69" s="62" t="n">
        <x:f>G69*'17_Gia_dinh_mo_hinh'!$O$5</x:f>
        <x:v>0</x:v>
      </x:c>
      <x:c r="J69" s="62" t="n">
        <x:f>G69*'17_Gia_dinh_mo_hinh'!$P$5</x:f>
        <x:v>0</x:v>
      </x:c>
      <x:c r="K69" s="62" t="n">
        <x:f>IF(B69&lt;='17_Gia_dinh_mo_hinh'!$J$5,'17_Gia_dinh_mo_hinh'!$K$5*(1-MIN(0.95,'17_Gia_dinh_mo_hinh'!$M$5*0.75))/'17_Gia_dinh_mo_hinh'!$J$5,0)</x:f>
        <x:v>171.42857142857142</x:v>
      </x:c>
      <x:c r="L69" s="62" t="n">
        <x:f>S68*'17_Gia_dinh_mo_hinh'!$Q$5/12</x:f>
        <x:v>21.545616668449185</x:v>
      </x:c>
      <x:c r="M69" s="62" t="n">
        <x:f>G69-H69-I69-J69-L69</x:f>
        <x:v>-21.545616668449185</x:v>
      </x:c>
      <x:c r="N69" s="62" t="n">
        <x:f>MAX(0,M69*'17_Gia_dinh_mo_hinh'!$S$5)</x:f>
        <x:v>0</x:v>
      </x:c>
      <x:c r="O69" s="62" t="n">
        <x:f>M69-N69</x:f>
        <x:v>-21.545616668449185</x:v>
      </x:c>
      <x:c r="P69" s="62" t="n">
        <x:f>F69-K69-I69-J69-N69-L69</x:f>
        <x:v>-192.9741880970206</x:v>
      </x:c>
      <x:c r="Q69" s="62" t="n">
        <x:f>MIN(MAX(0,-(T68+P69)),MAX(0,'17_Gia_dinh_mo_hinh'!$R$5-S68))</x:f>
        <x:v>192.9741880970206</x:v>
      </x:c>
      <x:c r="R69" s="62" t="n">
        <x:f>MIN(MAX(0,T68+P69+Q69),S68+Q69)</x:f>
        <x:v>0</x:v>
      </x:c>
      <x:c r="S69" s="62" t="n">
        <x:f>S68+Q69-R69</x:f>
        <x:v>2914.5257672695493</x:v>
      </x:c>
      <x:c r="T69" s="62" t="n">
        <x:f>MAX(0,T68+P69+Q69-R69)</x:f>
        <x:v>0</x:v>
      </x:c>
      <x:c r="U69" s="62" t="n">
        <x:f>MAX(0,-(T68+P69)-MAX(0,'17_Gia_dinh_mo_hinh'!$R$5-S68))</x:f>
        <x:v>0</x:v>
      </x:c>
      <x:c r="V69" s="61" t="str">
        <x:f>IF(B69&lt;'17_Gia_dinh_mo_hinh'!$F$5+D69,"Trước mở bán",IF(B69&lt;'17_Gia_dinh_mo_hinh'!$H$5+D69,"Bán hàng/thi công",IF(G69&gt;0,"Ghi nhận/bàn giao","Hậu bàn giao")))</x:f>
        <x:v>Trước mở bán</x:v>
      </x:c>
    </x:row>
    <x:row r="70">
      <x:c r="A70" s="54" t="str">
        <x:v>DA02</x:v>
      </x:c>
      <x:c r="B70" s="54" t="n">
        <x:v>7</x:v>
      </x:c>
      <x:c r="C70" s="60" t="n">
        <x:f>EDATE('17_Gia_dinh_mo_hinh'!$C$5,B70-1)</x:f>
        <x:v>46419</x:v>
      </x:c>
      <x:c r="D70" s="61" t="n">
        <x:f>ROUNDUP('17_Gia_dinh_mo_hinh'!$E$5/30,0)</x:f>
        <x:v>3</x:v>
      </x:c>
      <x:c r="E70" s="62" t="n">
        <x:f>IF(AND(B70&gt;='17_Gia_dinh_mo_hinh'!$F$5+D70,B70&lt;'17_Gia_dinh_mo_hinh'!$F$5+D70+'17_Gia_dinh_mo_hinh'!$G$5),'17_Gia_dinh_mo_hinh'!$L$5*(1-'17_Gia_dinh_mo_hinh'!$M$5)/'17_Gia_dinh_mo_hinh'!$G$5,0)</x:f>
        <x:v>0</x:v>
      </x:c>
      <x:c r="F70" s="62" t="n">
        <x:f>0.70*E70+0.30*E69</x:f>
        <x:v>0</x:v>
      </x:c>
      <x:c r="G70" s="62" t="n">
        <x:f>IF(AND(B70&gt;='17_Gia_dinh_mo_hinh'!$H$5+D70,B70&lt;'17_Gia_dinh_mo_hinh'!$H$5+D70+'17_Gia_dinh_mo_hinh'!$I$5),'17_Gia_dinh_mo_hinh'!$L$5*(1-'17_Gia_dinh_mo_hinh'!$M$5)/'17_Gia_dinh_mo_hinh'!$I$5,0)</x:f>
        <x:v>0</x:v>
      </x:c>
      <x:c r="H70" s="62" t="n">
        <x:f>G70*(1-'17_Gia_dinh_mo_hinh'!$N$5)</x:f>
        <x:v>0</x:v>
      </x:c>
      <x:c r="I70" s="62" t="n">
        <x:f>G70*'17_Gia_dinh_mo_hinh'!$O$5</x:f>
        <x:v>0</x:v>
      </x:c>
      <x:c r="J70" s="62" t="n">
        <x:f>G70*'17_Gia_dinh_mo_hinh'!$P$5</x:f>
        <x:v>0</x:v>
      </x:c>
      <x:c r="K70" s="62" t="n">
        <x:f>IF(B70&lt;='17_Gia_dinh_mo_hinh'!$J$5,'17_Gia_dinh_mo_hinh'!$K$5*(1-MIN(0.95,'17_Gia_dinh_mo_hinh'!$M$5*0.75))/'17_Gia_dinh_mo_hinh'!$J$5,0)</x:f>
        <x:v>171.42857142857142</x:v>
      </x:c>
      <x:c r="L70" s="62" t="n">
        <x:f>S69*'17_Gia_dinh_mo_hinh'!$Q$5/12</x:f>
        <x:v>23.073328990883933</x:v>
      </x:c>
      <x:c r="M70" s="62" t="n">
        <x:f>G70-H70-I70-J70-L70</x:f>
        <x:v>-23.073328990883933</x:v>
      </x:c>
      <x:c r="N70" s="62" t="n">
        <x:f>MAX(0,M70*'17_Gia_dinh_mo_hinh'!$S$5)</x:f>
        <x:v>0</x:v>
      </x:c>
      <x:c r="O70" s="62" t="n">
        <x:f>M70-N70</x:f>
        <x:v>-23.073328990883933</x:v>
      </x:c>
      <x:c r="P70" s="62" t="n">
        <x:f>F70-K70-I70-J70-N70-L70</x:f>
        <x:v>-194.50190041945535</x:v>
      </x:c>
      <x:c r="Q70" s="62" t="n">
        <x:f>MIN(MAX(0,-(T69+P70)),MAX(0,'17_Gia_dinh_mo_hinh'!$R$5-S69))</x:f>
        <x:v>194.50190041945535</x:v>
      </x:c>
      <x:c r="R70" s="62" t="n">
        <x:f>MIN(MAX(0,T69+P70+Q70),S69+Q70)</x:f>
        <x:v>0</x:v>
      </x:c>
      <x:c r="S70" s="62" t="n">
        <x:f>S69+Q70-R70</x:f>
        <x:v>3109.027667689005</x:v>
      </x:c>
      <x:c r="T70" s="62" t="n">
        <x:f>MAX(0,T69+P70+Q70-R70)</x:f>
        <x:v>0</x:v>
      </x:c>
      <x:c r="U70" s="62" t="n">
        <x:f>MAX(0,-(T69+P70)-MAX(0,'17_Gia_dinh_mo_hinh'!$R$5-S69))</x:f>
        <x:v>0</x:v>
      </x:c>
      <x:c r="V70" s="61" t="str">
        <x:f>IF(B70&lt;'17_Gia_dinh_mo_hinh'!$F$5+D70,"Trước mở bán",IF(B70&lt;'17_Gia_dinh_mo_hinh'!$H$5+D70,"Bán hàng/thi công",IF(G70&gt;0,"Ghi nhận/bàn giao","Hậu bàn giao")))</x:f>
        <x:v>Trước mở bán</x:v>
      </x:c>
    </x:row>
    <x:row r="71">
      <x:c r="A71" s="54" t="str">
        <x:v>DA02</x:v>
      </x:c>
      <x:c r="B71" s="54" t="n">
        <x:v>8</x:v>
      </x:c>
      <x:c r="C71" s="60" t="n">
        <x:f>EDATE('17_Gia_dinh_mo_hinh'!$C$5,B71-1)</x:f>
        <x:v>46447</x:v>
      </x:c>
      <x:c r="D71" s="61" t="n">
        <x:f>ROUNDUP('17_Gia_dinh_mo_hinh'!$E$5/30,0)</x:f>
        <x:v>3</x:v>
      </x:c>
      <x:c r="E71" s="62" t="n">
        <x:f>IF(AND(B71&gt;='17_Gia_dinh_mo_hinh'!$F$5+D71,B71&lt;'17_Gia_dinh_mo_hinh'!$F$5+D71+'17_Gia_dinh_mo_hinh'!$G$5),'17_Gia_dinh_mo_hinh'!$L$5*(1-'17_Gia_dinh_mo_hinh'!$M$5)/'17_Gia_dinh_mo_hinh'!$G$5,0)</x:f>
        <x:v>0</x:v>
      </x:c>
      <x:c r="F71" s="62" t="n">
        <x:f>0.70*E71+0.30*E70</x:f>
        <x:v>0</x:v>
      </x:c>
      <x:c r="G71" s="62" t="n">
        <x:f>IF(AND(B71&gt;='17_Gia_dinh_mo_hinh'!$H$5+D71,B71&lt;'17_Gia_dinh_mo_hinh'!$H$5+D71+'17_Gia_dinh_mo_hinh'!$I$5),'17_Gia_dinh_mo_hinh'!$L$5*(1-'17_Gia_dinh_mo_hinh'!$M$5)/'17_Gia_dinh_mo_hinh'!$I$5,0)</x:f>
        <x:v>0</x:v>
      </x:c>
      <x:c r="H71" s="62" t="n">
        <x:f>G71*(1-'17_Gia_dinh_mo_hinh'!$N$5)</x:f>
        <x:v>0</x:v>
      </x:c>
      <x:c r="I71" s="62" t="n">
        <x:f>G71*'17_Gia_dinh_mo_hinh'!$O$5</x:f>
        <x:v>0</x:v>
      </x:c>
      <x:c r="J71" s="62" t="n">
        <x:f>G71*'17_Gia_dinh_mo_hinh'!$P$5</x:f>
        <x:v>0</x:v>
      </x:c>
      <x:c r="K71" s="62" t="n">
        <x:f>IF(B71&lt;='17_Gia_dinh_mo_hinh'!$J$5,'17_Gia_dinh_mo_hinh'!$K$5*(1-MIN(0.95,'17_Gia_dinh_mo_hinh'!$M$5*0.75))/'17_Gia_dinh_mo_hinh'!$J$5,0)</x:f>
        <x:v>171.42857142857142</x:v>
      </x:c>
      <x:c r="L71" s="62" t="n">
        <x:f>S70*'17_Gia_dinh_mo_hinh'!$Q$5/12</x:f>
        <x:v>24.613135702537956</x:v>
      </x:c>
      <x:c r="M71" s="62" t="n">
        <x:f>G71-H71-I71-J71-L71</x:f>
        <x:v>-24.613135702537956</x:v>
      </x:c>
      <x:c r="N71" s="62" t="n">
        <x:f>MAX(0,M71*'17_Gia_dinh_mo_hinh'!$S$5)</x:f>
        <x:v>0</x:v>
      </x:c>
      <x:c r="O71" s="62" t="n">
        <x:f>M71-N71</x:f>
        <x:v>-24.613135702537956</x:v>
      </x:c>
      <x:c r="P71" s="62" t="n">
        <x:f>F71-K71-I71-J71-N71-L71</x:f>
        <x:v>-196.04170713110938</x:v>
      </x:c>
      <x:c r="Q71" s="62" t="n">
        <x:f>MIN(MAX(0,-(T70+P71)),MAX(0,'17_Gia_dinh_mo_hinh'!$R$5-S70))</x:f>
        <x:v>130.97233231099517</x:v>
      </x:c>
      <x:c r="R71" s="62" t="n">
        <x:f>MIN(MAX(0,T70+P71+Q71),S70+Q71)</x:f>
        <x:v>0</x:v>
      </x:c>
      <x:c r="S71" s="62" t="n">
        <x:f>S70+Q71-R71</x:f>
        <x:v>3240</x:v>
      </x:c>
      <x:c r="T71" s="62" t="n">
        <x:f>MAX(0,T70+P71+Q71-R71)</x:f>
        <x:v>0</x:v>
      </x:c>
      <x:c r="U71" s="62" t="n">
        <x:f>MAX(0,-(T70+P71)-MAX(0,'17_Gia_dinh_mo_hinh'!$R$5-S70))</x:f>
        <x:v>65.0693748201142</x:v>
      </x:c>
      <x:c r="V71" s="61" t="str">
        <x:f>IF(B71&lt;'17_Gia_dinh_mo_hinh'!$F$5+D71,"Trước mở bán",IF(B71&lt;'17_Gia_dinh_mo_hinh'!$H$5+D71,"Bán hàng/thi công",IF(G71&gt;0,"Ghi nhận/bàn giao","Hậu bàn giao")))</x:f>
        <x:v>Trước mở bán</x:v>
      </x:c>
    </x:row>
    <x:row r="72">
      <x:c r="A72" s="54" t="str">
        <x:v>DA02</x:v>
      </x:c>
      <x:c r="B72" s="54" t="n">
        <x:v>9</x:v>
      </x:c>
      <x:c r="C72" s="60" t="n">
        <x:f>EDATE('17_Gia_dinh_mo_hinh'!$C$5,B72-1)</x:f>
        <x:v>46478</x:v>
      </x:c>
      <x:c r="D72" s="61" t="n">
        <x:f>ROUNDUP('17_Gia_dinh_mo_hinh'!$E$5/30,0)</x:f>
        <x:v>3</x:v>
      </x:c>
      <x:c r="E72" s="62" t="n">
        <x:f>IF(AND(B72&gt;='17_Gia_dinh_mo_hinh'!$F$5+D72,B72&lt;'17_Gia_dinh_mo_hinh'!$F$5+D72+'17_Gia_dinh_mo_hinh'!$G$5),'17_Gia_dinh_mo_hinh'!$L$5*(1-'17_Gia_dinh_mo_hinh'!$M$5)/'17_Gia_dinh_mo_hinh'!$G$5,0)</x:f>
        <x:v>0</x:v>
      </x:c>
      <x:c r="F72" s="62" t="n">
        <x:f>0.70*E72+0.30*E71</x:f>
        <x:v>0</x:v>
      </x:c>
      <x:c r="G72" s="62" t="n">
        <x:f>IF(AND(B72&gt;='17_Gia_dinh_mo_hinh'!$H$5+D72,B72&lt;'17_Gia_dinh_mo_hinh'!$H$5+D72+'17_Gia_dinh_mo_hinh'!$I$5),'17_Gia_dinh_mo_hinh'!$L$5*(1-'17_Gia_dinh_mo_hinh'!$M$5)/'17_Gia_dinh_mo_hinh'!$I$5,0)</x:f>
        <x:v>0</x:v>
      </x:c>
      <x:c r="H72" s="62" t="n">
        <x:f>G72*(1-'17_Gia_dinh_mo_hinh'!$N$5)</x:f>
        <x:v>0</x:v>
      </x:c>
      <x:c r="I72" s="62" t="n">
        <x:f>G72*'17_Gia_dinh_mo_hinh'!$O$5</x:f>
        <x:v>0</x:v>
      </x:c>
      <x:c r="J72" s="62" t="n">
        <x:f>G72*'17_Gia_dinh_mo_hinh'!$P$5</x:f>
        <x:v>0</x:v>
      </x:c>
      <x:c r="K72" s="62" t="n">
        <x:f>IF(B72&lt;='17_Gia_dinh_mo_hinh'!$J$5,'17_Gia_dinh_mo_hinh'!$K$5*(1-MIN(0.95,'17_Gia_dinh_mo_hinh'!$M$5*0.75))/'17_Gia_dinh_mo_hinh'!$J$5,0)</x:f>
        <x:v>171.42857142857142</x:v>
      </x:c>
      <x:c r="L72" s="62" t="n">
        <x:f>S71*'17_Gia_dinh_mo_hinh'!$Q$5/12</x:f>
        <x:v>25.650000000000002</x:v>
      </x:c>
      <x:c r="M72" s="62" t="n">
        <x:f>G72-H72-I72-J72-L72</x:f>
        <x:v>-25.650000000000002</x:v>
      </x:c>
      <x:c r="N72" s="62" t="n">
        <x:f>MAX(0,M72*'17_Gia_dinh_mo_hinh'!$S$5)</x:f>
        <x:v>0</x:v>
      </x:c>
      <x:c r="O72" s="62" t="n">
        <x:f>M72-N72</x:f>
        <x:v>-25.650000000000002</x:v>
      </x:c>
      <x:c r="P72" s="62" t="n">
        <x:f>F72-K72-I72-J72-N72-L72</x:f>
        <x:v>-197.07857142857142</x:v>
      </x:c>
      <x:c r="Q72" s="62" t="n">
        <x:f>MIN(MAX(0,-(T71+P72)),MAX(0,'17_Gia_dinh_mo_hinh'!$R$5-S71))</x:f>
        <x:v>0</x:v>
      </x:c>
      <x:c r="R72" s="62" t="n">
        <x:f>MIN(MAX(0,T71+P72+Q72),S71+Q72)</x:f>
        <x:v>0</x:v>
      </x:c>
      <x:c r="S72" s="62" t="n">
        <x:f>S71+Q72-R72</x:f>
        <x:v>3240</x:v>
      </x:c>
      <x:c r="T72" s="62" t="n">
        <x:f>MAX(0,T71+P72+Q72-R72)</x:f>
        <x:v>0</x:v>
      </x:c>
      <x:c r="U72" s="62" t="n">
        <x:f>MAX(0,-(T71+P72)-MAX(0,'17_Gia_dinh_mo_hinh'!$R$5-S71))</x:f>
        <x:v>197.07857142857142</x:v>
      </x:c>
      <x:c r="V72" s="61" t="str">
        <x:f>IF(B72&lt;'17_Gia_dinh_mo_hinh'!$F$5+D72,"Trước mở bán",IF(B72&lt;'17_Gia_dinh_mo_hinh'!$H$5+D72,"Bán hàng/thi công",IF(G72&gt;0,"Ghi nhận/bàn giao","Hậu bàn giao")))</x:f>
        <x:v>Trước mở bán</x:v>
      </x:c>
    </x:row>
    <x:row r="73">
      <x:c r="A73" s="54" t="str">
        <x:v>DA02</x:v>
      </x:c>
      <x:c r="B73" s="54" t="n">
        <x:v>10</x:v>
      </x:c>
      <x:c r="C73" s="60" t="n">
        <x:f>EDATE('17_Gia_dinh_mo_hinh'!$C$5,B73-1)</x:f>
        <x:v>46508</x:v>
      </x:c>
      <x:c r="D73" s="61" t="n">
        <x:f>ROUNDUP('17_Gia_dinh_mo_hinh'!$E$5/30,0)</x:f>
        <x:v>3</x:v>
      </x:c>
      <x:c r="E73" s="62" t="n">
        <x:f>IF(AND(B73&gt;='17_Gia_dinh_mo_hinh'!$F$5+D73,B73&lt;'17_Gia_dinh_mo_hinh'!$F$5+D73+'17_Gia_dinh_mo_hinh'!$G$5),'17_Gia_dinh_mo_hinh'!$L$5*(1-'17_Gia_dinh_mo_hinh'!$M$5)/'17_Gia_dinh_mo_hinh'!$G$5,0)</x:f>
        <x:v>0</x:v>
      </x:c>
      <x:c r="F73" s="62" t="n">
        <x:f>0.70*E73+0.30*E72</x:f>
        <x:v>0</x:v>
      </x:c>
      <x:c r="G73" s="62" t="n">
        <x:f>IF(AND(B73&gt;='17_Gia_dinh_mo_hinh'!$H$5+D73,B73&lt;'17_Gia_dinh_mo_hinh'!$H$5+D73+'17_Gia_dinh_mo_hinh'!$I$5),'17_Gia_dinh_mo_hinh'!$L$5*(1-'17_Gia_dinh_mo_hinh'!$M$5)/'17_Gia_dinh_mo_hinh'!$I$5,0)</x:f>
        <x:v>0</x:v>
      </x:c>
      <x:c r="H73" s="62" t="n">
        <x:f>G73*(1-'17_Gia_dinh_mo_hinh'!$N$5)</x:f>
        <x:v>0</x:v>
      </x:c>
      <x:c r="I73" s="62" t="n">
        <x:f>G73*'17_Gia_dinh_mo_hinh'!$O$5</x:f>
        <x:v>0</x:v>
      </x:c>
      <x:c r="J73" s="62" t="n">
        <x:f>G73*'17_Gia_dinh_mo_hinh'!$P$5</x:f>
        <x:v>0</x:v>
      </x:c>
      <x:c r="K73" s="62" t="n">
        <x:f>IF(B73&lt;='17_Gia_dinh_mo_hinh'!$J$5,'17_Gia_dinh_mo_hinh'!$K$5*(1-MIN(0.95,'17_Gia_dinh_mo_hinh'!$M$5*0.75))/'17_Gia_dinh_mo_hinh'!$J$5,0)</x:f>
        <x:v>171.42857142857142</x:v>
      </x:c>
      <x:c r="L73" s="62" t="n">
        <x:f>S72*'17_Gia_dinh_mo_hinh'!$Q$5/12</x:f>
        <x:v>25.650000000000002</x:v>
      </x:c>
      <x:c r="M73" s="62" t="n">
        <x:f>G73-H73-I73-J73-L73</x:f>
        <x:v>-25.650000000000002</x:v>
      </x:c>
      <x:c r="N73" s="62" t="n">
        <x:f>MAX(0,M73*'17_Gia_dinh_mo_hinh'!$S$5)</x:f>
        <x:v>0</x:v>
      </x:c>
      <x:c r="O73" s="62" t="n">
        <x:f>M73-N73</x:f>
        <x:v>-25.650000000000002</x:v>
      </x:c>
      <x:c r="P73" s="62" t="n">
        <x:f>F73-K73-I73-J73-N73-L73</x:f>
        <x:v>-197.07857142857142</x:v>
      </x:c>
      <x:c r="Q73" s="62" t="n">
        <x:f>MIN(MAX(0,-(T72+P73)),MAX(0,'17_Gia_dinh_mo_hinh'!$R$5-S72))</x:f>
        <x:v>0</x:v>
      </x:c>
      <x:c r="R73" s="62" t="n">
        <x:f>MIN(MAX(0,T72+P73+Q73),S72+Q73)</x:f>
        <x:v>0</x:v>
      </x:c>
      <x:c r="S73" s="62" t="n">
        <x:f>S72+Q73-R73</x:f>
        <x:v>3240</x:v>
      </x:c>
      <x:c r="T73" s="62" t="n">
        <x:f>MAX(0,T72+P73+Q73-R73)</x:f>
        <x:v>0</x:v>
      </x:c>
      <x:c r="U73" s="62" t="n">
        <x:f>MAX(0,-(T72+P73)-MAX(0,'17_Gia_dinh_mo_hinh'!$R$5-S72))</x:f>
        <x:v>197.07857142857142</x:v>
      </x:c>
      <x:c r="V73" s="61" t="str">
        <x:f>IF(B73&lt;'17_Gia_dinh_mo_hinh'!$F$5+D73,"Trước mở bán",IF(B73&lt;'17_Gia_dinh_mo_hinh'!$H$5+D73,"Bán hàng/thi công",IF(G73&gt;0,"Ghi nhận/bàn giao","Hậu bàn giao")))</x:f>
        <x:v>Trước mở bán</x:v>
      </x:c>
    </x:row>
    <x:row r="74">
      <x:c r="A74" s="54" t="str">
        <x:v>DA02</x:v>
      </x:c>
      <x:c r="B74" s="54" t="n">
        <x:v>11</x:v>
      </x:c>
      <x:c r="C74" s="60" t="n">
        <x:f>EDATE('17_Gia_dinh_mo_hinh'!$C$5,B74-1)</x:f>
        <x:v>46539</x:v>
      </x:c>
      <x:c r="D74" s="61" t="n">
        <x:f>ROUNDUP('17_Gia_dinh_mo_hinh'!$E$5/30,0)</x:f>
        <x:v>3</x:v>
      </x:c>
      <x:c r="E74" s="62" t="n">
        <x:f>IF(AND(B74&gt;='17_Gia_dinh_mo_hinh'!$F$5+D74,B74&lt;'17_Gia_dinh_mo_hinh'!$F$5+D74+'17_Gia_dinh_mo_hinh'!$G$5),'17_Gia_dinh_mo_hinh'!$L$5*(1-'17_Gia_dinh_mo_hinh'!$M$5)/'17_Gia_dinh_mo_hinh'!$G$5,0)</x:f>
        <x:v>0</x:v>
      </x:c>
      <x:c r="F74" s="62" t="n">
        <x:f>0.70*E74+0.30*E73</x:f>
        <x:v>0</x:v>
      </x:c>
      <x:c r="G74" s="62" t="n">
        <x:f>IF(AND(B74&gt;='17_Gia_dinh_mo_hinh'!$H$5+D74,B74&lt;'17_Gia_dinh_mo_hinh'!$H$5+D74+'17_Gia_dinh_mo_hinh'!$I$5),'17_Gia_dinh_mo_hinh'!$L$5*(1-'17_Gia_dinh_mo_hinh'!$M$5)/'17_Gia_dinh_mo_hinh'!$I$5,0)</x:f>
        <x:v>0</x:v>
      </x:c>
      <x:c r="H74" s="62" t="n">
        <x:f>G74*(1-'17_Gia_dinh_mo_hinh'!$N$5)</x:f>
        <x:v>0</x:v>
      </x:c>
      <x:c r="I74" s="62" t="n">
        <x:f>G74*'17_Gia_dinh_mo_hinh'!$O$5</x:f>
        <x:v>0</x:v>
      </x:c>
      <x:c r="J74" s="62" t="n">
        <x:f>G74*'17_Gia_dinh_mo_hinh'!$P$5</x:f>
        <x:v>0</x:v>
      </x:c>
      <x:c r="K74" s="62" t="n">
        <x:f>IF(B74&lt;='17_Gia_dinh_mo_hinh'!$J$5,'17_Gia_dinh_mo_hinh'!$K$5*(1-MIN(0.95,'17_Gia_dinh_mo_hinh'!$M$5*0.75))/'17_Gia_dinh_mo_hinh'!$J$5,0)</x:f>
        <x:v>171.42857142857142</x:v>
      </x:c>
      <x:c r="L74" s="62" t="n">
        <x:f>S73*'17_Gia_dinh_mo_hinh'!$Q$5/12</x:f>
        <x:v>25.650000000000002</x:v>
      </x:c>
      <x:c r="M74" s="62" t="n">
        <x:f>G74-H74-I74-J74-L74</x:f>
        <x:v>-25.650000000000002</x:v>
      </x:c>
      <x:c r="N74" s="62" t="n">
        <x:f>MAX(0,M74*'17_Gia_dinh_mo_hinh'!$S$5)</x:f>
        <x:v>0</x:v>
      </x:c>
      <x:c r="O74" s="62" t="n">
        <x:f>M74-N74</x:f>
        <x:v>-25.650000000000002</x:v>
      </x:c>
      <x:c r="P74" s="62" t="n">
        <x:f>F74-K74-I74-J74-N74-L74</x:f>
        <x:v>-197.07857142857142</x:v>
      </x:c>
      <x:c r="Q74" s="62" t="n">
        <x:f>MIN(MAX(0,-(T73+P74)),MAX(0,'17_Gia_dinh_mo_hinh'!$R$5-S73))</x:f>
        <x:v>0</x:v>
      </x:c>
      <x:c r="R74" s="62" t="n">
        <x:f>MIN(MAX(0,T73+P74+Q74),S73+Q74)</x:f>
        <x:v>0</x:v>
      </x:c>
      <x:c r="S74" s="62" t="n">
        <x:f>S73+Q74-R74</x:f>
        <x:v>3240</x:v>
      </x:c>
      <x:c r="T74" s="62" t="n">
        <x:f>MAX(0,T73+P74+Q74-R74)</x:f>
        <x:v>0</x:v>
      </x:c>
      <x:c r="U74" s="62" t="n">
        <x:f>MAX(0,-(T73+P74)-MAX(0,'17_Gia_dinh_mo_hinh'!$R$5-S73))</x:f>
        <x:v>197.07857142857142</x:v>
      </x:c>
      <x:c r="V74" s="61" t="str">
        <x:f>IF(B74&lt;'17_Gia_dinh_mo_hinh'!$F$5+D74,"Trước mở bán",IF(B74&lt;'17_Gia_dinh_mo_hinh'!$H$5+D74,"Bán hàng/thi công",IF(G74&gt;0,"Ghi nhận/bàn giao","Hậu bàn giao")))</x:f>
        <x:v>Trước mở bán</x:v>
      </x:c>
    </x:row>
    <x:row r="75">
      <x:c r="A75" s="54" t="str">
        <x:v>DA02</x:v>
      </x:c>
      <x:c r="B75" s="54" t="n">
        <x:v>12</x:v>
      </x:c>
      <x:c r="C75" s="60" t="n">
        <x:f>EDATE('17_Gia_dinh_mo_hinh'!$C$5,B75-1)</x:f>
        <x:v>46569</x:v>
      </x:c>
      <x:c r="D75" s="61" t="n">
        <x:f>ROUNDUP('17_Gia_dinh_mo_hinh'!$E$5/30,0)</x:f>
        <x:v>3</x:v>
      </x:c>
      <x:c r="E75" s="62" t="n">
        <x:f>IF(AND(B75&gt;='17_Gia_dinh_mo_hinh'!$F$5+D75,B75&lt;'17_Gia_dinh_mo_hinh'!$F$5+D75+'17_Gia_dinh_mo_hinh'!$G$5),'17_Gia_dinh_mo_hinh'!$L$5*(1-'17_Gia_dinh_mo_hinh'!$M$5)/'17_Gia_dinh_mo_hinh'!$G$5,0)</x:f>
        <x:v>0</x:v>
      </x:c>
      <x:c r="F75" s="62" t="n">
        <x:f>0.70*E75+0.30*E74</x:f>
        <x:v>0</x:v>
      </x:c>
      <x:c r="G75" s="62" t="n">
        <x:f>IF(AND(B75&gt;='17_Gia_dinh_mo_hinh'!$H$5+D75,B75&lt;'17_Gia_dinh_mo_hinh'!$H$5+D75+'17_Gia_dinh_mo_hinh'!$I$5),'17_Gia_dinh_mo_hinh'!$L$5*(1-'17_Gia_dinh_mo_hinh'!$M$5)/'17_Gia_dinh_mo_hinh'!$I$5,0)</x:f>
        <x:v>0</x:v>
      </x:c>
      <x:c r="H75" s="62" t="n">
        <x:f>G75*(1-'17_Gia_dinh_mo_hinh'!$N$5)</x:f>
        <x:v>0</x:v>
      </x:c>
      <x:c r="I75" s="62" t="n">
        <x:f>G75*'17_Gia_dinh_mo_hinh'!$O$5</x:f>
        <x:v>0</x:v>
      </x:c>
      <x:c r="J75" s="62" t="n">
        <x:f>G75*'17_Gia_dinh_mo_hinh'!$P$5</x:f>
        <x:v>0</x:v>
      </x:c>
      <x:c r="K75" s="62" t="n">
        <x:f>IF(B75&lt;='17_Gia_dinh_mo_hinh'!$J$5,'17_Gia_dinh_mo_hinh'!$K$5*(1-MIN(0.95,'17_Gia_dinh_mo_hinh'!$M$5*0.75))/'17_Gia_dinh_mo_hinh'!$J$5,0)</x:f>
        <x:v>171.42857142857142</x:v>
      </x:c>
      <x:c r="L75" s="62" t="n">
        <x:f>S74*'17_Gia_dinh_mo_hinh'!$Q$5/12</x:f>
        <x:v>25.650000000000002</x:v>
      </x:c>
      <x:c r="M75" s="62" t="n">
        <x:f>G75-H75-I75-J75-L75</x:f>
        <x:v>-25.650000000000002</x:v>
      </x:c>
      <x:c r="N75" s="62" t="n">
        <x:f>MAX(0,M75*'17_Gia_dinh_mo_hinh'!$S$5)</x:f>
        <x:v>0</x:v>
      </x:c>
      <x:c r="O75" s="62" t="n">
        <x:f>M75-N75</x:f>
        <x:v>-25.650000000000002</x:v>
      </x:c>
      <x:c r="P75" s="62" t="n">
        <x:f>F75-K75-I75-J75-N75-L75</x:f>
        <x:v>-197.07857142857142</x:v>
      </x:c>
      <x:c r="Q75" s="62" t="n">
        <x:f>MIN(MAX(0,-(T74+P75)),MAX(0,'17_Gia_dinh_mo_hinh'!$R$5-S74))</x:f>
        <x:v>0</x:v>
      </x:c>
      <x:c r="R75" s="62" t="n">
        <x:f>MIN(MAX(0,T74+P75+Q75),S74+Q75)</x:f>
        <x:v>0</x:v>
      </x:c>
      <x:c r="S75" s="62" t="n">
        <x:f>S74+Q75-R75</x:f>
        <x:v>3240</x:v>
      </x:c>
      <x:c r="T75" s="62" t="n">
        <x:f>MAX(0,T74+P75+Q75-R75)</x:f>
        <x:v>0</x:v>
      </x:c>
      <x:c r="U75" s="62" t="n">
        <x:f>MAX(0,-(T74+P75)-MAX(0,'17_Gia_dinh_mo_hinh'!$R$5-S74))</x:f>
        <x:v>197.07857142857142</x:v>
      </x:c>
      <x:c r="V75" s="61" t="str">
        <x:f>IF(B75&lt;'17_Gia_dinh_mo_hinh'!$F$5+D75,"Trước mở bán",IF(B75&lt;'17_Gia_dinh_mo_hinh'!$H$5+D75,"Bán hàng/thi công",IF(G75&gt;0,"Ghi nhận/bàn giao","Hậu bàn giao")))</x:f>
        <x:v>Trước mở bán</x:v>
      </x:c>
    </x:row>
    <x:row r="76">
      <x:c r="A76" s="54" t="str">
        <x:v>DA02</x:v>
      </x:c>
      <x:c r="B76" s="54" t="n">
        <x:v>13</x:v>
      </x:c>
      <x:c r="C76" s="60" t="n">
        <x:f>EDATE('17_Gia_dinh_mo_hinh'!$C$5,B76-1)</x:f>
        <x:v>46600</x:v>
      </x:c>
      <x:c r="D76" s="61" t="n">
        <x:f>ROUNDUP('17_Gia_dinh_mo_hinh'!$E$5/30,0)</x:f>
        <x:v>3</x:v>
      </x:c>
      <x:c r="E76" s="62" t="n">
        <x:f>IF(AND(B76&gt;='17_Gia_dinh_mo_hinh'!$F$5+D76,B76&lt;'17_Gia_dinh_mo_hinh'!$F$5+D76+'17_Gia_dinh_mo_hinh'!$G$5),'17_Gia_dinh_mo_hinh'!$L$5*(1-'17_Gia_dinh_mo_hinh'!$M$5)/'17_Gia_dinh_mo_hinh'!$G$5,0)</x:f>
        <x:v>0</x:v>
      </x:c>
      <x:c r="F76" s="62" t="n">
        <x:f>0.70*E76+0.30*E75</x:f>
        <x:v>0</x:v>
      </x:c>
      <x:c r="G76" s="62" t="n">
        <x:f>IF(AND(B76&gt;='17_Gia_dinh_mo_hinh'!$H$5+D76,B76&lt;'17_Gia_dinh_mo_hinh'!$H$5+D76+'17_Gia_dinh_mo_hinh'!$I$5),'17_Gia_dinh_mo_hinh'!$L$5*(1-'17_Gia_dinh_mo_hinh'!$M$5)/'17_Gia_dinh_mo_hinh'!$I$5,0)</x:f>
        <x:v>0</x:v>
      </x:c>
      <x:c r="H76" s="62" t="n">
        <x:f>G76*(1-'17_Gia_dinh_mo_hinh'!$N$5)</x:f>
        <x:v>0</x:v>
      </x:c>
      <x:c r="I76" s="62" t="n">
        <x:f>G76*'17_Gia_dinh_mo_hinh'!$O$5</x:f>
        <x:v>0</x:v>
      </x:c>
      <x:c r="J76" s="62" t="n">
        <x:f>G76*'17_Gia_dinh_mo_hinh'!$P$5</x:f>
        <x:v>0</x:v>
      </x:c>
      <x:c r="K76" s="62" t="n">
        <x:f>IF(B76&lt;='17_Gia_dinh_mo_hinh'!$J$5,'17_Gia_dinh_mo_hinh'!$K$5*(1-MIN(0.95,'17_Gia_dinh_mo_hinh'!$M$5*0.75))/'17_Gia_dinh_mo_hinh'!$J$5,0)</x:f>
        <x:v>171.42857142857142</x:v>
      </x:c>
      <x:c r="L76" s="62" t="n">
        <x:f>S75*'17_Gia_dinh_mo_hinh'!$Q$5/12</x:f>
        <x:v>25.650000000000002</x:v>
      </x:c>
      <x:c r="M76" s="62" t="n">
        <x:f>G76-H76-I76-J76-L76</x:f>
        <x:v>-25.650000000000002</x:v>
      </x:c>
      <x:c r="N76" s="62" t="n">
        <x:f>MAX(0,M76*'17_Gia_dinh_mo_hinh'!$S$5)</x:f>
        <x:v>0</x:v>
      </x:c>
      <x:c r="O76" s="62" t="n">
        <x:f>M76-N76</x:f>
        <x:v>-25.650000000000002</x:v>
      </x:c>
      <x:c r="P76" s="62" t="n">
        <x:f>F76-K76-I76-J76-N76-L76</x:f>
        <x:v>-197.07857142857142</x:v>
      </x:c>
      <x:c r="Q76" s="62" t="n">
        <x:f>MIN(MAX(0,-(T75+P76)),MAX(0,'17_Gia_dinh_mo_hinh'!$R$5-S75))</x:f>
        <x:v>0</x:v>
      </x:c>
      <x:c r="R76" s="62" t="n">
        <x:f>MIN(MAX(0,T75+P76+Q76),S75+Q76)</x:f>
        <x:v>0</x:v>
      </x:c>
      <x:c r="S76" s="62" t="n">
        <x:f>S75+Q76-R76</x:f>
        <x:v>3240</x:v>
      </x:c>
      <x:c r="T76" s="62" t="n">
        <x:f>MAX(0,T75+P76+Q76-R76)</x:f>
        <x:v>0</x:v>
      </x:c>
      <x:c r="U76" s="62" t="n">
        <x:f>MAX(0,-(T75+P76)-MAX(0,'17_Gia_dinh_mo_hinh'!$R$5-S75))</x:f>
        <x:v>197.07857142857142</x:v>
      </x:c>
      <x:c r="V76" s="61" t="str">
        <x:f>IF(B76&lt;'17_Gia_dinh_mo_hinh'!$F$5+D76,"Trước mở bán",IF(B76&lt;'17_Gia_dinh_mo_hinh'!$H$5+D76,"Bán hàng/thi công",IF(G76&gt;0,"Ghi nhận/bàn giao","Hậu bàn giao")))</x:f>
        <x:v>Trước mở bán</x:v>
      </x:c>
    </x:row>
    <x:row r="77">
      <x:c r="A77" s="54" t="str">
        <x:v>DA02</x:v>
      </x:c>
      <x:c r="B77" s="54" t="n">
        <x:v>14</x:v>
      </x:c>
      <x:c r="C77" s="60" t="n">
        <x:f>EDATE('17_Gia_dinh_mo_hinh'!$C$5,B77-1)</x:f>
        <x:v>46631</x:v>
      </x:c>
      <x:c r="D77" s="61" t="n">
        <x:f>ROUNDUP('17_Gia_dinh_mo_hinh'!$E$5/30,0)</x:f>
        <x:v>3</x:v>
      </x:c>
      <x:c r="E77" s="62" t="n">
        <x:f>IF(AND(B77&gt;='17_Gia_dinh_mo_hinh'!$F$5+D77,B77&lt;'17_Gia_dinh_mo_hinh'!$F$5+D77+'17_Gia_dinh_mo_hinh'!$G$5),'17_Gia_dinh_mo_hinh'!$L$5*(1-'17_Gia_dinh_mo_hinh'!$M$5)/'17_Gia_dinh_mo_hinh'!$G$5,0)</x:f>
        <x:v>0</x:v>
      </x:c>
      <x:c r="F77" s="62" t="n">
        <x:f>0.70*E77+0.30*E76</x:f>
        <x:v>0</x:v>
      </x:c>
      <x:c r="G77" s="62" t="n">
        <x:f>IF(AND(B77&gt;='17_Gia_dinh_mo_hinh'!$H$5+D77,B77&lt;'17_Gia_dinh_mo_hinh'!$H$5+D77+'17_Gia_dinh_mo_hinh'!$I$5),'17_Gia_dinh_mo_hinh'!$L$5*(1-'17_Gia_dinh_mo_hinh'!$M$5)/'17_Gia_dinh_mo_hinh'!$I$5,0)</x:f>
        <x:v>0</x:v>
      </x:c>
      <x:c r="H77" s="62" t="n">
        <x:f>G77*(1-'17_Gia_dinh_mo_hinh'!$N$5)</x:f>
        <x:v>0</x:v>
      </x:c>
      <x:c r="I77" s="62" t="n">
        <x:f>G77*'17_Gia_dinh_mo_hinh'!$O$5</x:f>
        <x:v>0</x:v>
      </x:c>
      <x:c r="J77" s="62" t="n">
        <x:f>G77*'17_Gia_dinh_mo_hinh'!$P$5</x:f>
        <x:v>0</x:v>
      </x:c>
      <x:c r="K77" s="62" t="n">
        <x:f>IF(B77&lt;='17_Gia_dinh_mo_hinh'!$J$5,'17_Gia_dinh_mo_hinh'!$K$5*(1-MIN(0.95,'17_Gia_dinh_mo_hinh'!$M$5*0.75))/'17_Gia_dinh_mo_hinh'!$J$5,0)</x:f>
        <x:v>171.42857142857142</x:v>
      </x:c>
      <x:c r="L77" s="62" t="n">
        <x:f>S76*'17_Gia_dinh_mo_hinh'!$Q$5/12</x:f>
        <x:v>25.650000000000002</x:v>
      </x:c>
      <x:c r="M77" s="62" t="n">
        <x:f>G77-H77-I77-J77-L77</x:f>
        <x:v>-25.650000000000002</x:v>
      </x:c>
      <x:c r="N77" s="62" t="n">
        <x:f>MAX(0,M77*'17_Gia_dinh_mo_hinh'!$S$5)</x:f>
        <x:v>0</x:v>
      </x:c>
      <x:c r="O77" s="62" t="n">
        <x:f>M77-N77</x:f>
        <x:v>-25.650000000000002</x:v>
      </x:c>
      <x:c r="P77" s="62" t="n">
        <x:f>F77-K77-I77-J77-N77-L77</x:f>
        <x:v>-197.07857142857142</x:v>
      </x:c>
      <x:c r="Q77" s="62" t="n">
        <x:f>MIN(MAX(0,-(T76+P77)),MAX(0,'17_Gia_dinh_mo_hinh'!$R$5-S76))</x:f>
        <x:v>0</x:v>
      </x:c>
      <x:c r="R77" s="62" t="n">
        <x:f>MIN(MAX(0,T76+P77+Q77),S76+Q77)</x:f>
        <x:v>0</x:v>
      </x:c>
      <x:c r="S77" s="62" t="n">
        <x:f>S76+Q77-R77</x:f>
        <x:v>3240</x:v>
      </x:c>
      <x:c r="T77" s="62" t="n">
        <x:f>MAX(0,T76+P77+Q77-R77)</x:f>
        <x:v>0</x:v>
      </x:c>
      <x:c r="U77" s="62" t="n">
        <x:f>MAX(0,-(T76+P77)-MAX(0,'17_Gia_dinh_mo_hinh'!$R$5-S76))</x:f>
        <x:v>197.07857142857142</x:v>
      </x:c>
      <x:c r="V77" s="61" t="str">
        <x:f>IF(B77&lt;'17_Gia_dinh_mo_hinh'!$F$5+D77,"Trước mở bán",IF(B77&lt;'17_Gia_dinh_mo_hinh'!$H$5+D77,"Bán hàng/thi công",IF(G77&gt;0,"Ghi nhận/bàn giao","Hậu bàn giao")))</x:f>
        <x:v>Trước mở bán</x:v>
      </x:c>
    </x:row>
    <x:row r="78">
      <x:c r="A78" s="54" t="str">
        <x:v>DA02</x:v>
      </x:c>
      <x:c r="B78" s="54" t="n">
        <x:v>15</x:v>
      </x:c>
      <x:c r="C78" s="60" t="n">
        <x:f>EDATE('17_Gia_dinh_mo_hinh'!$C$5,B78-1)</x:f>
        <x:v>46661</x:v>
      </x:c>
      <x:c r="D78" s="61" t="n">
        <x:f>ROUNDUP('17_Gia_dinh_mo_hinh'!$E$5/30,0)</x:f>
        <x:v>3</x:v>
      </x:c>
      <x:c r="E78" s="62" t="n">
        <x:f>IF(AND(B78&gt;='17_Gia_dinh_mo_hinh'!$F$5+D78,B78&lt;'17_Gia_dinh_mo_hinh'!$F$5+D78+'17_Gia_dinh_mo_hinh'!$G$5),'17_Gia_dinh_mo_hinh'!$L$5*(1-'17_Gia_dinh_mo_hinh'!$M$5)/'17_Gia_dinh_mo_hinh'!$G$5,0)</x:f>
        <x:v>373.3333333333333</x:v>
      </x:c>
      <x:c r="F78" s="62" t="n">
        <x:f>0.70*E78+0.30*E77</x:f>
        <x:v>261.3333333333333</x:v>
      </x:c>
      <x:c r="G78" s="62" t="n">
        <x:f>IF(AND(B78&gt;='17_Gia_dinh_mo_hinh'!$H$5+D78,B78&lt;'17_Gia_dinh_mo_hinh'!$H$5+D78+'17_Gia_dinh_mo_hinh'!$I$5),'17_Gia_dinh_mo_hinh'!$L$5*(1-'17_Gia_dinh_mo_hinh'!$M$5)/'17_Gia_dinh_mo_hinh'!$I$5,0)</x:f>
        <x:v>0</x:v>
      </x:c>
      <x:c r="H78" s="62" t="n">
        <x:f>G78*(1-'17_Gia_dinh_mo_hinh'!$N$5)</x:f>
        <x:v>0</x:v>
      </x:c>
      <x:c r="I78" s="62" t="n">
        <x:f>G78*'17_Gia_dinh_mo_hinh'!$O$5</x:f>
        <x:v>0</x:v>
      </x:c>
      <x:c r="J78" s="62" t="n">
        <x:f>G78*'17_Gia_dinh_mo_hinh'!$P$5</x:f>
        <x:v>0</x:v>
      </x:c>
      <x:c r="K78" s="62" t="n">
        <x:f>IF(B78&lt;='17_Gia_dinh_mo_hinh'!$J$5,'17_Gia_dinh_mo_hinh'!$K$5*(1-MIN(0.95,'17_Gia_dinh_mo_hinh'!$M$5*0.75))/'17_Gia_dinh_mo_hinh'!$J$5,0)</x:f>
        <x:v>171.42857142857142</x:v>
      </x:c>
      <x:c r="L78" s="62" t="n">
        <x:f>S77*'17_Gia_dinh_mo_hinh'!$Q$5/12</x:f>
        <x:v>25.650000000000002</x:v>
      </x:c>
      <x:c r="M78" s="62" t="n">
        <x:f>G78-H78-I78-J78-L78</x:f>
        <x:v>-25.650000000000002</x:v>
      </x:c>
      <x:c r="N78" s="62" t="n">
        <x:f>MAX(0,M78*'17_Gia_dinh_mo_hinh'!$S$5)</x:f>
        <x:v>0</x:v>
      </x:c>
      <x:c r="O78" s="62" t="n">
        <x:f>M78-N78</x:f>
        <x:v>-25.650000000000002</x:v>
      </x:c>
      <x:c r="P78" s="62" t="n">
        <x:f>F78-K78-I78-J78-N78-L78</x:f>
        <x:v>64.25476190476189</x:v>
      </x:c>
      <x:c r="Q78" s="62" t="n">
        <x:f>MIN(MAX(0,-(T77+P78)),MAX(0,'17_Gia_dinh_mo_hinh'!$R$5-S77))</x:f>
        <x:v>0</x:v>
      </x:c>
      <x:c r="R78" s="62" t="n">
        <x:f>MIN(MAX(0,T77+P78+Q78),S77+Q78)</x:f>
        <x:v>64.25476190476189</x:v>
      </x:c>
      <x:c r="S78" s="62" t="n">
        <x:f>S77+Q78-R78</x:f>
        <x:v>3175.745238095238</x:v>
      </x:c>
      <x:c r="T78" s="62" t="n">
        <x:f>MAX(0,T77+P78+Q78-R78)</x:f>
        <x:v>0</x:v>
      </x:c>
      <x:c r="U78" s="62" t="n">
        <x:f>MAX(0,-(T77+P78)-MAX(0,'17_Gia_dinh_mo_hinh'!$R$5-S77))</x:f>
        <x:v>0</x:v>
      </x:c>
      <x:c r="V78" s="61" t="str">
        <x:f>IF(B78&lt;'17_Gia_dinh_mo_hinh'!$F$5+D78,"Trước mở bán",IF(B78&lt;'17_Gia_dinh_mo_hinh'!$H$5+D78,"Bán hàng/thi công",IF(G78&gt;0,"Ghi nhận/bàn giao","Hậu bàn giao")))</x:f>
        <x:v>Bán hàng/thi công</x:v>
      </x:c>
    </x:row>
    <x:row r="79">
      <x:c r="A79" s="54" t="str">
        <x:v>DA02</x:v>
      </x:c>
      <x:c r="B79" s="54" t="n">
        <x:v>16</x:v>
      </x:c>
      <x:c r="C79" s="60" t="n">
        <x:f>EDATE('17_Gia_dinh_mo_hinh'!$C$5,B79-1)</x:f>
        <x:v>46692</x:v>
      </x:c>
      <x:c r="D79" s="61" t="n">
        <x:f>ROUNDUP('17_Gia_dinh_mo_hinh'!$E$5/30,0)</x:f>
        <x:v>3</x:v>
      </x:c>
      <x:c r="E79" s="62" t="n">
        <x:f>IF(AND(B79&gt;='17_Gia_dinh_mo_hinh'!$F$5+D79,B79&lt;'17_Gia_dinh_mo_hinh'!$F$5+D79+'17_Gia_dinh_mo_hinh'!$G$5),'17_Gia_dinh_mo_hinh'!$L$5*(1-'17_Gia_dinh_mo_hinh'!$M$5)/'17_Gia_dinh_mo_hinh'!$G$5,0)</x:f>
        <x:v>373.3333333333333</x:v>
      </x:c>
      <x:c r="F79" s="62" t="n">
        <x:f>0.70*E79+0.30*E78</x:f>
        <x:v>373.3333333333333</x:v>
      </x:c>
      <x:c r="G79" s="62" t="n">
        <x:f>IF(AND(B79&gt;='17_Gia_dinh_mo_hinh'!$H$5+D79,B79&lt;'17_Gia_dinh_mo_hinh'!$H$5+D79+'17_Gia_dinh_mo_hinh'!$I$5),'17_Gia_dinh_mo_hinh'!$L$5*(1-'17_Gia_dinh_mo_hinh'!$M$5)/'17_Gia_dinh_mo_hinh'!$I$5,0)</x:f>
        <x:v>0</x:v>
      </x:c>
      <x:c r="H79" s="62" t="n">
        <x:f>G79*(1-'17_Gia_dinh_mo_hinh'!$N$5)</x:f>
        <x:v>0</x:v>
      </x:c>
      <x:c r="I79" s="62" t="n">
        <x:f>G79*'17_Gia_dinh_mo_hinh'!$O$5</x:f>
        <x:v>0</x:v>
      </x:c>
      <x:c r="J79" s="62" t="n">
        <x:f>G79*'17_Gia_dinh_mo_hinh'!$P$5</x:f>
        <x:v>0</x:v>
      </x:c>
      <x:c r="K79" s="62" t="n">
        <x:f>IF(B79&lt;='17_Gia_dinh_mo_hinh'!$J$5,'17_Gia_dinh_mo_hinh'!$K$5*(1-MIN(0.95,'17_Gia_dinh_mo_hinh'!$M$5*0.75))/'17_Gia_dinh_mo_hinh'!$J$5,0)</x:f>
        <x:v>171.42857142857142</x:v>
      </x:c>
      <x:c r="L79" s="62" t="n">
        <x:f>S78*'17_Gia_dinh_mo_hinh'!$Q$5/12</x:f>
        <x:v>25.141316468253972</x:v>
      </x:c>
      <x:c r="M79" s="62" t="n">
        <x:f>G79-H79-I79-J79-L79</x:f>
        <x:v>-25.141316468253972</x:v>
      </x:c>
      <x:c r="N79" s="62" t="n">
        <x:f>MAX(0,M79*'17_Gia_dinh_mo_hinh'!$S$5)</x:f>
        <x:v>0</x:v>
      </x:c>
      <x:c r="O79" s="62" t="n">
        <x:f>M79-N79</x:f>
        <x:v>-25.141316468253972</x:v>
      </x:c>
      <x:c r="P79" s="62" t="n">
        <x:f>F79-K79-I79-J79-N79-L79</x:f>
        <x:v>176.76344543650794</x:v>
      </x:c>
      <x:c r="Q79" s="62" t="n">
        <x:f>MIN(MAX(0,-(T78+P79)),MAX(0,'17_Gia_dinh_mo_hinh'!$R$5-S78))</x:f>
        <x:v>0</x:v>
      </x:c>
      <x:c r="R79" s="62" t="n">
        <x:f>MIN(MAX(0,T78+P79+Q79),S78+Q79)</x:f>
        <x:v>176.76344543650794</x:v>
      </x:c>
      <x:c r="S79" s="62" t="n">
        <x:f>S78+Q79-R79</x:f>
        <x:v>2998.9817926587302</x:v>
      </x:c>
      <x:c r="T79" s="62" t="n">
        <x:f>MAX(0,T78+P79+Q79-R79)</x:f>
        <x:v>0</x:v>
      </x:c>
      <x:c r="U79" s="62" t="n">
        <x:f>MAX(0,-(T78+P79)-MAX(0,'17_Gia_dinh_mo_hinh'!$R$5-S78))</x:f>
        <x:v>0</x:v>
      </x:c>
      <x:c r="V79" s="61" t="str">
        <x:f>IF(B79&lt;'17_Gia_dinh_mo_hinh'!$F$5+D79,"Trước mở bán",IF(B79&lt;'17_Gia_dinh_mo_hinh'!$H$5+D79,"Bán hàng/thi công",IF(G79&gt;0,"Ghi nhận/bàn giao","Hậu bàn giao")))</x:f>
        <x:v>Bán hàng/thi công</x:v>
      </x:c>
    </x:row>
    <x:row r="80">
      <x:c r="A80" s="54" t="str">
        <x:v>DA02</x:v>
      </x:c>
      <x:c r="B80" s="54" t="n">
        <x:v>17</x:v>
      </x:c>
      <x:c r="C80" s="60" t="n">
        <x:f>EDATE('17_Gia_dinh_mo_hinh'!$C$5,B80-1)</x:f>
        <x:v>46722</x:v>
      </x:c>
      <x:c r="D80" s="61" t="n">
        <x:f>ROUNDUP('17_Gia_dinh_mo_hinh'!$E$5/30,0)</x:f>
        <x:v>3</x:v>
      </x:c>
      <x:c r="E80" s="62" t="n">
        <x:f>IF(AND(B80&gt;='17_Gia_dinh_mo_hinh'!$F$5+D80,B80&lt;'17_Gia_dinh_mo_hinh'!$F$5+D80+'17_Gia_dinh_mo_hinh'!$G$5),'17_Gia_dinh_mo_hinh'!$L$5*(1-'17_Gia_dinh_mo_hinh'!$M$5)/'17_Gia_dinh_mo_hinh'!$G$5,0)</x:f>
        <x:v>373.3333333333333</x:v>
      </x:c>
      <x:c r="F80" s="62" t="n">
        <x:f>0.70*E80+0.30*E79</x:f>
        <x:v>373.3333333333333</x:v>
      </x:c>
      <x:c r="G80" s="62" t="n">
        <x:f>IF(AND(B80&gt;='17_Gia_dinh_mo_hinh'!$H$5+D80,B80&lt;'17_Gia_dinh_mo_hinh'!$H$5+D80+'17_Gia_dinh_mo_hinh'!$I$5),'17_Gia_dinh_mo_hinh'!$L$5*(1-'17_Gia_dinh_mo_hinh'!$M$5)/'17_Gia_dinh_mo_hinh'!$I$5,0)</x:f>
        <x:v>0</x:v>
      </x:c>
      <x:c r="H80" s="62" t="n">
        <x:f>G80*(1-'17_Gia_dinh_mo_hinh'!$N$5)</x:f>
        <x:v>0</x:v>
      </x:c>
      <x:c r="I80" s="62" t="n">
        <x:f>G80*'17_Gia_dinh_mo_hinh'!$O$5</x:f>
        <x:v>0</x:v>
      </x:c>
      <x:c r="J80" s="62" t="n">
        <x:f>G80*'17_Gia_dinh_mo_hinh'!$P$5</x:f>
        <x:v>0</x:v>
      </x:c>
      <x:c r="K80" s="62" t="n">
        <x:f>IF(B80&lt;='17_Gia_dinh_mo_hinh'!$J$5,'17_Gia_dinh_mo_hinh'!$K$5*(1-MIN(0.95,'17_Gia_dinh_mo_hinh'!$M$5*0.75))/'17_Gia_dinh_mo_hinh'!$J$5,0)</x:f>
        <x:v>171.42857142857142</x:v>
      </x:c>
      <x:c r="L80" s="62" t="n">
        <x:f>S79*'17_Gia_dinh_mo_hinh'!$Q$5/12</x:f>
        <x:v>23.741939191881613</x:v>
      </x:c>
      <x:c r="M80" s="62" t="n">
        <x:f>G80-H80-I80-J80-L80</x:f>
        <x:v>-23.741939191881613</x:v>
      </x:c>
      <x:c r="N80" s="62" t="n">
        <x:f>MAX(0,M80*'17_Gia_dinh_mo_hinh'!$S$5)</x:f>
        <x:v>0</x:v>
      </x:c>
      <x:c r="O80" s="62" t="n">
        <x:f>M80-N80</x:f>
        <x:v>-23.741939191881613</x:v>
      </x:c>
      <x:c r="P80" s="62" t="n">
        <x:f>F80-K80-I80-J80-N80-L80</x:f>
        <x:v>178.16282271288028</x:v>
      </x:c>
      <x:c r="Q80" s="62" t="n">
        <x:f>MIN(MAX(0,-(T79+P80)),MAX(0,'17_Gia_dinh_mo_hinh'!$R$5-S79))</x:f>
        <x:v>0</x:v>
      </x:c>
      <x:c r="R80" s="62" t="n">
        <x:f>MIN(MAX(0,T79+P80+Q80),S79+Q80)</x:f>
        <x:v>178.16282271288028</x:v>
      </x:c>
      <x:c r="S80" s="62" t="n">
        <x:f>S79+Q80-R80</x:f>
        <x:v>2820.81896994585</x:v>
      </x:c>
      <x:c r="T80" s="62" t="n">
        <x:f>MAX(0,T79+P80+Q80-R80)</x:f>
        <x:v>0</x:v>
      </x:c>
      <x:c r="U80" s="62" t="n">
        <x:f>MAX(0,-(T79+P80)-MAX(0,'17_Gia_dinh_mo_hinh'!$R$5-S79))</x:f>
        <x:v>0</x:v>
      </x:c>
      <x:c r="V80" s="61" t="str">
        <x:f>IF(B80&lt;'17_Gia_dinh_mo_hinh'!$F$5+D80,"Trước mở bán",IF(B80&lt;'17_Gia_dinh_mo_hinh'!$H$5+D80,"Bán hàng/thi công",IF(G80&gt;0,"Ghi nhận/bàn giao","Hậu bàn giao")))</x:f>
        <x:v>Bán hàng/thi công</x:v>
      </x:c>
    </x:row>
    <x:row r="81">
      <x:c r="A81" s="54" t="str">
        <x:v>DA02</x:v>
      </x:c>
      <x:c r="B81" s="54" t="n">
        <x:v>18</x:v>
      </x:c>
      <x:c r="C81" s="60" t="n">
        <x:f>EDATE('17_Gia_dinh_mo_hinh'!$C$5,B81-1)</x:f>
        <x:v>46753</x:v>
      </x:c>
      <x:c r="D81" s="61" t="n">
        <x:f>ROUNDUP('17_Gia_dinh_mo_hinh'!$E$5/30,0)</x:f>
        <x:v>3</x:v>
      </x:c>
      <x:c r="E81" s="62" t="n">
        <x:f>IF(AND(B81&gt;='17_Gia_dinh_mo_hinh'!$F$5+D81,B81&lt;'17_Gia_dinh_mo_hinh'!$F$5+D81+'17_Gia_dinh_mo_hinh'!$G$5),'17_Gia_dinh_mo_hinh'!$L$5*(1-'17_Gia_dinh_mo_hinh'!$M$5)/'17_Gia_dinh_mo_hinh'!$G$5,0)</x:f>
        <x:v>373.3333333333333</x:v>
      </x:c>
      <x:c r="F81" s="62" t="n">
        <x:f>0.70*E81+0.30*E80</x:f>
        <x:v>373.3333333333333</x:v>
      </x:c>
      <x:c r="G81" s="62" t="n">
        <x:f>IF(AND(B81&gt;='17_Gia_dinh_mo_hinh'!$H$5+D81,B81&lt;'17_Gia_dinh_mo_hinh'!$H$5+D81+'17_Gia_dinh_mo_hinh'!$I$5),'17_Gia_dinh_mo_hinh'!$L$5*(1-'17_Gia_dinh_mo_hinh'!$M$5)/'17_Gia_dinh_mo_hinh'!$I$5,0)</x:f>
        <x:v>0</x:v>
      </x:c>
      <x:c r="H81" s="62" t="n">
        <x:f>G81*(1-'17_Gia_dinh_mo_hinh'!$N$5)</x:f>
        <x:v>0</x:v>
      </x:c>
      <x:c r="I81" s="62" t="n">
        <x:f>G81*'17_Gia_dinh_mo_hinh'!$O$5</x:f>
        <x:v>0</x:v>
      </x:c>
      <x:c r="J81" s="62" t="n">
        <x:f>G81*'17_Gia_dinh_mo_hinh'!$P$5</x:f>
        <x:v>0</x:v>
      </x:c>
      <x:c r="K81" s="62" t="n">
        <x:f>IF(B81&lt;='17_Gia_dinh_mo_hinh'!$J$5,'17_Gia_dinh_mo_hinh'!$K$5*(1-MIN(0.95,'17_Gia_dinh_mo_hinh'!$M$5*0.75))/'17_Gia_dinh_mo_hinh'!$J$5,0)</x:f>
        <x:v>171.42857142857142</x:v>
      </x:c>
      <x:c r="L81" s="62" t="n">
        <x:f>S80*'17_Gia_dinh_mo_hinh'!$Q$5/12</x:f>
        <x:v>22.331483512071312</x:v>
      </x:c>
      <x:c r="M81" s="62" t="n">
        <x:f>G81-H81-I81-J81-L81</x:f>
        <x:v>-22.331483512071312</x:v>
      </x:c>
      <x:c r="N81" s="62" t="n">
        <x:f>MAX(0,M81*'17_Gia_dinh_mo_hinh'!$S$5)</x:f>
        <x:v>0</x:v>
      </x:c>
      <x:c r="O81" s="62" t="n">
        <x:f>M81-N81</x:f>
        <x:v>-22.331483512071312</x:v>
      </x:c>
      <x:c r="P81" s="62" t="n">
        <x:f>F81-K81-I81-J81-N81-L81</x:f>
        <x:v>179.57327839269058</x:v>
      </x:c>
      <x:c r="Q81" s="62" t="n">
        <x:f>MIN(MAX(0,-(T80+P81)),MAX(0,'17_Gia_dinh_mo_hinh'!$R$5-S80))</x:f>
        <x:v>0</x:v>
      </x:c>
      <x:c r="R81" s="62" t="n">
        <x:f>MIN(MAX(0,T80+P81+Q81),S80+Q81)</x:f>
        <x:v>179.57327839269058</x:v>
      </x:c>
      <x:c r="S81" s="62" t="n">
        <x:f>S80+Q81-R81</x:f>
        <x:v>2641.2456915531593</x:v>
      </x:c>
      <x:c r="T81" s="62" t="n">
        <x:f>MAX(0,T80+P81+Q81-R81)</x:f>
        <x:v>0</x:v>
      </x:c>
      <x:c r="U81" s="62" t="n">
        <x:f>MAX(0,-(T80+P81)-MAX(0,'17_Gia_dinh_mo_hinh'!$R$5-S80))</x:f>
        <x:v>0</x:v>
      </x:c>
      <x:c r="V81" s="61" t="str">
        <x:f>IF(B81&lt;'17_Gia_dinh_mo_hinh'!$F$5+D81,"Trước mở bán",IF(B81&lt;'17_Gia_dinh_mo_hinh'!$H$5+D81,"Bán hàng/thi công",IF(G81&gt;0,"Ghi nhận/bàn giao","Hậu bàn giao")))</x:f>
        <x:v>Bán hàng/thi công</x:v>
      </x:c>
    </x:row>
    <x:row r="82">
      <x:c r="A82" s="54" t="str">
        <x:v>DA02</x:v>
      </x:c>
      <x:c r="B82" s="54" t="n">
        <x:v>19</x:v>
      </x:c>
      <x:c r="C82" s="60" t="n">
        <x:f>EDATE('17_Gia_dinh_mo_hinh'!$C$5,B82-1)</x:f>
        <x:v>46784</x:v>
      </x:c>
      <x:c r="D82" s="61" t="n">
        <x:f>ROUNDUP('17_Gia_dinh_mo_hinh'!$E$5/30,0)</x:f>
        <x:v>3</x:v>
      </x:c>
      <x:c r="E82" s="62" t="n">
        <x:f>IF(AND(B82&gt;='17_Gia_dinh_mo_hinh'!$F$5+D82,B82&lt;'17_Gia_dinh_mo_hinh'!$F$5+D82+'17_Gia_dinh_mo_hinh'!$G$5),'17_Gia_dinh_mo_hinh'!$L$5*(1-'17_Gia_dinh_mo_hinh'!$M$5)/'17_Gia_dinh_mo_hinh'!$G$5,0)</x:f>
        <x:v>373.3333333333333</x:v>
      </x:c>
      <x:c r="F82" s="62" t="n">
        <x:f>0.70*E82+0.30*E81</x:f>
        <x:v>373.3333333333333</x:v>
      </x:c>
      <x:c r="G82" s="62" t="n">
        <x:f>IF(AND(B82&gt;='17_Gia_dinh_mo_hinh'!$H$5+D82,B82&lt;'17_Gia_dinh_mo_hinh'!$H$5+D82+'17_Gia_dinh_mo_hinh'!$I$5),'17_Gia_dinh_mo_hinh'!$L$5*(1-'17_Gia_dinh_mo_hinh'!$M$5)/'17_Gia_dinh_mo_hinh'!$I$5,0)</x:f>
        <x:v>0</x:v>
      </x:c>
      <x:c r="H82" s="62" t="n">
        <x:f>G82*(1-'17_Gia_dinh_mo_hinh'!$N$5)</x:f>
        <x:v>0</x:v>
      </x:c>
      <x:c r="I82" s="62" t="n">
        <x:f>G82*'17_Gia_dinh_mo_hinh'!$O$5</x:f>
        <x:v>0</x:v>
      </x:c>
      <x:c r="J82" s="62" t="n">
        <x:f>G82*'17_Gia_dinh_mo_hinh'!$P$5</x:f>
        <x:v>0</x:v>
      </x:c>
      <x:c r="K82" s="62" t="n">
        <x:f>IF(B82&lt;='17_Gia_dinh_mo_hinh'!$J$5,'17_Gia_dinh_mo_hinh'!$K$5*(1-MIN(0.95,'17_Gia_dinh_mo_hinh'!$M$5*0.75))/'17_Gia_dinh_mo_hinh'!$J$5,0)</x:f>
        <x:v>171.42857142857142</x:v>
      </x:c>
      <x:c r="L82" s="62" t="n">
        <x:f>S81*'17_Gia_dinh_mo_hinh'!$Q$5/12</x:f>
        <x:v>20.909861724795846</x:v>
      </x:c>
      <x:c r="M82" s="62" t="n">
        <x:f>G82-H82-I82-J82-L82</x:f>
        <x:v>-20.909861724795846</x:v>
      </x:c>
      <x:c r="N82" s="62" t="n">
        <x:f>MAX(0,M82*'17_Gia_dinh_mo_hinh'!$S$5)</x:f>
        <x:v>0</x:v>
      </x:c>
      <x:c r="O82" s="62" t="n">
        <x:f>M82-N82</x:f>
        <x:v>-20.909861724795846</x:v>
      </x:c>
      <x:c r="P82" s="62" t="n">
        <x:f>F82-K82-I82-J82-N82-L82</x:f>
        <x:v>180.99490017996607</x:v>
      </x:c>
      <x:c r="Q82" s="62" t="n">
        <x:f>MIN(MAX(0,-(T81+P82)),MAX(0,'17_Gia_dinh_mo_hinh'!$R$5-S81))</x:f>
        <x:v>0</x:v>
      </x:c>
      <x:c r="R82" s="62" t="n">
        <x:f>MIN(MAX(0,T81+P82+Q82),S81+Q82)</x:f>
        <x:v>180.99490017996607</x:v>
      </x:c>
      <x:c r="S82" s="62" t="n">
        <x:f>S81+Q82-R82</x:f>
        <x:v>2460.2507913731934</x:v>
      </x:c>
      <x:c r="T82" s="62" t="n">
        <x:f>MAX(0,T81+P82+Q82-R82)</x:f>
        <x:v>0</x:v>
      </x:c>
      <x:c r="U82" s="62" t="n">
        <x:f>MAX(0,-(T81+P82)-MAX(0,'17_Gia_dinh_mo_hinh'!$R$5-S81))</x:f>
        <x:v>0</x:v>
      </x:c>
      <x:c r="V82" s="61" t="str">
        <x:f>IF(B82&lt;'17_Gia_dinh_mo_hinh'!$F$5+D82,"Trước mở bán",IF(B82&lt;'17_Gia_dinh_mo_hinh'!$H$5+D82,"Bán hàng/thi công",IF(G82&gt;0,"Ghi nhận/bàn giao","Hậu bàn giao")))</x:f>
        <x:v>Bán hàng/thi công</x:v>
      </x:c>
    </x:row>
    <x:row r="83">
      <x:c r="A83" s="54" t="str">
        <x:v>DA02</x:v>
      </x:c>
      <x:c r="B83" s="54" t="n">
        <x:v>20</x:v>
      </x:c>
      <x:c r="C83" s="60" t="n">
        <x:f>EDATE('17_Gia_dinh_mo_hinh'!$C$5,B83-1)</x:f>
        <x:v>46813</x:v>
      </x:c>
      <x:c r="D83" s="61" t="n">
        <x:f>ROUNDUP('17_Gia_dinh_mo_hinh'!$E$5/30,0)</x:f>
        <x:v>3</x:v>
      </x:c>
      <x:c r="E83" s="62" t="n">
        <x:f>IF(AND(B83&gt;='17_Gia_dinh_mo_hinh'!$F$5+D83,B83&lt;'17_Gia_dinh_mo_hinh'!$F$5+D83+'17_Gia_dinh_mo_hinh'!$G$5),'17_Gia_dinh_mo_hinh'!$L$5*(1-'17_Gia_dinh_mo_hinh'!$M$5)/'17_Gia_dinh_mo_hinh'!$G$5,0)</x:f>
        <x:v>373.3333333333333</x:v>
      </x:c>
      <x:c r="F83" s="62" t="n">
        <x:f>0.70*E83+0.30*E82</x:f>
        <x:v>373.3333333333333</x:v>
      </x:c>
      <x:c r="G83" s="62" t="n">
        <x:f>IF(AND(B83&gt;='17_Gia_dinh_mo_hinh'!$H$5+D83,B83&lt;'17_Gia_dinh_mo_hinh'!$H$5+D83+'17_Gia_dinh_mo_hinh'!$I$5),'17_Gia_dinh_mo_hinh'!$L$5*(1-'17_Gia_dinh_mo_hinh'!$M$5)/'17_Gia_dinh_mo_hinh'!$I$5,0)</x:f>
        <x:v>0</x:v>
      </x:c>
      <x:c r="H83" s="62" t="n">
        <x:f>G83*(1-'17_Gia_dinh_mo_hinh'!$N$5)</x:f>
        <x:v>0</x:v>
      </x:c>
      <x:c r="I83" s="62" t="n">
        <x:f>G83*'17_Gia_dinh_mo_hinh'!$O$5</x:f>
        <x:v>0</x:v>
      </x:c>
      <x:c r="J83" s="62" t="n">
        <x:f>G83*'17_Gia_dinh_mo_hinh'!$P$5</x:f>
        <x:v>0</x:v>
      </x:c>
      <x:c r="K83" s="62" t="n">
        <x:f>IF(B83&lt;='17_Gia_dinh_mo_hinh'!$J$5,'17_Gia_dinh_mo_hinh'!$K$5*(1-MIN(0.95,'17_Gia_dinh_mo_hinh'!$M$5*0.75))/'17_Gia_dinh_mo_hinh'!$J$5,0)</x:f>
        <x:v>171.42857142857142</x:v>
      </x:c>
      <x:c r="L83" s="62" t="n">
        <x:f>S82*'17_Gia_dinh_mo_hinh'!$Q$5/12</x:f>
        <x:v>19.476985431704446</x:v>
      </x:c>
      <x:c r="M83" s="62" t="n">
        <x:f>G83-H83-I83-J83-L83</x:f>
        <x:v>-19.476985431704446</x:v>
      </x:c>
      <x:c r="N83" s="62" t="n">
        <x:f>MAX(0,M83*'17_Gia_dinh_mo_hinh'!$S$5)</x:f>
        <x:v>0</x:v>
      </x:c>
      <x:c r="O83" s="62" t="n">
        <x:f>M83-N83</x:f>
        <x:v>-19.476985431704446</x:v>
      </x:c>
      <x:c r="P83" s="62" t="n">
        <x:f>F83-K83-I83-J83-N83-L83</x:f>
        <x:v>182.42777647305746</x:v>
      </x:c>
      <x:c r="Q83" s="62" t="n">
        <x:f>MIN(MAX(0,-(T82+P83)),MAX(0,'17_Gia_dinh_mo_hinh'!$R$5-S82))</x:f>
        <x:v>0</x:v>
      </x:c>
      <x:c r="R83" s="62" t="n">
        <x:f>MIN(MAX(0,T82+P83+Q83),S82+Q83)</x:f>
        <x:v>182.42777647305746</x:v>
      </x:c>
      <x:c r="S83" s="62" t="n">
        <x:f>S82+Q83-R83</x:f>
        <x:v>2277.823014900136</x:v>
      </x:c>
      <x:c r="T83" s="62" t="n">
        <x:f>MAX(0,T82+P83+Q83-R83)</x:f>
        <x:v>0</x:v>
      </x:c>
      <x:c r="U83" s="62" t="n">
        <x:f>MAX(0,-(T82+P83)-MAX(0,'17_Gia_dinh_mo_hinh'!$R$5-S82))</x:f>
        <x:v>0</x:v>
      </x:c>
      <x:c r="V83" s="61" t="str">
        <x:f>IF(B83&lt;'17_Gia_dinh_mo_hinh'!$F$5+D83,"Trước mở bán",IF(B83&lt;'17_Gia_dinh_mo_hinh'!$H$5+D83,"Bán hàng/thi công",IF(G83&gt;0,"Ghi nhận/bàn giao","Hậu bàn giao")))</x:f>
        <x:v>Bán hàng/thi công</x:v>
      </x:c>
    </x:row>
    <x:row r="84">
      <x:c r="A84" s="54" t="str">
        <x:v>DA02</x:v>
      </x:c>
      <x:c r="B84" s="54" t="n">
        <x:v>21</x:v>
      </x:c>
      <x:c r="C84" s="60" t="n">
        <x:f>EDATE('17_Gia_dinh_mo_hinh'!$C$5,B84-1)</x:f>
        <x:v>46844</x:v>
      </x:c>
      <x:c r="D84" s="61" t="n">
        <x:f>ROUNDUP('17_Gia_dinh_mo_hinh'!$E$5/30,0)</x:f>
        <x:v>3</x:v>
      </x:c>
      <x:c r="E84" s="62" t="n">
        <x:f>IF(AND(B84&gt;='17_Gia_dinh_mo_hinh'!$F$5+D84,B84&lt;'17_Gia_dinh_mo_hinh'!$F$5+D84+'17_Gia_dinh_mo_hinh'!$G$5),'17_Gia_dinh_mo_hinh'!$L$5*(1-'17_Gia_dinh_mo_hinh'!$M$5)/'17_Gia_dinh_mo_hinh'!$G$5,0)</x:f>
        <x:v>373.3333333333333</x:v>
      </x:c>
      <x:c r="F84" s="62" t="n">
        <x:f>0.70*E84+0.30*E83</x:f>
        <x:v>373.3333333333333</x:v>
      </x:c>
      <x:c r="G84" s="62" t="n">
        <x:f>IF(AND(B84&gt;='17_Gia_dinh_mo_hinh'!$H$5+D84,B84&lt;'17_Gia_dinh_mo_hinh'!$H$5+D84+'17_Gia_dinh_mo_hinh'!$I$5),'17_Gia_dinh_mo_hinh'!$L$5*(1-'17_Gia_dinh_mo_hinh'!$M$5)/'17_Gia_dinh_mo_hinh'!$I$5,0)</x:f>
        <x:v>0</x:v>
      </x:c>
      <x:c r="H84" s="62" t="n">
        <x:f>G84*(1-'17_Gia_dinh_mo_hinh'!$N$5)</x:f>
        <x:v>0</x:v>
      </x:c>
      <x:c r="I84" s="62" t="n">
        <x:f>G84*'17_Gia_dinh_mo_hinh'!$O$5</x:f>
        <x:v>0</x:v>
      </x:c>
      <x:c r="J84" s="62" t="n">
        <x:f>G84*'17_Gia_dinh_mo_hinh'!$P$5</x:f>
        <x:v>0</x:v>
      </x:c>
      <x:c r="K84" s="62" t="n">
        <x:f>IF(B84&lt;='17_Gia_dinh_mo_hinh'!$J$5,'17_Gia_dinh_mo_hinh'!$K$5*(1-MIN(0.95,'17_Gia_dinh_mo_hinh'!$M$5*0.75))/'17_Gia_dinh_mo_hinh'!$J$5,0)</x:f>
        <x:v>171.42857142857142</x:v>
      </x:c>
      <x:c r="L84" s="62" t="n">
        <x:f>S83*'17_Gia_dinh_mo_hinh'!$Q$5/12</x:f>
        <x:v>18.032765534626076</x:v>
      </x:c>
      <x:c r="M84" s="62" t="n">
        <x:f>G84-H84-I84-J84-L84</x:f>
        <x:v>-18.032765534626076</x:v>
      </x:c>
      <x:c r="N84" s="62" t="n">
        <x:f>MAX(0,M84*'17_Gia_dinh_mo_hinh'!$S$5)</x:f>
        <x:v>0</x:v>
      </x:c>
      <x:c r="O84" s="62" t="n">
        <x:f>M84-N84</x:f>
        <x:v>-18.032765534626076</x:v>
      </x:c>
      <x:c r="P84" s="62" t="n">
        <x:f>F84-K84-I84-J84-N84-L84</x:f>
        <x:v>183.87199637013583</x:v>
      </x:c>
      <x:c r="Q84" s="62" t="n">
        <x:f>MIN(MAX(0,-(T83+P84)),MAX(0,'17_Gia_dinh_mo_hinh'!$R$5-S83))</x:f>
        <x:v>0</x:v>
      </x:c>
      <x:c r="R84" s="62" t="n">
        <x:f>MIN(MAX(0,T83+P84+Q84),S83+Q84)</x:f>
        <x:v>183.87199637013583</x:v>
      </x:c>
      <x:c r="S84" s="62" t="n">
        <x:f>S83+Q84-R84</x:f>
        <x:v>2093.95101853</x:v>
      </x:c>
      <x:c r="T84" s="62" t="n">
        <x:f>MAX(0,T83+P84+Q84-R84)</x:f>
        <x:v>0</x:v>
      </x:c>
      <x:c r="U84" s="62" t="n">
        <x:f>MAX(0,-(T83+P84)-MAX(0,'17_Gia_dinh_mo_hinh'!$R$5-S83))</x:f>
        <x:v>0</x:v>
      </x:c>
      <x:c r="V84" s="61" t="str">
        <x:f>IF(B84&lt;'17_Gia_dinh_mo_hinh'!$F$5+D84,"Trước mở bán",IF(B84&lt;'17_Gia_dinh_mo_hinh'!$H$5+D84,"Bán hàng/thi công",IF(G84&gt;0,"Ghi nhận/bàn giao","Hậu bàn giao")))</x:f>
        <x:v>Bán hàng/thi công</x:v>
      </x:c>
    </x:row>
    <x:row r="85">
      <x:c r="A85" s="54" t="str">
        <x:v>DA02</x:v>
      </x:c>
      <x:c r="B85" s="54" t="n">
        <x:v>22</x:v>
      </x:c>
      <x:c r="C85" s="60" t="n">
        <x:f>EDATE('17_Gia_dinh_mo_hinh'!$C$5,B85-1)</x:f>
        <x:v>46874</x:v>
      </x:c>
      <x:c r="D85" s="61" t="n">
        <x:f>ROUNDUP('17_Gia_dinh_mo_hinh'!$E$5/30,0)</x:f>
        <x:v>3</x:v>
      </x:c>
      <x:c r="E85" s="62" t="n">
        <x:f>IF(AND(B85&gt;='17_Gia_dinh_mo_hinh'!$F$5+D85,B85&lt;'17_Gia_dinh_mo_hinh'!$F$5+D85+'17_Gia_dinh_mo_hinh'!$G$5),'17_Gia_dinh_mo_hinh'!$L$5*(1-'17_Gia_dinh_mo_hinh'!$M$5)/'17_Gia_dinh_mo_hinh'!$G$5,0)</x:f>
        <x:v>373.3333333333333</x:v>
      </x:c>
      <x:c r="F85" s="62" t="n">
        <x:f>0.70*E85+0.30*E84</x:f>
        <x:v>373.3333333333333</x:v>
      </x:c>
      <x:c r="G85" s="62" t="n">
        <x:f>IF(AND(B85&gt;='17_Gia_dinh_mo_hinh'!$H$5+D85,B85&lt;'17_Gia_dinh_mo_hinh'!$H$5+D85+'17_Gia_dinh_mo_hinh'!$I$5),'17_Gia_dinh_mo_hinh'!$L$5*(1-'17_Gia_dinh_mo_hinh'!$M$5)/'17_Gia_dinh_mo_hinh'!$I$5,0)</x:f>
        <x:v>0</x:v>
      </x:c>
      <x:c r="H85" s="62" t="n">
        <x:f>G85*(1-'17_Gia_dinh_mo_hinh'!$N$5)</x:f>
        <x:v>0</x:v>
      </x:c>
      <x:c r="I85" s="62" t="n">
        <x:f>G85*'17_Gia_dinh_mo_hinh'!$O$5</x:f>
        <x:v>0</x:v>
      </x:c>
      <x:c r="J85" s="62" t="n">
        <x:f>G85*'17_Gia_dinh_mo_hinh'!$P$5</x:f>
        <x:v>0</x:v>
      </x:c>
      <x:c r="K85" s="62" t="n">
        <x:f>IF(B85&lt;='17_Gia_dinh_mo_hinh'!$J$5,'17_Gia_dinh_mo_hinh'!$K$5*(1-MIN(0.95,'17_Gia_dinh_mo_hinh'!$M$5*0.75))/'17_Gia_dinh_mo_hinh'!$J$5,0)</x:f>
        <x:v>171.42857142857142</x:v>
      </x:c>
      <x:c r="L85" s="62" t="n">
        <x:f>S84*'17_Gia_dinh_mo_hinh'!$Q$5/12</x:f>
        <x:v>16.57711223002917</x:v>
      </x:c>
      <x:c r="M85" s="62" t="n">
        <x:f>G85-H85-I85-J85-L85</x:f>
        <x:v>-16.57711223002917</x:v>
      </x:c>
      <x:c r="N85" s="62" t="n">
        <x:f>MAX(0,M85*'17_Gia_dinh_mo_hinh'!$S$5)</x:f>
        <x:v>0</x:v>
      </x:c>
      <x:c r="O85" s="62" t="n">
        <x:f>M85-N85</x:f>
        <x:v>-16.57711223002917</x:v>
      </x:c>
      <x:c r="P85" s="62" t="n">
        <x:f>F85-K85-I85-J85-N85-L85</x:f>
        <x:v>185.32764967473273</x:v>
      </x:c>
      <x:c r="Q85" s="62" t="n">
        <x:f>MIN(MAX(0,-(T84+P85)),MAX(0,'17_Gia_dinh_mo_hinh'!$R$5-S84))</x:f>
        <x:v>0</x:v>
      </x:c>
      <x:c r="R85" s="62" t="n">
        <x:f>MIN(MAX(0,T84+P85+Q85),S84+Q85)</x:f>
        <x:v>185.32764967473273</x:v>
      </x:c>
      <x:c r="S85" s="62" t="n">
        <x:f>S84+Q85-R85</x:f>
        <x:v>1908.6233688552672</x:v>
      </x:c>
      <x:c r="T85" s="62" t="n">
        <x:f>MAX(0,T84+P85+Q85-R85)</x:f>
        <x:v>0</x:v>
      </x:c>
      <x:c r="U85" s="62" t="n">
        <x:f>MAX(0,-(T84+P85)-MAX(0,'17_Gia_dinh_mo_hinh'!$R$5-S84))</x:f>
        <x:v>0</x:v>
      </x:c>
      <x:c r="V85" s="61" t="str">
        <x:f>IF(B85&lt;'17_Gia_dinh_mo_hinh'!$F$5+D85,"Trước mở bán",IF(B85&lt;'17_Gia_dinh_mo_hinh'!$H$5+D85,"Bán hàng/thi công",IF(G85&gt;0,"Ghi nhận/bàn giao","Hậu bàn giao")))</x:f>
        <x:v>Bán hàng/thi công</x:v>
      </x:c>
    </x:row>
    <x:row r="86">
      <x:c r="A86" s="54" t="str">
        <x:v>DA02</x:v>
      </x:c>
      <x:c r="B86" s="54" t="n">
        <x:v>23</x:v>
      </x:c>
      <x:c r="C86" s="60" t="n">
        <x:f>EDATE('17_Gia_dinh_mo_hinh'!$C$5,B86-1)</x:f>
        <x:v>46905</x:v>
      </x:c>
      <x:c r="D86" s="61" t="n">
        <x:f>ROUNDUP('17_Gia_dinh_mo_hinh'!$E$5/30,0)</x:f>
        <x:v>3</x:v>
      </x:c>
      <x:c r="E86" s="62" t="n">
        <x:f>IF(AND(B86&gt;='17_Gia_dinh_mo_hinh'!$F$5+D86,B86&lt;'17_Gia_dinh_mo_hinh'!$F$5+D86+'17_Gia_dinh_mo_hinh'!$G$5),'17_Gia_dinh_mo_hinh'!$L$5*(1-'17_Gia_dinh_mo_hinh'!$M$5)/'17_Gia_dinh_mo_hinh'!$G$5,0)</x:f>
        <x:v>373.3333333333333</x:v>
      </x:c>
      <x:c r="F86" s="62" t="n">
        <x:f>0.70*E86+0.30*E85</x:f>
        <x:v>373.3333333333333</x:v>
      </x:c>
      <x:c r="G86" s="62" t="n">
        <x:f>IF(AND(B86&gt;='17_Gia_dinh_mo_hinh'!$H$5+D86,B86&lt;'17_Gia_dinh_mo_hinh'!$H$5+D86+'17_Gia_dinh_mo_hinh'!$I$5),'17_Gia_dinh_mo_hinh'!$L$5*(1-'17_Gia_dinh_mo_hinh'!$M$5)/'17_Gia_dinh_mo_hinh'!$I$5,0)</x:f>
        <x:v>0</x:v>
      </x:c>
      <x:c r="H86" s="62" t="n">
        <x:f>G86*(1-'17_Gia_dinh_mo_hinh'!$N$5)</x:f>
        <x:v>0</x:v>
      </x:c>
      <x:c r="I86" s="62" t="n">
        <x:f>G86*'17_Gia_dinh_mo_hinh'!$O$5</x:f>
        <x:v>0</x:v>
      </x:c>
      <x:c r="J86" s="62" t="n">
        <x:f>G86*'17_Gia_dinh_mo_hinh'!$P$5</x:f>
        <x:v>0</x:v>
      </x:c>
      <x:c r="K86" s="62" t="n">
        <x:f>IF(B86&lt;='17_Gia_dinh_mo_hinh'!$J$5,'17_Gia_dinh_mo_hinh'!$K$5*(1-MIN(0.95,'17_Gia_dinh_mo_hinh'!$M$5*0.75))/'17_Gia_dinh_mo_hinh'!$J$5,0)</x:f>
        <x:v>171.42857142857142</x:v>
      </x:c>
      <x:c r="L86" s="62" t="n">
        <x:f>S85*'17_Gia_dinh_mo_hinh'!$Q$5/12</x:f>
        <x:v>15.109935003437533</x:v>
      </x:c>
      <x:c r="M86" s="62" t="n">
        <x:f>G86-H86-I86-J86-L86</x:f>
        <x:v>-15.109935003437533</x:v>
      </x:c>
      <x:c r="N86" s="62" t="n">
        <x:f>MAX(0,M86*'17_Gia_dinh_mo_hinh'!$S$5)</x:f>
        <x:v>0</x:v>
      </x:c>
      <x:c r="O86" s="62" t="n">
        <x:f>M86-N86</x:f>
        <x:v>-15.109935003437533</x:v>
      </x:c>
      <x:c r="P86" s="62" t="n">
        <x:f>F86-K86-I86-J86-N86-L86</x:f>
        <x:v>186.79482690132437</x:v>
      </x:c>
      <x:c r="Q86" s="62" t="n">
        <x:f>MIN(MAX(0,-(T85+P86)),MAX(0,'17_Gia_dinh_mo_hinh'!$R$5-S85))</x:f>
        <x:v>0</x:v>
      </x:c>
      <x:c r="R86" s="62" t="n">
        <x:f>MIN(MAX(0,T85+P86+Q86),S85+Q86)</x:f>
        <x:v>186.79482690132437</x:v>
      </x:c>
      <x:c r="S86" s="62" t="n">
        <x:f>S85+Q86-R86</x:f>
        <x:v>1721.828541953943</x:v>
      </x:c>
      <x:c r="T86" s="62" t="n">
        <x:f>MAX(0,T85+P86+Q86-R86)</x:f>
        <x:v>0</x:v>
      </x:c>
      <x:c r="U86" s="62" t="n">
        <x:f>MAX(0,-(T85+P86)-MAX(0,'17_Gia_dinh_mo_hinh'!$R$5-S85))</x:f>
        <x:v>0</x:v>
      </x:c>
      <x:c r="V86" s="61" t="str">
        <x:f>IF(B86&lt;'17_Gia_dinh_mo_hinh'!$F$5+D86,"Trước mở bán",IF(B86&lt;'17_Gia_dinh_mo_hinh'!$H$5+D86,"Bán hàng/thi công",IF(G86&gt;0,"Ghi nhận/bàn giao","Hậu bàn giao")))</x:f>
        <x:v>Bán hàng/thi công</x:v>
      </x:c>
    </x:row>
    <x:row r="87">
      <x:c r="A87" s="54" t="str">
        <x:v>DA02</x:v>
      </x:c>
      <x:c r="B87" s="54" t="n">
        <x:v>24</x:v>
      </x:c>
      <x:c r="C87" s="60" t="n">
        <x:f>EDATE('17_Gia_dinh_mo_hinh'!$C$5,B87-1)</x:f>
        <x:v>46935</x:v>
      </x:c>
      <x:c r="D87" s="61" t="n">
        <x:f>ROUNDUP('17_Gia_dinh_mo_hinh'!$E$5/30,0)</x:f>
        <x:v>3</x:v>
      </x:c>
      <x:c r="E87" s="62" t="n">
        <x:f>IF(AND(B87&gt;='17_Gia_dinh_mo_hinh'!$F$5+D87,B87&lt;'17_Gia_dinh_mo_hinh'!$F$5+D87+'17_Gia_dinh_mo_hinh'!$G$5),'17_Gia_dinh_mo_hinh'!$L$5*(1-'17_Gia_dinh_mo_hinh'!$M$5)/'17_Gia_dinh_mo_hinh'!$G$5,0)</x:f>
        <x:v>373.3333333333333</x:v>
      </x:c>
      <x:c r="F87" s="62" t="n">
        <x:f>0.70*E87+0.30*E86</x:f>
        <x:v>373.3333333333333</x:v>
      </x:c>
      <x:c r="G87" s="62" t="n">
        <x:f>IF(AND(B87&gt;='17_Gia_dinh_mo_hinh'!$H$5+D87,B87&lt;'17_Gia_dinh_mo_hinh'!$H$5+D87+'17_Gia_dinh_mo_hinh'!$I$5),'17_Gia_dinh_mo_hinh'!$L$5*(1-'17_Gia_dinh_mo_hinh'!$M$5)/'17_Gia_dinh_mo_hinh'!$I$5,0)</x:f>
        <x:v>0</x:v>
      </x:c>
      <x:c r="H87" s="62" t="n">
        <x:f>G87*(1-'17_Gia_dinh_mo_hinh'!$N$5)</x:f>
        <x:v>0</x:v>
      </x:c>
      <x:c r="I87" s="62" t="n">
        <x:f>G87*'17_Gia_dinh_mo_hinh'!$O$5</x:f>
        <x:v>0</x:v>
      </x:c>
      <x:c r="J87" s="62" t="n">
        <x:f>G87*'17_Gia_dinh_mo_hinh'!$P$5</x:f>
        <x:v>0</x:v>
      </x:c>
      <x:c r="K87" s="62" t="n">
        <x:f>IF(B87&lt;='17_Gia_dinh_mo_hinh'!$J$5,'17_Gia_dinh_mo_hinh'!$K$5*(1-MIN(0.95,'17_Gia_dinh_mo_hinh'!$M$5*0.75))/'17_Gia_dinh_mo_hinh'!$J$5,0)</x:f>
        <x:v>171.42857142857142</x:v>
      </x:c>
      <x:c r="L87" s="62" t="n">
        <x:f>S86*'17_Gia_dinh_mo_hinh'!$Q$5/12</x:f>
        <x:v>13.631142623802049</x:v>
      </x:c>
      <x:c r="M87" s="62" t="n">
        <x:f>G87-H87-I87-J87-L87</x:f>
        <x:v>-13.631142623802049</x:v>
      </x:c>
      <x:c r="N87" s="62" t="n">
        <x:f>MAX(0,M87*'17_Gia_dinh_mo_hinh'!$S$5)</x:f>
        <x:v>0</x:v>
      </x:c>
      <x:c r="O87" s="62" t="n">
        <x:f>M87-N87</x:f>
        <x:v>-13.631142623802049</x:v>
      </x:c>
      <x:c r="P87" s="62" t="n">
        <x:f>F87-K87-I87-J87-N87-L87</x:f>
        <x:v>188.27361928095985</x:v>
      </x:c>
      <x:c r="Q87" s="62" t="n">
        <x:f>MIN(MAX(0,-(T86+P87)),MAX(0,'17_Gia_dinh_mo_hinh'!$R$5-S86))</x:f>
        <x:v>0</x:v>
      </x:c>
      <x:c r="R87" s="62" t="n">
        <x:f>MIN(MAX(0,T86+P87+Q87),S86+Q87)</x:f>
        <x:v>188.27361928095985</x:v>
      </x:c>
      <x:c r="S87" s="62" t="n">
        <x:f>S86+Q87-R87</x:f>
        <x:v>1533.5549226729831</x:v>
      </x:c>
      <x:c r="T87" s="62" t="n">
        <x:f>MAX(0,T86+P87+Q87-R87)</x:f>
        <x:v>0</x:v>
      </x:c>
      <x:c r="U87" s="62" t="n">
        <x:f>MAX(0,-(T86+P87)-MAX(0,'17_Gia_dinh_mo_hinh'!$R$5-S86))</x:f>
        <x:v>0</x:v>
      </x:c>
      <x:c r="V87" s="61" t="str">
        <x:f>IF(B87&lt;'17_Gia_dinh_mo_hinh'!$F$5+D87,"Trước mở bán",IF(B87&lt;'17_Gia_dinh_mo_hinh'!$H$5+D87,"Bán hàng/thi công",IF(G87&gt;0,"Ghi nhận/bàn giao","Hậu bàn giao")))</x:f>
        <x:v>Bán hàng/thi công</x:v>
      </x:c>
    </x:row>
    <x:row r="88">
      <x:c r="A88" s="54" t="str">
        <x:v>DA02</x:v>
      </x:c>
      <x:c r="B88" s="54" t="n">
        <x:v>25</x:v>
      </x:c>
      <x:c r="C88" s="60" t="n">
        <x:f>EDATE('17_Gia_dinh_mo_hinh'!$C$5,B88-1)</x:f>
        <x:v>46966</x:v>
      </x:c>
      <x:c r="D88" s="61" t="n">
        <x:f>ROUNDUP('17_Gia_dinh_mo_hinh'!$E$5/30,0)</x:f>
        <x:v>3</x:v>
      </x:c>
      <x:c r="E88" s="62" t="n">
        <x:f>IF(AND(B88&gt;='17_Gia_dinh_mo_hinh'!$F$5+D88,B88&lt;'17_Gia_dinh_mo_hinh'!$F$5+D88+'17_Gia_dinh_mo_hinh'!$G$5),'17_Gia_dinh_mo_hinh'!$L$5*(1-'17_Gia_dinh_mo_hinh'!$M$5)/'17_Gia_dinh_mo_hinh'!$G$5,0)</x:f>
        <x:v>373.3333333333333</x:v>
      </x:c>
      <x:c r="F88" s="62" t="n">
        <x:f>0.70*E88+0.30*E87</x:f>
        <x:v>373.3333333333333</x:v>
      </x:c>
      <x:c r="G88" s="62" t="n">
        <x:f>IF(AND(B88&gt;='17_Gia_dinh_mo_hinh'!$H$5+D88,B88&lt;'17_Gia_dinh_mo_hinh'!$H$5+D88+'17_Gia_dinh_mo_hinh'!$I$5),'17_Gia_dinh_mo_hinh'!$L$5*(1-'17_Gia_dinh_mo_hinh'!$M$5)/'17_Gia_dinh_mo_hinh'!$I$5,0)</x:f>
        <x:v>0</x:v>
      </x:c>
      <x:c r="H88" s="62" t="n">
        <x:f>G88*(1-'17_Gia_dinh_mo_hinh'!$N$5)</x:f>
        <x:v>0</x:v>
      </x:c>
      <x:c r="I88" s="62" t="n">
        <x:f>G88*'17_Gia_dinh_mo_hinh'!$O$5</x:f>
        <x:v>0</x:v>
      </x:c>
      <x:c r="J88" s="62" t="n">
        <x:f>G88*'17_Gia_dinh_mo_hinh'!$P$5</x:f>
        <x:v>0</x:v>
      </x:c>
      <x:c r="K88" s="62" t="n">
        <x:f>IF(B88&lt;='17_Gia_dinh_mo_hinh'!$J$5,'17_Gia_dinh_mo_hinh'!$K$5*(1-MIN(0.95,'17_Gia_dinh_mo_hinh'!$M$5*0.75))/'17_Gia_dinh_mo_hinh'!$J$5,0)</x:f>
        <x:v>171.42857142857142</x:v>
      </x:c>
      <x:c r="L88" s="62" t="n">
        <x:f>S87*'17_Gia_dinh_mo_hinh'!$Q$5/12</x:f>
        <x:v>12.140643137827782</x:v>
      </x:c>
      <x:c r="M88" s="62" t="n">
        <x:f>G88-H88-I88-J88-L88</x:f>
        <x:v>-12.140643137827782</x:v>
      </x:c>
      <x:c r="N88" s="62" t="n">
        <x:f>MAX(0,M88*'17_Gia_dinh_mo_hinh'!$S$5)</x:f>
        <x:v>0</x:v>
      </x:c>
      <x:c r="O88" s="62" t="n">
        <x:f>M88-N88</x:f>
        <x:v>-12.140643137827782</x:v>
      </x:c>
      <x:c r="P88" s="62" t="n">
        <x:f>F88-K88-I88-J88-N88-L88</x:f>
        <x:v>189.7641187669341</x:v>
      </x:c>
      <x:c r="Q88" s="62" t="n">
        <x:f>MIN(MAX(0,-(T87+P88)),MAX(0,'17_Gia_dinh_mo_hinh'!$R$5-S87))</x:f>
        <x:v>0</x:v>
      </x:c>
      <x:c r="R88" s="62" t="n">
        <x:f>MIN(MAX(0,T87+P88+Q88),S87+Q88)</x:f>
        <x:v>189.7641187669341</x:v>
      </x:c>
      <x:c r="S88" s="62" t="n">
        <x:f>S87+Q88-R88</x:f>
        <x:v>1343.790803906049</x:v>
      </x:c>
      <x:c r="T88" s="62" t="n">
        <x:f>MAX(0,T87+P88+Q88-R88)</x:f>
        <x:v>0</x:v>
      </x:c>
      <x:c r="U88" s="62" t="n">
        <x:f>MAX(0,-(T87+P88)-MAX(0,'17_Gia_dinh_mo_hinh'!$R$5-S87))</x:f>
        <x:v>0</x:v>
      </x:c>
      <x:c r="V88" s="61" t="str">
        <x:f>IF(B88&lt;'17_Gia_dinh_mo_hinh'!$F$5+D88,"Trước mở bán",IF(B88&lt;'17_Gia_dinh_mo_hinh'!$H$5+D88,"Bán hàng/thi công",IF(G88&gt;0,"Ghi nhận/bàn giao","Hậu bàn giao")))</x:f>
        <x:v>Bán hàng/thi công</x:v>
      </x:c>
    </x:row>
    <x:row r="89">
      <x:c r="A89" s="54" t="str">
        <x:v>DA02</x:v>
      </x:c>
      <x:c r="B89" s="54" t="n">
        <x:v>26</x:v>
      </x:c>
      <x:c r="C89" s="60" t="n">
        <x:f>EDATE('17_Gia_dinh_mo_hinh'!$C$5,B89-1)</x:f>
        <x:v>46997</x:v>
      </x:c>
      <x:c r="D89" s="61" t="n">
        <x:f>ROUNDUP('17_Gia_dinh_mo_hinh'!$E$5/30,0)</x:f>
        <x:v>3</x:v>
      </x:c>
      <x:c r="E89" s="62" t="n">
        <x:f>IF(AND(B89&gt;='17_Gia_dinh_mo_hinh'!$F$5+D89,B89&lt;'17_Gia_dinh_mo_hinh'!$F$5+D89+'17_Gia_dinh_mo_hinh'!$G$5),'17_Gia_dinh_mo_hinh'!$L$5*(1-'17_Gia_dinh_mo_hinh'!$M$5)/'17_Gia_dinh_mo_hinh'!$G$5,0)</x:f>
        <x:v>373.3333333333333</x:v>
      </x:c>
      <x:c r="F89" s="62" t="n">
        <x:f>0.70*E89+0.30*E88</x:f>
        <x:v>373.3333333333333</x:v>
      </x:c>
      <x:c r="G89" s="62" t="n">
        <x:f>IF(AND(B89&gt;='17_Gia_dinh_mo_hinh'!$H$5+D89,B89&lt;'17_Gia_dinh_mo_hinh'!$H$5+D89+'17_Gia_dinh_mo_hinh'!$I$5),'17_Gia_dinh_mo_hinh'!$L$5*(1-'17_Gia_dinh_mo_hinh'!$M$5)/'17_Gia_dinh_mo_hinh'!$I$5,0)</x:f>
        <x:v>0</x:v>
      </x:c>
      <x:c r="H89" s="62" t="n">
        <x:f>G89*(1-'17_Gia_dinh_mo_hinh'!$N$5)</x:f>
        <x:v>0</x:v>
      </x:c>
      <x:c r="I89" s="62" t="n">
        <x:f>G89*'17_Gia_dinh_mo_hinh'!$O$5</x:f>
        <x:v>0</x:v>
      </x:c>
      <x:c r="J89" s="62" t="n">
        <x:f>G89*'17_Gia_dinh_mo_hinh'!$P$5</x:f>
        <x:v>0</x:v>
      </x:c>
      <x:c r="K89" s="62" t="n">
        <x:f>IF(B89&lt;='17_Gia_dinh_mo_hinh'!$J$5,'17_Gia_dinh_mo_hinh'!$K$5*(1-MIN(0.95,'17_Gia_dinh_mo_hinh'!$M$5*0.75))/'17_Gia_dinh_mo_hinh'!$J$5,0)</x:f>
        <x:v>171.42857142857142</x:v>
      </x:c>
      <x:c r="L89" s="62" t="n">
        <x:f>S88*'17_Gia_dinh_mo_hinh'!$Q$5/12</x:f>
        <x:v>10.638343864256221</x:v>
      </x:c>
      <x:c r="M89" s="62" t="n">
        <x:f>G89-H89-I89-J89-L89</x:f>
        <x:v>-10.638343864256221</x:v>
      </x:c>
      <x:c r="N89" s="62" t="n">
        <x:f>MAX(0,M89*'17_Gia_dinh_mo_hinh'!$S$5)</x:f>
        <x:v>0</x:v>
      </x:c>
      <x:c r="O89" s="62" t="n">
        <x:f>M89-N89</x:f>
        <x:v>-10.638343864256221</x:v>
      </x:c>
      <x:c r="P89" s="62" t="n">
        <x:f>F89-K89-I89-J89-N89-L89</x:f>
        <x:v>191.26641804050567</x:v>
      </x:c>
      <x:c r="Q89" s="62" t="n">
        <x:f>MIN(MAX(0,-(T88+P89)),MAX(0,'17_Gia_dinh_mo_hinh'!$R$5-S88))</x:f>
        <x:v>0</x:v>
      </x:c>
      <x:c r="R89" s="62" t="n">
        <x:f>MIN(MAX(0,T88+P89+Q89),S88+Q89)</x:f>
        <x:v>191.26641804050567</x:v>
      </x:c>
      <x:c r="S89" s="62" t="n">
        <x:f>S88+Q89-R89</x:f>
        <x:v>1152.5243858655433</x:v>
      </x:c>
      <x:c r="T89" s="62" t="n">
        <x:f>MAX(0,T88+P89+Q89-R89)</x:f>
        <x:v>0</x:v>
      </x:c>
      <x:c r="U89" s="62" t="n">
        <x:f>MAX(0,-(T88+P89)-MAX(0,'17_Gia_dinh_mo_hinh'!$R$5-S88))</x:f>
        <x:v>0</x:v>
      </x:c>
      <x:c r="V89" s="61" t="str">
        <x:f>IF(B89&lt;'17_Gia_dinh_mo_hinh'!$F$5+D89,"Trước mở bán",IF(B89&lt;'17_Gia_dinh_mo_hinh'!$H$5+D89,"Bán hàng/thi công",IF(G89&gt;0,"Ghi nhận/bàn giao","Hậu bàn giao")))</x:f>
        <x:v>Bán hàng/thi công</x:v>
      </x:c>
    </x:row>
    <x:row r="90">
      <x:c r="A90" s="54" t="str">
        <x:v>DA02</x:v>
      </x:c>
      <x:c r="B90" s="54" t="n">
        <x:v>27</x:v>
      </x:c>
      <x:c r="C90" s="60" t="n">
        <x:f>EDATE('17_Gia_dinh_mo_hinh'!$C$5,B90-1)</x:f>
        <x:v>47027</x:v>
      </x:c>
      <x:c r="D90" s="61" t="n">
        <x:f>ROUNDUP('17_Gia_dinh_mo_hinh'!$E$5/30,0)</x:f>
        <x:v>3</x:v>
      </x:c>
      <x:c r="E90" s="62" t="n">
        <x:f>IF(AND(B90&gt;='17_Gia_dinh_mo_hinh'!$F$5+D90,B90&lt;'17_Gia_dinh_mo_hinh'!$F$5+D90+'17_Gia_dinh_mo_hinh'!$G$5),'17_Gia_dinh_mo_hinh'!$L$5*(1-'17_Gia_dinh_mo_hinh'!$M$5)/'17_Gia_dinh_mo_hinh'!$G$5,0)</x:f>
        <x:v>373.3333333333333</x:v>
      </x:c>
      <x:c r="F90" s="62" t="n">
        <x:f>0.70*E90+0.30*E89</x:f>
        <x:v>373.3333333333333</x:v>
      </x:c>
      <x:c r="G90" s="62" t="n">
        <x:f>IF(AND(B90&gt;='17_Gia_dinh_mo_hinh'!$H$5+D90,B90&lt;'17_Gia_dinh_mo_hinh'!$H$5+D90+'17_Gia_dinh_mo_hinh'!$I$5),'17_Gia_dinh_mo_hinh'!$L$5*(1-'17_Gia_dinh_mo_hinh'!$M$5)/'17_Gia_dinh_mo_hinh'!$I$5,0)</x:f>
        <x:v>0</x:v>
      </x:c>
      <x:c r="H90" s="62" t="n">
        <x:f>G90*(1-'17_Gia_dinh_mo_hinh'!$N$5)</x:f>
        <x:v>0</x:v>
      </x:c>
      <x:c r="I90" s="62" t="n">
        <x:f>G90*'17_Gia_dinh_mo_hinh'!$O$5</x:f>
        <x:v>0</x:v>
      </x:c>
      <x:c r="J90" s="62" t="n">
        <x:f>G90*'17_Gia_dinh_mo_hinh'!$P$5</x:f>
        <x:v>0</x:v>
      </x:c>
      <x:c r="K90" s="62" t="n">
        <x:f>IF(B90&lt;='17_Gia_dinh_mo_hinh'!$J$5,'17_Gia_dinh_mo_hinh'!$K$5*(1-MIN(0.95,'17_Gia_dinh_mo_hinh'!$M$5*0.75))/'17_Gia_dinh_mo_hinh'!$J$5,0)</x:f>
        <x:v>171.42857142857142</x:v>
      </x:c>
      <x:c r="L90" s="62" t="n">
        <x:f>S89*'17_Gia_dinh_mo_hinh'!$Q$5/12</x:f>
        <x:v>9.124151388102218</x:v>
      </x:c>
      <x:c r="M90" s="62" t="n">
        <x:f>G90-H90-I90-J90-L90</x:f>
        <x:v>-9.124151388102218</x:v>
      </x:c>
      <x:c r="N90" s="62" t="n">
        <x:f>MAX(0,M90*'17_Gia_dinh_mo_hinh'!$S$5)</x:f>
        <x:v>0</x:v>
      </x:c>
      <x:c r="O90" s="62" t="n">
        <x:f>M90-N90</x:f>
        <x:v>-9.124151388102218</x:v>
      </x:c>
      <x:c r="P90" s="62" t="n">
        <x:f>F90-K90-I90-J90-N90-L90</x:f>
        <x:v>192.7806105166597</x:v>
      </x:c>
      <x:c r="Q90" s="62" t="n">
        <x:f>MIN(MAX(0,-(T89+P90)),MAX(0,'17_Gia_dinh_mo_hinh'!$R$5-S89))</x:f>
        <x:v>0</x:v>
      </x:c>
      <x:c r="R90" s="62" t="n">
        <x:f>MIN(MAX(0,T89+P90+Q90),S89+Q90)</x:f>
        <x:v>192.7806105166597</x:v>
      </x:c>
      <x:c r="S90" s="62" t="n">
        <x:f>S89+Q90-R90</x:f>
        <x:v>959.7437753488837</x:v>
      </x:c>
      <x:c r="T90" s="62" t="n">
        <x:f>MAX(0,T89+P90+Q90-R90)</x:f>
        <x:v>0</x:v>
      </x:c>
      <x:c r="U90" s="62" t="n">
        <x:f>MAX(0,-(T89+P90)-MAX(0,'17_Gia_dinh_mo_hinh'!$R$5-S89))</x:f>
        <x:v>0</x:v>
      </x:c>
      <x:c r="V90" s="61" t="str">
        <x:f>IF(B90&lt;'17_Gia_dinh_mo_hinh'!$F$5+D90,"Trước mở bán",IF(B90&lt;'17_Gia_dinh_mo_hinh'!$H$5+D90,"Bán hàng/thi công",IF(G90&gt;0,"Ghi nhận/bàn giao","Hậu bàn giao")))</x:f>
        <x:v>Bán hàng/thi công</x:v>
      </x:c>
    </x:row>
    <x:row r="91">
      <x:c r="A91" s="54" t="str">
        <x:v>DA02</x:v>
      </x:c>
      <x:c r="B91" s="54" t="n">
        <x:v>28</x:v>
      </x:c>
      <x:c r="C91" s="60" t="n">
        <x:f>EDATE('17_Gia_dinh_mo_hinh'!$C$5,B91-1)</x:f>
        <x:v>47058</x:v>
      </x:c>
      <x:c r="D91" s="61" t="n">
        <x:f>ROUNDUP('17_Gia_dinh_mo_hinh'!$E$5/30,0)</x:f>
        <x:v>3</x:v>
      </x:c>
      <x:c r="E91" s="62" t="n">
        <x:f>IF(AND(B91&gt;='17_Gia_dinh_mo_hinh'!$F$5+D91,B91&lt;'17_Gia_dinh_mo_hinh'!$F$5+D91+'17_Gia_dinh_mo_hinh'!$G$5),'17_Gia_dinh_mo_hinh'!$L$5*(1-'17_Gia_dinh_mo_hinh'!$M$5)/'17_Gia_dinh_mo_hinh'!$G$5,0)</x:f>
        <x:v>373.3333333333333</x:v>
      </x:c>
      <x:c r="F91" s="62" t="n">
        <x:f>0.70*E91+0.30*E90</x:f>
        <x:v>373.3333333333333</x:v>
      </x:c>
      <x:c r="G91" s="62" t="n">
        <x:f>IF(AND(B91&gt;='17_Gia_dinh_mo_hinh'!$H$5+D91,B91&lt;'17_Gia_dinh_mo_hinh'!$H$5+D91+'17_Gia_dinh_mo_hinh'!$I$5),'17_Gia_dinh_mo_hinh'!$L$5*(1-'17_Gia_dinh_mo_hinh'!$M$5)/'17_Gia_dinh_mo_hinh'!$I$5,0)</x:f>
        <x:v>0</x:v>
      </x:c>
      <x:c r="H91" s="62" t="n">
        <x:f>G91*(1-'17_Gia_dinh_mo_hinh'!$N$5)</x:f>
        <x:v>0</x:v>
      </x:c>
      <x:c r="I91" s="62" t="n">
        <x:f>G91*'17_Gia_dinh_mo_hinh'!$O$5</x:f>
        <x:v>0</x:v>
      </x:c>
      <x:c r="J91" s="62" t="n">
        <x:f>G91*'17_Gia_dinh_mo_hinh'!$P$5</x:f>
        <x:v>0</x:v>
      </x:c>
      <x:c r="K91" s="62" t="n">
        <x:f>IF(B91&lt;='17_Gia_dinh_mo_hinh'!$J$5,'17_Gia_dinh_mo_hinh'!$K$5*(1-MIN(0.95,'17_Gia_dinh_mo_hinh'!$M$5*0.75))/'17_Gia_dinh_mo_hinh'!$J$5,0)</x:f>
        <x:v>171.42857142857142</x:v>
      </x:c>
      <x:c r="L91" s="62" t="n">
        <x:f>S90*'17_Gia_dinh_mo_hinh'!$Q$5/12</x:f>
        <x:v>7.597971554845329</x:v>
      </x:c>
      <x:c r="M91" s="62" t="n">
        <x:f>G91-H91-I91-J91-L91</x:f>
        <x:v>-7.597971554845329</x:v>
      </x:c>
      <x:c r="N91" s="62" t="n">
        <x:f>MAX(0,M91*'17_Gia_dinh_mo_hinh'!$S$5)</x:f>
        <x:v>0</x:v>
      </x:c>
      <x:c r="O91" s="62" t="n">
        <x:f>M91-N91</x:f>
        <x:v>-7.597971554845329</x:v>
      </x:c>
      <x:c r="P91" s="62" t="n">
        <x:f>F91-K91-I91-J91-N91-L91</x:f>
        <x:v>194.30679034991658</x:v>
      </x:c>
      <x:c r="Q91" s="62" t="n">
        <x:f>MIN(MAX(0,-(T90+P91)),MAX(0,'17_Gia_dinh_mo_hinh'!$R$5-S90))</x:f>
        <x:v>0</x:v>
      </x:c>
      <x:c r="R91" s="62" t="n">
        <x:f>MIN(MAX(0,T90+P91+Q91),S90+Q91)</x:f>
        <x:v>194.30679034991658</x:v>
      </x:c>
      <x:c r="S91" s="62" t="n">
        <x:f>S90+Q91-R91</x:f>
        <x:v>765.4369849989671</x:v>
      </x:c>
      <x:c r="T91" s="62" t="n">
        <x:f>MAX(0,T90+P91+Q91-R91)</x:f>
        <x:v>0</x:v>
      </x:c>
      <x:c r="U91" s="62" t="n">
        <x:f>MAX(0,-(T90+P91)-MAX(0,'17_Gia_dinh_mo_hinh'!$R$5-S90))</x:f>
        <x:v>0</x:v>
      </x:c>
      <x:c r="V91" s="61" t="str">
        <x:f>IF(B91&lt;'17_Gia_dinh_mo_hinh'!$F$5+D91,"Trước mở bán",IF(B91&lt;'17_Gia_dinh_mo_hinh'!$H$5+D91,"Bán hàng/thi công",IF(G91&gt;0,"Ghi nhận/bàn giao","Hậu bàn giao")))</x:f>
        <x:v>Bán hàng/thi công</x:v>
      </x:c>
    </x:row>
    <x:row r="92">
      <x:c r="A92" s="54" t="str">
        <x:v>DA02</x:v>
      </x:c>
      <x:c r="B92" s="54" t="n">
        <x:v>29</x:v>
      </x:c>
      <x:c r="C92" s="60" t="n">
        <x:f>EDATE('17_Gia_dinh_mo_hinh'!$C$5,B92-1)</x:f>
        <x:v>47088</x:v>
      </x:c>
      <x:c r="D92" s="61" t="n">
        <x:f>ROUNDUP('17_Gia_dinh_mo_hinh'!$E$5/30,0)</x:f>
        <x:v>3</x:v>
      </x:c>
      <x:c r="E92" s="62" t="n">
        <x:f>IF(AND(B92&gt;='17_Gia_dinh_mo_hinh'!$F$5+D92,B92&lt;'17_Gia_dinh_mo_hinh'!$F$5+D92+'17_Gia_dinh_mo_hinh'!$G$5),'17_Gia_dinh_mo_hinh'!$L$5*(1-'17_Gia_dinh_mo_hinh'!$M$5)/'17_Gia_dinh_mo_hinh'!$G$5,0)</x:f>
        <x:v>373.3333333333333</x:v>
      </x:c>
      <x:c r="F92" s="62" t="n">
        <x:f>0.70*E92+0.30*E91</x:f>
        <x:v>373.3333333333333</x:v>
      </x:c>
      <x:c r="G92" s="62" t="n">
        <x:f>IF(AND(B92&gt;='17_Gia_dinh_mo_hinh'!$H$5+D92,B92&lt;'17_Gia_dinh_mo_hinh'!$H$5+D92+'17_Gia_dinh_mo_hinh'!$I$5),'17_Gia_dinh_mo_hinh'!$L$5*(1-'17_Gia_dinh_mo_hinh'!$M$5)/'17_Gia_dinh_mo_hinh'!$I$5,0)</x:f>
        <x:v>0</x:v>
      </x:c>
      <x:c r="H92" s="62" t="n">
        <x:f>G92*(1-'17_Gia_dinh_mo_hinh'!$N$5)</x:f>
        <x:v>0</x:v>
      </x:c>
      <x:c r="I92" s="62" t="n">
        <x:f>G92*'17_Gia_dinh_mo_hinh'!$O$5</x:f>
        <x:v>0</x:v>
      </x:c>
      <x:c r="J92" s="62" t="n">
        <x:f>G92*'17_Gia_dinh_mo_hinh'!$P$5</x:f>
        <x:v>0</x:v>
      </x:c>
      <x:c r="K92" s="62" t="n">
        <x:f>IF(B92&lt;='17_Gia_dinh_mo_hinh'!$J$5,'17_Gia_dinh_mo_hinh'!$K$5*(1-MIN(0.95,'17_Gia_dinh_mo_hinh'!$M$5*0.75))/'17_Gia_dinh_mo_hinh'!$J$5,0)</x:f>
        <x:v>171.42857142857142</x:v>
      </x:c>
      <x:c r="L92" s="62" t="n">
        <x:f>S91*'17_Gia_dinh_mo_hinh'!$Q$5/12</x:f>
        <x:v>6.059709464575156</x:v>
      </x:c>
      <x:c r="M92" s="62" t="n">
        <x:f>G92-H92-I92-J92-L92</x:f>
        <x:v>-6.059709464575156</x:v>
      </x:c>
      <x:c r="N92" s="62" t="n">
        <x:f>MAX(0,M92*'17_Gia_dinh_mo_hinh'!$S$5)</x:f>
        <x:v>0</x:v>
      </x:c>
      <x:c r="O92" s="62" t="n">
        <x:f>M92-N92</x:f>
        <x:v>-6.059709464575156</x:v>
      </x:c>
      <x:c r="P92" s="62" t="n">
        <x:f>F92-K92-I92-J92-N92-L92</x:f>
        <x:v>195.84505244018675</x:v>
      </x:c>
      <x:c r="Q92" s="62" t="n">
        <x:f>MIN(MAX(0,-(T91+P92)),MAX(0,'17_Gia_dinh_mo_hinh'!$R$5-S91))</x:f>
        <x:v>0</x:v>
      </x:c>
      <x:c r="R92" s="62" t="n">
        <x:f>MIN(MAX(0,T91+P92+Q92),S91+Q92)</x:f>
        <x:v>195.84505244018675</x:v>
      </x:c>
      <x:c r="S92" s="62" t="n">
        <x:f>S91+Q92-R92</x:f>
        <x:v>569.5919325587804</x:v>
      </x:c>
      <x:c r="T92" s="62" t="n">
        <x:f>MAX(0,T91+P92+Q92-R92)</x:f>
        <x:v>0</x:v>
      </x:c>
      <x:c r="U92" s="62" t="n">
        <x:f>MAX(0,-(T91+P92)-MAX(0,'17_Gia_dinh_mo_hinh'!$R$5-S91))</x:f>
        <x:v>0</x:v>
      </x:c>
      <x:c r="V92" s="61" t="str">
        <x:f>IF(B92&lt;'17_Gia_dinh_mo_hinh'!$F$5+D92,"Trước mở bán",IF(B92&lt;'17_Gia_dinh_mo_hinh'!$H$5+D92,"Bán hàng/thi công",IF(G92&gt;0,"Ghi nhận/bàn giao","Hậu bàn giao")))</x:f>
        <x:v>Bán hàng/thi công</x:v>
      </x:c>
    </x:row>
    <x:row r="93">
      <x:c r="A93" s="54" t="str">
        <x:v>DA02</x:v>
      </x:c>
      <x:c r="B93" s="54" t="n">
        <x:v>30</x:v>
      </x:c>
      <x:c r="C93" s="60" t="n">
        <x:f>EDATE('17_Gia_dinh_mo_hinh'!$C$5,B93-1)</x:f>
        <x:v>47119</x:v>
      </x:c>
      <x:c r="D93" s="61" t="n">
        <x:f>ROUNDUP('17_Gia_dinh_mo_hinh'!$E$5/30,0)</x:f>
        <x:v>3</x:v>
      </x:c>
      <x:c r="E93" s="62" t="n">
        <x:f>IF(AND(B93&gt;='17_Gia_dinh_mo_hinh'!$F$5+D93,B93&lt;'17_Gia_dinh_mo_hinh'!$F$5+D93+'17_Gia_dinh_mo_hinh'!$G$5),'17_Gia_dinh_mo_hinh'!$L$5*(1-'17_Gia_dinh_mo_hinh'!$M$5)/'17_Gia_dinh_mo_hinh'!$G$5,0)</x:f>
        <x:v>373.3333333333333</x:v>
      </x:c>
      <x:c r="F93" s="62" t="n">
        <x:f>0.70*E93+0.30*E92</x:f>
        <x:v>373.3333333333333</x:v>
      </x:c>
      <x:c r="G93" s="62" t="n">
        <x:f>IF(AND(B93&gt;='17_Gia_dinh_mo_hinh'!$H$5+D93,B93&lt;'17_Gia_dinh_mo_hinh'!$H$5+D93+'17_Gia_dinh_mo_hinh'!$I$5),'17_Gia_dinh_mo_hinh'!$L$5*(1-'17_Gia_dinh_mo_hinh'!$M$5)/'17_Gia_dinh_mo_hinh'!$I$5,0)</x:f>
        <x:v>0</x:v>
      </x:c>
      <x:c r="H93" s="62" t="n">
        <x:f>G93*(1-'17_Gia_dinh_mo_hinh'!$N$5)</x:f>
        <x:v>0</x:v>
      </x:c>
      <x:c r="I93" s="62" t="n">
        <x:f>G93*'17_Gia_dinh_mo_hinh'!$O$5</x:f>
        <x:v>0</x:v>
      </x:c>
      <x:c r="J93" s="62" t="n">
        <x:f>G93*'17_Gia_dinh_mo_hinh'!$P$5</x:f>
        <x:v>0</x:v>
      </x:c>
      <x:c r="K93" s="62" t="n">
        <x:f>IF(B93&lt;='17_Gia_dinh_mo_hinh'!$J$5,'17_Gia_dinh_mo_hinh'!$K$5*(1-MIN(0.95,'17_Gia_dinh_mo_hinh'!$M$5*0.75))/'17_Gia_dinh_mo_hinh'!$J$5,0)</x:f>
        <x:v>171.42857142857142</x:v>
      </x:c>
      <x:c r="L93" s="62" t="n">
        <x:f>S92*'17_Gia_dinh_mo_hinh'!$Q$5/12</x:f>
        <x:v>4.509269466090345</x:v>
      </x:c>
      <x:c r="M93" s="62" t="n">
        <x:f>G93-H93-I93-J93-L93</x:f>
        <x:v>-4.509269466090345</x:v>
      </x:c>
      <x:c r="N93" s="62" t="n">
        <x:f>MAX(0,M93*'17_Gia_dinh_mo_hinh'!$S$5)</x:f>
        <x:v>0</x:v>
      </x:c>
      <x:c r="O93" s="62" t="n">
        <x:f>M93-N93</x:f>
        <x:v>-4.509269466090345</x:v>
      </x:c>
      <x:c r="P93" s="62" t="n">
        <x:f>F93-K93-I93-J93-N93-L93</x:f>
        <x:v>197.39549243867157</x:v>
      </x:c>
      <x:c r="Q93" s="62" t="n">
        <x:f>MIN(MAX(0,-(T92+P93)),MAX(0,'17_Gia_dinh_mo_hinh'!$R$5-S92))</x:f>
        <x:v>0</x:v>
      </x:c>
      <x:c r="R93" s="62" t="n">
        <x:f>MIN(MAX(0,T92+P93+Q93),S92+Q93)</x:f>
        <x:v>197.39549243867157</x:v>
      </x:c>
      <x:c r="S93" s="62" t="n">
        <x:f>S92+Q93-R93</x:f>
        <x:v>372.19644012010883</x:v>
      </x:c>
      <x:c r="T93" s="62" t="n">
        <x:f>MAX(0,T92+P93+Q93-R93)</x:f>
        <x:v>0</x:v>
      </x:c>
      <x:c r="U93" s="62" t="n">
        <x:f>MAX(0,-(T92+P93)-MAX(0,'17_Gia_dinh_mo_hinh'!$R$5-S92))</x:f>
        <x:v>0</x:v>
      </x:c>
      <x:c r="V93" s="61" t="str">
        <x:f>IF(B93&lt;'17_Gia_dinh_mo_hinh'!$F$5+D93,"Trước mở bán",IF(B93&lt;'17_Gia_dinh_mo_hinh'!$H$5+D93,"Bán hàng/thi công",IF(G93&gt;0,"Ghi nhận/bàn giao","Hậu bàn giao")))</x:f>
        <x:v>Bán hàng/thi công</x:v>
      </x:c>
    </x:row>
    <x:row r="94">
      <x:c r="A94" s="54" t="str">
        <x:v>DA02</x:v>
      </x:c>
      <x:c r="B94" s="54" t="n">
        <x:v>31</x:v>
      </x:c>
      <x:c r="C94" s="60" t="n">
        <x:f>EDATE('17_Gia_dinh_mo_hinh'!$C$5,B94-1)</x:f>
        <x:v>47150</x:v>
      </x:c>
      <x:c r="D94" s="61" t="n">
        <x:f>ROUNDUP('17_Gia_dinh_mo_hinh'!$E$5/30,0)</x:f>
        <x:v>3</x:v>
      </x:c>
      <x:c r="E94" s="62" t="n">
        <x:f>IF(AND(B94&gt;='17_Gia_dinh_mo_hinh'!$F$5+D94,B94&lt;'17_Gia_dinh_mo_hinh'!$F$5+D94+'17_Gia_dinh_mo_hinh'!$G$5),'17_Gia_dinh_mo_hinh'!$L$5*(1-'17_Gia_dinh_mo_hinh'!$M$5)/'17_Gia_dinh_mo_hinh'!$G$5,0)</x:f>
        <x:v>373.3333333333333</x:v>
      </x:c>
      <x:c r="F94" s="62" t="n">
        <x:f>0.70*E94+0.30*E93</x:f>
        <x:v>373.3333333333333</x:v>
      </x:c>
      <x:c r="G94" s="62" t="n">
        <x:f>IF(AND(B94&gt;='17_Gia_dinh_mo_hinh'!$H$5+D94,B94&lt;'17_Gia_dinh_mo_hinh'!$H$5+D94+'17_Gia_dinh_mo_hinh'!$I$5),'17_Gia_dinh_mo_hinh'!$L$5*(1-'17_Gia_dinh_mo_hinh'!$M$5)/'17_Gia_dinh_mo_hinh'!$I$5,0)</x:f>
        <x:v>0</x:v>
      </x:c>
      <x:c r="H94" s="62" t="n">
        <x:f>G94*(1-'17_Gia_dinh_mo_hinh'!$N$5)</x:f>
        <x:v>0</x:v>
      </x:c>
      <x:c r="I94" s="62" t="n">
        <x:f>G94*'17_Gia_dinh_mo_hinh'!$O$5</x:f>
        <x:v>0</x:v>
      </x:c>
      <x:c r="J94" s="62" t="n">
        <x:f>G94*'17_Gia_dinh_mo_hinh'!$P$5</x:f>
        <x:v>0</x:v>
      </x:c>
      <x:c r="K94" s="62" t="n">
        <x:f>IF(B94&lt;='17_Gia_dinh_mo_hinh'!$J$5,'17_Gia_dinh_mo_hinh'!$K$5*(1-MIN(0.95,'17_Gia_dinh_mo_hinh'!$M$5*0.75))/'17_Gia_dinh_mo_hinh'!$J$5,0)</x:f>
        <x:v>171.42857142857142</x:v>
      </x:c>
      <x:c r="L94" s="62" t="n">
        <x:f>S93*'17_Gia_dinh_mo_hinh'!$Q$5/12</x:f>
        <x:v>2.946555150950861</x:v>
      </x:c>
      <x:c r="M94" s="62" t="n">
        <x:f>G94-H94-I94-J94-L94</x:f>
        <x:v>-2.946555150950861</x:v>
      </x:c>
      <x:c r="N94" s="62" t="n">
        <x:f>MAX(0,M94*'17_Gia_dinh_mo_hinh'!$S$5)</x:f>
        <x:v>0</x:v>
      </x:c>
      <x:c r="O94" s="62" t="n">
        <x:f>M94-N94</x:f>
        <x:v>-2.946555150950861</x:v>
      </x:c>
      <x:c r="P94" s="62" t="n">
        <x:f>F94-K94-I94-J94-N94-L94</x:f>
        <x:v>198.95820675381103</x:v>
      </x:c>
      <x:c r="Q94" s="62" t="n">
        <x:f>MIN(MAX(0,-(T93+P94)),MAX(0,'17_Gia_dinh_mo_hinh'!$R$5-S93))</x:f>
        <x:v>0</x:v>
      </x:c>
      <x:c r="R94" s="62" t="n">
        <x:f>MIN(MAX(0,T93+P94+Q94),S93+Q94)</x:f>
        <x:v>198.95820675381103</x:v>
      </x:c>
      <x:c r="S94" s="62" t="n">
        <x:f>S93+Q94-R94</x:f>
        <x:v>173.2382333662978</x:v>
      </x:c>
      <x:c r="T94" s="62" t="n">
        <x:f>MAX(0,T93+P94+Q94-R94)</x:f>
        <x:v>0</x:v>
      </x:c>
      <x:c r="U94" s="62" t="n">
        <x:f>MAX(0,-(T93+P94)-MAX(0,'17_Gia_dinh_mo_hinh'!$R$5-S93))</x:f>
        <x:v>0</x:v>
      </x:c>
      <x:c r="V94" s="61" t="str">
        <x:f>IF(B94&lt;'17_Gia_dinh_mo_hinh'!$F$5+D94,"Trước mở bán",IF(B94&lt;'17_Gia_dinh_mo_hinh'!$H$5+D94,"Bán hàng/thi công",IF(G94&gt;0,"Ghi nhận/bàn giao","Hậu bàn giao")))</x:f>
        <x:v>Bán hàng/thi công</x:v>
      </x:c>
    </x:row>
    <x:row r="95">
      <x:c r="A95" s="54" t="str">
        <x:v>DA02</x:v>
      </x:c>
      <x:c r="B95" s="54" t="n">
        <x:v>32</x:v>
      </x:c>
      <x:c r="C95" s="60" t="n">
        <x:f>EDATE('17_Gia_dinh_mo_hinh'!$C$5,B95-1)</x:f>
        <x:v>47178</x:v>
      </x:c>
      <x:c r="D95" s="61" t="n">
        <x:f>ROUNDUP('17_Gia_dinh_mo_hinh'!$E$5/30,0)</x:f>
        <x:v>3</x:v>
      </x:c>
      <x:c r="E95" s="62" t="n">
        <x:f>IF(AND(B95&gt;='17_Gia_dinh_mo_hinh'!$F$5+D95,B95&lt;'17_Gia_dinh_mo_hinh'!$F$5+D95+'17_Gia_dinh_mo_hinh'!$G$5),'17_Gia_dinh_mo_hinh'!$L$5*(1-'17_Gia_dinh_mo_hinh'!$M$5)/'17_Gia_dinh_mo_hinh'!$G$5,0)</x:f>
        <x:v>373.3333333333333</x:v>
      </x:c>
      <x:c r="F95" s="62" t="n">
        <x:f>0.70*E95+0.30*E94</x:f>
        <x:v>373.3333333333333</x:v>
      </x:c>
      <x:c r="G95" s="62" t="n">
        <x:f>IF(AND(B95&gt;='17_Gia_dinh_mo_hinh'!$H$5+D95,B95&lt;'17_Gia_dinh_mo_hinh'!$H$5+D95+'17_Gia_dinh_mo_hinh'!$I$5),'17_Gia_dinh_mo_hinh'!$L$5*(1-'17_Gia_dinh_mo_hinh'!$M$5)/'17_Gia_dinh_mo_hinh'!$I$5,0)</x:f>
        <x:v>0</x:v>
      </x:c>
      <x:c r="H95" s="62" t="n">
        <x:f>G95*(1-'17_Gia_dinh_mo_hinh'!$N$5)</x:f>
        <x:v>0</x:v>
      </x:c>
      <x:c r="I95" s="62" t="n">
        <x:f>G95*'17_Gia_dinh_mo_hinh'!$O$5</x:f>
        <x:v>0</x:v>
      </x:c>
      <x:c r="J95" s="62" t="n">
        <x:f>G95*'17_Gia_dinh_mo_hinh'!$P$5</x:f>
        <x:v>0</x:v>
      </x:c>
      <x:c r="K95" s="62" t="n">
        <x:f>IF(B95&lt;='17_Gia_dinh_mo_hinh'!$J$5,'17_Gia_dinh_mo_hinh'!$K$5*(1-MIN(0.95,'17_Gia_dinh_mo_hinh'!$M$5*0.75))/'17_Gia_dinh_mo_hinh'!$J$5,0)</x:f>
        <x:v>171.42857142857142</x:v>
      </x:c>
      <x:c r="L95" s="62" t="n">
        <x:f>S94*'17_Gia_dinh_mo_hinh'!$Q$5/12</x:f>
        <x:v>1.371469347483191</x:v>
      </x:c>
      <x:c r="M95" s="62" t="n">
        <x:f>G95-H95-I95-J95-L95</x:f>
        <x:v>-1.371469347483191</x:v>
      </x:c>
      <x:c r="N95" s="62" t="n">
        <x:f>MAX(0,M95*'17_Gia_dinh_mo_hinh'!$S$5)</x:f>
        <x:v>0</x:v>
      </x:c>
      <x:c r="O95" s="62" t="n">
        <x:f>M95-N95</x:f>
        <x:v>-1.371469347483191</x:v>
      </x:c>
      <x:c r="P95" s="62" t="n">
        <x:f>F95-K95-I95-J95-N95-L95</x:f>
        <x:v>200.5332925572787</x:v>
      </x:c>
      <x:c r="Q95" s="62" t="n">
        <x:f>MIN(MAX(0,-(T94+P95)),MAX(0,'17_Gia_dinh_mo_hinh'!$R$5-S94))</x:f>
        <x:v>0</x:v>
      </x:c>
      <x:c r="R95" s="62" t="n">
        <x:f>MIN(MAX(0,T94+P95+Q95),S94+Q95)</x:f>
        <x:v>173.2382333662978</x:v>
      </x:c>
      <x:c r="S95" s="62" t="n">
        <x:f>S94+Q95-R95</x:f>
        <x:v>0</x:v>
      </x:c>
      <x:c r="T95" s="62" t="n">
        <x:f>MAX(0,T94+P95+Q95-R95)</x:f>
        <x:v>27.295059190980908</x:v>
      </x:c>
      <x:c r="U95" s="62" t="n">
        <x:f>MAX(0,-(T94+P95)-MAX(0,'17_Gia_dinh_mo_hinh'!$R$5-S94))</x:f>
        <x:v>0</x:v>
      </x:c>
      <x:c r="V95" s="61" t="str">
        <x:f>IF(B95&lt;'17_Gia_dinh_mo_hinh'!$F$5+D95,"Trước mở bán",IF(B95&lt;'17_Gia_dinh_mo_hinh'!$H$5+D95,"Bán hàng/thi công",IF(G95&gt;0,"Ghi nhận/bàn giao","Hậu bàn giao")))</x:f>
        <x:v>Bán hàng/thi công</x:v>
      </x:c>
    </x:row>
    <x:row r="96">
      <x:c r="A96" s="54" t="str">
        <x:v>DA02</x:v>
      </x:c>
      <x:c r="B96" s="54" t="n">
        <x:v>33</x:v>
      </x:c>
      <x:c r="C96" s="60" t="n">
        <x:f>EDATE('17_Gia_dinh_mo_hinh'!$C$5,B96-1)</x:f>
        <x:v>47209</x:v>
      </x:c>
      <x:c r="D96" s="61" t="n">
        <x:f>ROUNDUP('17_Gia_dinh_mo_hinh'!$E$5/30,0)</x:f>
        <x:v>3</x:v>
      </x:c>
      <x:c r="E96" s="62" t="n">
        <x:f>IF(AND(B96&gt;='17_Gia_dinh_mo_hinh'!$F$5+D96,B96&lt;'17_Gia_dinh_mo_hinh'!$F$5+D96+'17_Gia_dinh_mo_hinh'!$G$5),'17_Gia_dinh_mo_hinh'!$L$5*(1-'17_Gia_dinh_mo_hinh'!$M$5)/'17_Gia_dinh_mo_hinh'!$G$5,0)</x:f>
        <x:v>373.3333333333333</x:v>
      </x:c>
      <x:c r="F96" s="62" t="n">
        <x:f>0.70*E96+0.30*E95</x:f>
        <x:v>373.3333333333333</x:v>
      </x:c>
      <x:c r="G96" s="62" t="n">
        <x:f>IF(AND(B96&gt;='17_Gia_dinh_mo_hinh'!$H$5+D96,B96&lt;'17_Gia_dinh_mo_hinh'!$H$5+D96+'17_Gia_dinh_mo_hinh'!$I$5),'17_Gia_dinh_mo_hinh'!$L$5*(1-'17_Gia_dinh_mo_hinh'!$M$5)/'17_Gia_dinh_mo_hinh'!$I$5,0)</x:f>
        <x:v>622.2222222222222</x:v>
      </x:c>
      <x:c r="H96" s="62" t="n">
        <x:f>G96*(1-'17_Gia_dinh_mo_hinh'!$N$5)</x:f>
        <x:v>410.6666666666666</x:v>
      </x:c>
      <x:c r="I96" s="62" t="n">
        <x:f>G96*'17_Gia_dinh_mo_hinh'!$O$5</x:f>
        <x:v>21.77777777777778</x:v>
      </x:c>
      <x:c r="J96" s="62" t="n">
        <x:f>G96*'17_Gia_dinh_mo_hinh'!$P$5</x:f>
        <x:v>12.444444444444443</x:v>
      </x:c>
      <x:c r="K96" s="62" t="n">
        <x:f>IF(B96&lt;='17_Gia_dinh_mo_hinh'!$J$5,'17_Gia_dinh_mo_hinh'!$K$5*(1-MIN(0.95,'17_Gia_dinh_mo_hinh'!$M$5*0.75))/'17_Gia_dinh_mo_hinh'!$J$5,0)</x:f>
        <x:v>171.42857142857142</x:v>
      </x:c>
      <x:c r="L96" s="62" t="n">
        <x:f>S95*'17_Gia_dinh_mo_hinh'!$Q$5/12</x:f>
        <x:v>0</x:v>
      </x:c>
      <x:c r="M96" s="62" t="n">
        <x:f>G96-H96-I96-J96-L96</x:f>
        <x:v>177.33333333333337</x:v>
      </x:c>
      <x:c r="N96" s="62" t="n">
        <x:f>MAX(0,M96*'17_Gia_dinh_mo_hinh'!$S$5)</x:f>
        <x:v>35.466666666666676</x:v>
      </x:c>
      <x:c r="O96" s="62" t="n">
        <x:f>M96-N96</x:f>
        <x:v>141.8666666666667</x:v>
      </x:c>
      <x:c r="P96" s="62" t="n">
        <x:f>F96-K96-I96-J96-N96-L96</x:f>
        <x:v>132.21587301587303</x:v>
      </x:c>
      <x:c r="Q96" s="62" t="n">
        <x:f>MIN(MAX(0,-(T95+P96)),MAX(0,'17_Gia_dinh_mo_hinh'!$R$5-S95))</x:f>
        <x:v>0</x:v>
      </x:c>
      <x:c r="R96" s="62" t="n">
        <x:f>MIN(MAX(0,T95+P96+Q96),S95+Q96)</x:f>
        <x:v>0</x:v>
      </x:c>
      <x:c r="S96" s="62" t="n">
        <x:f>S95+Q96-R96</x:f>
        <x:v>0</x:v>
      </x:c>
      <x:c r="T96" s="62" t="n">
        <x:f>MAX(0,T95+P96+Q96-R96)</x:f>
        <x:v>159.51093220685394</x:v>
      </x:c>
      <x:c r="U96" s="62" t="n">
        <x:f>MAX(0,-(T95+P96)-MAX(0,'17_Gia_dinh_mo_hinh'!$R$5-S95))</x:f>
        <x:v>0</x:v>
      </x:c>
      <x:c r="V96" s="61" t="str">
        <x:f>IF(B96&lt;'17_Gia_dinh_mo_hinh'!$F$5+D96,"Trước mở bán",IF(B96&lt;'17_Gia_dinh_mo_hinh'!$H$5+D96,"Bán hàng/thi công",IF(G96&gt;0,"Ghi nhận/bàn giao","Hậu bàn giao")))</x:f>
        <x:v>Ghi nhận/bàn giao</x:v>
      </x:c>
    </x:row>
    <x:row r="97">
      <x:c r="A97" s="54" t="str">
        <x:v>DA02</x:v>
      </x:c>
      <x:c r="B97" s="54" t="n">
        <x:v>34</x:v>
      </x:c>
      <x:c r="C97" s="60" t="n">
        <x:f>EDATE('17_Gia_dinh_mo_hinh'!$C$5,B97-1)</x:f>
        <x:v>47239</x:v>
      </x:c>
      <x:c r="D97" s="61" t="n">
        <x:f>ROUNDUP('17_Gia_dinh_mo_hinh'!$E$5/30,0)</x:f>
        <x:v>3</x:v>
      </x:c>
      <x:c r="E97" s="62" t="n">
        <x:f>IF(AND(B97&gt;='17_Gia_dinh_mo_hinh'!$F$5+D97,B97&lt;'17_Gia_dinh_mo_hinh'!$F$5+D97+'17_Gia_dinh_mo_hinh'!$G$5),'17_Gia_dinh_mo_hinh'!$L$5*(1-'17_Gia_dinh_mo_hinh'!$M$5)/'17_Gia_dinh_mo_hinh'!$G$5,0)</x:f>
        <x:v>373.3333333333333</x:v>
      </x:c>
      <x:c r="F97" s="62" t="n">
        <x:f>0.70*E97+0.30*E96</x:f>
        <x:v>373.3333333333333</x:v>
      </x:c>
      <x:c r="G97" s="62" t="n">
        <x:f>IF(AND(B97&gt;='17_Gia_dinh_mo_hinh'!$H$5+D97,B97&lt;'17_Gia_dinh_mo_hinh'!$H$5+D97+'17_Gia_dinh_mo_hinh'!$I$5),'17_Gia_dinh_mo_hinh'!$L$5*(1-'17_Gia_dinh_mo_hinh'!$M$5)/'17_Gia_dinh_mo_hinh'!$I$5,0)</x:f>
        <x:v>622.2222222222222</x:v>
      </x:c>
      <x:c r="H97" s="62" t="n">
        <x:f>G97*(1-'17_Gia_dinh_mo_hinh'!$N$5)</x:f>
        <x:v>410.6666666666666</x:v>
      </x:c>
      <x:c r="I97" s="62" t="n">
        <x:f>G97*'17_Gia_dinh_mo_hinh'!$O$5</x:f>
        <x:v>21.77777777777778</x:v>
      </x:c>
      <x:c r="J97" s="62" t="n">
        <x:f>G97*'17_Gia_dinh_mo_hinh'!$P$5</x:f>
        <x:v>12.444444444444443</x:v>
      </x:c>
      <x:c r="K97" s="62" t="n">
        <x:f>IF(B97&lt;='17_Gia_dinh_mo_hinh'!$J$5,'17_Gia_dinh_mo_hinh'!$K$5*(1-MIN(0.95,'17_Gia_dinh_mo_hinh'!$M$5*0.75))/'17_Gia_dinh_mo_hinh'!$J$5,0)</x:f>
        <x:v>171.42857142857142</x:v>
      </x:c>
      <x:c r="L97" s="62" t="n">
        <x:f>S96*'17_Gia_dinh_mo_hinh'!$Q$5/12</x:f>
        <x:v>0</x:v>
      </x:c>
      <x:c r="M97" s="62" t="n">
        <x:f>G97-H97-I97-J97-L97</x:f>
        <x:v>177.33333333333337</x:v>
      </x:c>
      <x:c r="N97" s="62" t="n">
        <x:f>MAX(0,M97*'17_Gia_dinh_mo_hinh'!$S$5)</x:f>
        <x:v>35.466666666666676</x:v>
      </x:c>
      <x:c r="O97" s="62" t="n">
        <x:f>M97-N97</x:f>
        <x:v>141.8666666666667</x:v>
      </x:c>
      <x:c r="P97" s="62" t="n">
        <x:f>F97-K97-I97-J97-N97-L97</x:f>
        <x:v>132.21587301587303</x:v>
      </x:c>
      <x:c r="Q97" s="62" t="n">
        <x:f>MIN(MAX(0,-(T96+P97)),MAX(0,'17_Gia_dinh_mo_hinh'!$R$5-S96))</x:f>
        <x:v>0</x:v>
      </x:c>
      <x:c r="R97" s="62" t="n">
        <x:f>MIN(MAX(0,T96+P97+Q97),S96+Q97)</x:f>
        <x:v>0</x:v>
      </x:c>
      <x:c r="S97" s="62" t="n">
        <x:f>S96+Q97-R97</x:f>
        <x:v>0</x:v>
      </x:c>
      <x:c r="T97" s="62" t="n">
        <x:f>MAX(0,T96+P97+Q97-R97)</x:f>
        <x:v>291.72680522272697</x:v>
      </x:c>
      <x:c r="U97" s="62" t="n">
        <x:f>MAX(0,-(T96+P97)-MAX(0,'17_Gia_dinh_mo_hinh'!$R$5-S96))</x:f>
        <x:v>0</x:v>
      </x:c>
      <x:c r="V97" s="61" t="str">
        <x:f>IF(B97&lt;'17_Gia_dinh_mo_hinh'!$F$5+D97,"Trước mở bán",IF(B97&lt;'17_Gia_dinh_mo_hinh'!$H$5+D97,"Bán hàng/thi công",IF(G97&gt;0,"Ghi nhận/bàn giao","Hậu bàn giao")))</x:f>
        <x:v>Ghi nhận/bàn giao</x:v>
      </x:c>
    </x:row>
    <x:row r="98">
      <x:c r="A98" s="54" t="str">
        <x:v>DA02</x:v>
      </x:c>
      <x:c r="B98" s="54" t="n">
        <x:v>35</x:v>
      </x:c>
      <x:c r="C98" s="60" t="n">
        <x:f>EDATE('17_Gia_dinh_mo_hinh'!$C$5,B98-1)</x:f>
        <x:v>47270</x:v>
      </x:c>
      <x:c r="D98" s="61" t="n">
        <x:f>ROUNDUP('17_Gia_dinh_mo_hinh'!$E$5/30,0)</x:f>
        <x:v>3</x:v>
      </x:c>
      <x:c r="E98" s="62" t="n">
        <x:f>IF(AND(B98&gt;='17_Gia_dinh_mo_hinh'!$F$5+D98,B98&lt;'17_Gia_dinh_mo_hinh'!$F$5+D98+'17_Gia_dinh_mo_hinh'!$G$5),'17_Gia_dinh_mo_hinh'!$L$5*(1-'17_Gia_dinh_mo_hinh'!$M$5)/'17_Gia_dinh_mo_hinh'!$G$5,0)</x:f>
        <x:v>373.3333333333333</x:v>
      </x:c>
      <x:c r="F98" s="62" t="n">
        <x:f>0.70*E98+0.30*E97</x:f>
        <x:v>373.3333333333333</x:v>
      </x:c>
      <x:c r="G98" s="62" t="n">
        <x:f>IF(AND(B98&gt;='17_Gia_dinh_mo_hinh'!$H$5+D98,B98&lt;'17_Gia_dinh_mo_hinh'!$H$5+D98+'17_Gia_dinh_mo_hinh'!$I$5),'17_Gia_dinh_mo_hinh'!$L$5*(1-'17_Gia_dinh_mo_hinh'!$M$5)/'17_Gia_dinh_mo_hinh'!$I$5,0)</x:f>
        <x:v>622.2222222222222</x:v>
      </x:c>
      <x:c r="H98" s="62" t="n">
        <x:f>G98*(1-'17_Gia_dinh_mo_hinh'!$N$5)</x:f>
        <x:v>410.6666666666666</x:v>
      </x:c>
      <x:c r="I98" s="62" t="n">
        <x:f>G98*'17_Gia_dinh_mo_hinh'!$O$5</x:f>
        <x:v>21.77777777777778</x:v>
      </x:c>
      <x:c r="J98" s="62" t="n">
        <x:f>G98*'17_Gia_dinh_mo_hinh'!$P$5</x:f>
        <x:v>12.444444444444443</x:v>
      </x:c>
      <x:c r="K98" s="62" t="n">
        <x:f>IF(B98&lt;='17_Gia_dinh_mo_hinh'!$J$5,'17_Gia_dinh_mo_hinh'!$K$5*(1-MIN(0.95,'17_Gia_dinh_mo_hinh'!$M$5*0.75))/'17_Gia_dinh_mo_hinh'!$J$5,0)</x:f>
        <x:v>171.42857142857142</x:v>
      </x:c>
      <x:c r="L98" s="62" t="n">
        <x:f>S97*'17_Gia_dinh_mo_hinh'!$Q$5/12</x:f>
        <x:v>0</x:v>
      </x:c>
      <x:c r="M98" s="62" t="n">
        <x:f>G98-H98-I98-J98-L98</x:f>
        <x:v>177.33333333333337</x:v>
      </x:c>
      <x:c r="N98" s="62" t="n">
        <x:f>MAX(0,M98*'17_Gia_dinh_mo_hinh'!$S$5)</x:f>
        <x:v>35.466666666666676</x:v>
      </x:c>
      <x:c r="O98" s="62" t="n">
        <x:f>M98-N98</x:f>
        <x:v>141.8666666666667</x:v>
      </x:c>
      <x:c r="P98" s="62" t="n">
        <x:f>F98-K98-I98-J98-N98-L98</x:f>
        <x:v>132.21587301587303</x:v>
      </x:c>
      <x:c r="Q98" s="62" t="n">
        <x:f>MIN(MAX(0,-(T97+P98)),MAX(0,'17_Gia_dinh_mo_hinh'!$R$5-S97))</x:f>
        <x:v>0</x:v>
      </x:c>
      <x:c r="R98" s="62" t="n">
        <x:f>MIN(MAX(0,T97+P98+Q98),S97+Q98)</x:f>
        <x:v>0</x:v>
      </x:c>
      <x:c r="S98" s="62" t="n">
        <x:f>S97+Q98-R98</x:f>
        <x:v>0</x:v>
      </x:c>
      <x:c r="T98" s="62" t="n">
        <x:f>MAX(0,T97+P98+Q98-R98)</x:f>
        <x:v>423.9426782386</x:v>
      </x:c>
      <x:c r="U98" s="62" t="n">
        <x:f>MAX(0,-(T97+P98)-MAX(0,'17_Gia_dinh_mo_hinh'!$R$5-S97))</x:f>
        <x:v>0</x:v>
      </x:c>
      <x:c r="V98" s="61" t="str">
        <x:f>IF(B98&lt;'17_Gia_dinh_mo_hinh'!$F$5+D98,"Trước mở bán",IF(B98&lt;'17_Gia_dinh_mo_hinh'!$H$5+D98,"Bán hàng/thi công",IF(G98&gt;0,"Ghi nhận/bàn giao","Hậu bàn giao")))</x:f>
        <x:v>Ghi nhận/bàn giao</x:v>
      </x:c>
    </x:row>
    <x:row r="99">
      <x:c r="A99" s="54" t="str">
        <x:v>DA02</x:v>
      </x:c>
      <x:c r="B99" s="54" t="n">
        <x:v>36</x:v>
      </x:c>
      <x:c r="C99" s="60" t="n">
        <x:f>EDATE('17_Gia_dinh_mo_hinh'!$C$5,B99-1)</x:f>
        <x:v>47300</x:v>
      </x:c>
      <x:c r="D99" s="61" t="n">
        <x:f>ROUNDUP('17_Gia_dinh_mo_hinh'!$E$5/30,0)</x:f>
        <x:v>3</x:v>
      </x:c>
      <x:c r="E99" s="62" t="n">
        <x:f>IF(AND(B99&gt;='17_Gia_dinh_mo_hinh'!$F$5+D99,B99&lt;'17_Gia_dinh_mo_hinh'!$F$5+D99+'17_Gia_dinh_mo_hinh'!$G$5),'17_Gia_dinh_mo_hinh'!$L$5*(1-'17_Gia_dinh_mo_hinh'!$M$5)/'17_Gia_dinh_mo_hinh'!$G$5,0)</x:f>
        <x:v>373.3333333333333</x:v>
      </x:c>
      <x:c r="F99" s="62" t="n">
        <x:f>0.70*E99+0.30*E98</x:f>
        <x:v>373.3333333333333</x:v>
      </x:c>
      <x:c r="G99" s="62" t="n">
        <x:f>IF(AND(B99&gt;='17_Gia_dinh_mo_hinh'!$H$5+D99,B99&lt;'17_Gia_dinh_mo_hinh'!$H$5+D99+'17_Gia_dinh_mo_hinh'!$I$5),'17_Gia_dinh_mo_hinh'!$L$5*(1-'17_Gia_dinh_mo_hinh'!$M$5)/'17_Gia_dinh_mo_hinh'!$I$5,0)</x:f>
        <x:v>622.2222222222222</x:v>
      </x:c>
      <x:c r="H99" s="62" t="n">
        <x:f>G99*(1-'17_Gia_dinh_mo_hinh'!$N$5)</x:f>
        <x:v>410.6666666666666</x:v>
      </x:c>
      <x:c r="I99" s="62" t="n">
        <x:f>G99*'17_Gia_dinh_mo_hinh'!$O$5</x:f>
        <x:v>21.77777777777778</x:v>
      </x:c>
      <x:c r="J99" s="62" t="n">
        <x:f>G99*'17_Gia_dinh_mo_hinh'!$P$5</x:f>
        <x:v>12.444444444444443</x:v>
      </x:c>
      <x:c r="K99" s="62" t="n">
        <x:f>IF(B99&lt;='17_Gia_dinh_mo_hinh'!$J$5,'17_Gia_dinh_mo_hinh'!$K$5*(1-MIN(0.95,'17_Gia_dinh_mo_hinh'!$M$5*0.75))/'17_Gia_dinh_mo_hinh'!$J$5,0)</x:f>
        <x:v>171.42857142857142</x:v>
      </x:c>
      <x:c r="L99" s="62" t="n">
        <x:f>S98*'17_Gia_dinh_mo_hinh'!$Q$5/12</x:f>
        <x:v>0</x:v>
      </x:c>
      <x:c r="M99" s="62" t="n">
        <x:f>G99-H99-I99-J99-L99</x:f>
        <x:v>177.33333333333337</x:v>
      </x:c>
      <x:c r="N99" s="62" t="n">
        <x:f>MAX(0,M99*'17_Gia_dinh_mo_hinh'!$S$5)</x:f>
        <x:v>35.466666666666676</x:v>
      </x:c>
      <x:c r="O99" s="62" t="n">
        <x:f>M99-N99</x:f>
        <x:v>141.8666666666667</x:v>
      </x:c>
      <x:c r="P99" s="62" t="n">
        <x:f>F99-K99-I99-J99-N99-L99</x:f>
        <x:v>132.21587301587303</x:v>
      </x:c>
      <x:c r="Q99" s="62" t="n">
        <x:f>MIN(MAX(0,-(T98+P99)),MAX(0,'17_Gia_dinh_mo_hinh'!$R$5-S98))</x:f>
        <x:v>0</x:v>
      </x:c>
      <x:c r="R99" s="62" t="n">
        <x:f>MIN(MAX(0,T98+P99+Q99),S98+Q99)</x:f>
        <x:v>0</x:v>
      </x:c>
      <x:c r="S99" s="62" t="n">
        <x:f>S98+Q99-R99</x:f>
        <x:v>0</x:v>
      </x:c>
      <x:c r="T99" s="62" t="n">
        <x:f>MAX(0,T98+P99+Q99-R99)</x:f>
        <x:v>556.1585512544731</x:v>
      </x:c>
      <x:c r="U99" s="62" t="n">
        <x:f>MAX(0,-(T98+P99)-MAX(0,'17_Gia_dinh_mo_hinh'!$R$5-S98))</x:f>
        <x:v>0</x:v>
      </x:c>
      <x:c r="V99" s="61" t="str">
        <x:f>IF(B99&lt;'17_Gia_dinh_mo_hinh'!$F$5+D99,"Trước mở bán",IF(B99&lt;'17_Gia_dinh_mo_hinh'!$H$5+D99,"Bán hàng/thi công",IF(G99&gt;0,"Ghi nhận/bàn giao","Hậu bàn giao")))</x:f>
        <x:v>Ghi nhận/bàn giao</x:v>
      </x:c>
    </x:row>
    <x:row r="100">
      <x:c r="A100" s="54" t="str">
        <x:v>DA02</x:v>
      </x:c>
      <x:c r="B100" s="54" t="n">
        <x:v>37</x:v>
      </x:c>
      <x:c r="C100" s="60" t="n">
        <x:f>EDATE('17_Gia_dinh_mo_hinh'!$C$5,B100-1)</x:f>
        <x:v>47331</x:v>
      </x:c>
      <x:c r="D100" s="61" t="n">
        <x:f>ROUNDUP('17_Gia_dinh_mo_hinh'!$E$5/30,0)</x:f>
        <x:v>3</x:v>
      </x:c>
      <x:c r="E100" s="62" t="n">
        <x:f>IF(AND(B100&gt;='17_Gia_dinh_mo_hinh'!$F$5+D100,B100&lt;'17_Gia_dinh_mo_hinh'!$F$5+D100+'17_Gia_dinh_mo_hinh'!$G$5),'17_Gia_dinh_mo_hinh'!$L$5*(1-'17_Gia_dinh_mo_hinh'!$M$5)/'17_Gia_dinh_mo_hinh'!$G$5,0)</x:f>
        <x:v>373.3333333333333</x:v>
      </x:c>
      <x:c r="F100" s="62" t="n">
        <x:f>0.70*E100+0.30*E99</x:f>
        <x:v>373.3333333333333</x:v>
      </x:c>
      <x:c r="G100" s="62" t="n">
        <x:f>IF(AND(B100&gt;='17_Gia_dinh_mo_hinh'!$H$5+D100,B100&lt;'17_Gia_dinh_mo_hinh'!$H$5+D100+'17_Gia_dinh_mo_hinh'!$I$5),'17_Gia_dinh_mo_hinh'!$L$5*(1-'17_Gia_dinh_mo_hinh'!$M$5)/'17_Gia_dinh_mo_hinh'!$I$5,0)</x:f>
        <x:v>622.2222222222222</x:v>
      </x:c>
      <x:c r="H100" s="62" t="n">
        <x:f>G100*(1-'17_Gia_dinh_mo_hinh'!$N$5)</x:f>
        <x:v>410.6666666666666</x:v>
      </x:c>
      <x:c r="I100" s="62" t="n">
        <x:f>G100*'17_Gia_dinh_mo_hinh'!$O$5</x:f>
        <x:v>21.77777777777778</x:v>
      </x:c>
      <x:c r="J100" s="62" t="n">
        <x:f>G100*'17_Gia_dinh_mo_hinh'!$P$5</x:f>
        <x:v>12.444444444444443</x:v>
      </x:c>
      <x:c r="K100" s="62" t="n">
        <x:f>IF(B100&lt;='17_Gia_dinh_mo_hinh'!$J$5,'17_Gia_dinh_mo_hinh'!$K$5*(1-MIN(0.95,'17_Gia_dinh_mo_hinh'!$M$5*0.75))/'17_Gia_dinh_mo_hinh'!$J$5,0)</x:f>
        <x:v>171.42857142857142</x:v>
      </x:c>
      <x:c r="L100" s="62" t="n">
        <x:f>S99*'17_Gia_dinh_mo_hinh'!$Q$5/12</x:f>
        <x:v>0</x:v>
      </x:c>
      <x:c r="M100" s="62" t="n">
        <x:f>G100-H100-I100-J100-L100</x:f>
        <x:v>177.33333333333337</x:v>
      </x:c>
      <x:c r="N100" s="62" t="n">
        <x:f>MAX(0,M100*'17_Gia_dinh_mo_hinh'!$S$5)</x:f>
        <x:v>35.466666666666676</x:v>
      </x:c>
      <x:c r="O100" s="62" t="n">
        <x:f>M100-N100</x:f>
        <x:v>141.8666666666667</x:v>
      </x:c>
      <x:c r="P100" s="62" t="n">
        <x:f>F100-K100-I100-J100-N100-L100</x:f>
        <x:v>132.21587301587303</x:v>
      </x:c>
      <x:c r="Q100" s="62" t="n">
        <x:f>MIN(MAX(0,-(T99+P100)),MAX(0,'17_Gia_dinh_mo_hinh'!$R$5-S99))</x:f>
        <x:v>0</x:v>
      </x:c>
      <x:c r="R100" s="62" t="n">
        <x:f>MIN(MAX(0,T99+P100+Q100),S99+Q100)</x:f>
        <x:v>0</x:v>
      </x:c>
      <x:c r="S100" s="62" t="n">
        <x:f>S99+Q100-R100</x:f>
        <x:v>0</x:v>
      </x:c>
      <x:c r="T100" s="62" t="n">
        <x:f>MAX(0,T99+P100+Q100-R100)</x:f>
        <x:v>688.3744242703461</x:v>
      </x:c>
      <x:c r="U100" s="62" t="n">
        <x:f>MAX(0,-(T99+P100)-MAX(0,'17_Gia_dinh_mo_hinh'!$R$5-S99))</x:f>
        <x:v>0</x:v>
      </x:c>
      <x:c r="V100" s="61" t="str">
        <x:f>IF(B100&lt;'17_Gia_dinh_mo_hinh'!$F$5+D100,"Trước mở bán",IF(B100&lt;'17_Gia_dinh_mo_hinh'!$H$5+D100,"Bán hàng/thi công",IF(G100&gt;0,"Ghi nhận/bàn giao","Hậu bàn giao")))</x:f>
        <x:v>Ghi nhận/bàn giao</x:v>
      </x:c>
    </x:row>
    <x:row r="101">
      <x:c r="A101" s="54" t="str">
        <x:v>DA02</x:v>
      </x:c>
      <x:c r="B101" s="54" t="n">
        <x:v>38</x:v>
      </x:c>
      <x:c r="C101" s="60" t="n">
        <x:f>EDATE('17_Gia_dinh_mo_hinh'!$C$5,B101-1)</x:f>
        <x:v>47362</x:v>
      </x:c>
      <x:c r="D101" s="61" t="n">
        <x:f>ROUNDUP('17_Gia_dinh_mo_hinh'!$E$5/30,0)</x:f>
        <x:v>3</x:v>
      </x:c>
      <x:c r="E101" s="62" t="n">
        <x:f>IF(AND(B101&gt;='17_Gia_dinh_mo_hinh'!$F$5+D101,B101&lt;'17_Gia_dinh_mo_hinh'!$F$5+D101+'17_Gia_dinh_mo_hinh'!$G$5),'17_Gia_dinh_mo_hinh'!$L$5*(1-'17_Gia_dinh_mo_hinh'!$M$5)/'17_Gia_dinh_mo_hinh'!$G$5,0)</x:f>
        <x:v>373.3333333333333</x:v>
      </x:c>
      <x:c r="F101" s="62" t="n">
        <x:f>0.70*E101+0.30*E100</x:f>
        <x:v>373.3333333333333</x:v>
      </x:c>
      <x:c r="G101" s="62" t="n">
        <x:f>IF(AND(B101&gt;='17_Gia_dinh_mo_hinh'!$H$5+D101,B101&lt;'17_Gia_dinh_mo_hinh'!$H$5+D101+'17_Gia_dinh_mo_hinh'!$I$5),'17_Gia_dinh_mo_hinh'!$L$5*(1-'17_Gia_dinh_mo_hinh'!$M$5)/'17_Gia_dinh_mo_hinh'!$I$5,0)</x:f>
        <x:v>622.2222222222222</x:v>
      </x:c>
      <x:c r="H101" s="62" t="n">
        <x:f>G101*(1-'17_Gia_dinh_mo_hinh'!$N$5)</x:f>
        <x:v>410.6666666666666</x:v>
      </x:c>
      <x:c r="I101" s="62" t="n">
        <x:f>G101*'17_Gia_dinh_mo_hinh'!$O$5</x:f>
        <x:v>21.77777777777778</x:v>
      </x:c>
      <x:c r="J101" s="62" t="n">
        <x:f>G101*'17_Gia_dinh_mo_hinh'!$P$5</x:f>
        <x:v>12.444444444444443</x:v>
      </x:c>
      <x:c r="K101" s="62" t="n">
        <x:f>IF(B101&lt;='17_Gia_dinh_mo_hinh'!$J$5,'17_Gia_dinh_mo_hinh'!$K$5*(1-MIN(0.95,'17_Gia_dinh_mo_hinh'!$M$5*0.75))/'17_Gia_dinh_mo_hinh'!$J$5,0)</x:f>
        <x:v>171.42857142857142</x:v>
      </x:c>
      <x:c r="L101" s="62" t="n">
        <x:f>S100*'17_Gia_dinh_mo_hinh'!$Q$5/12</x:f>
        <x:v>0</x:v>
      </x:c>
      <x:c r="M101" s="62" t="n">
        <x:f>G101-H101-I101-J101-L101</x:f>
        <x:v>177.33333333333337</x:v>
      </x:c>
      <x:c r="N101" s="62" t="n">
        <x:f>MAX(0,M101*'17_Gia_dinh_mo_hinh'!$S$5)</x:f>
        <x:v>35.466666666666676</x:v>
      </x:c>
      <x:c r="O101" s="62" t="n">
        <x:f>M101-N101</x:f>
        <x:v>141.8666666666667</x:v>
      </x:c>
      <x:c r="P101" s="62" t="n">
        <x:f>F101-K101-I101-J101-N101-L101</x:f>
        <x:v>132.21587301587303</x:v>
      </x:c>
      <x:c r="Q101" s="62" t="n">
        <x:f>MIN(MAX(0,-(T100+P101)),MAX(0,'17_Gia_dinh_mo_hinh'!$R$5-S100))</x:f>
        <x:v>0</x:v>
      </x:c>
      <x:c r="R101" s="62" t="n">
        <x:f>MIN(MAX(0,T100+P101+Q101),S100+Q101)</x:f>
        <x:v>0</x:v>
      </x:c>
      <x:c r="S101" s="62" t="n">
        <x:f>S100+Q101-R101</x:f>
        <x:v>0</x:v>
      </x:c>
      <x:c r="T101" s="62" t="n">
        <x:f>MAX(0,T100+P101+Q101-R101)</x:f>
        <x:v>820.5902972862192</x:v>
      </x:c>
      <x:c r="U101" s="62" t="n">
        <x:f>MAX(0,-(T100+P101)-MAX(0,'17_Gia_dinh_mo_hinh'!$R$5-S100))</x:f>
        <x:v>0</x:v>
      </x:c>
      <x:c r="V101" s="61" t="str">
        <x:f>IF(B101&lt;'17_Gia_dinh_mo_hinh'!$F$5+D101,"Trước mở bán",IF(B101&lt;'17_Gia_dinh_mo_hinh'!$H$5+D101,"Bán hàng/thi công",IF(G101&gt;0,"Ghi nhận/bàn giao","Hậu bàn giao")))</x:f>
        <x:v>Ghi nhận/bàn giao</x:v>
      </x:c>
    </x:row>
    <x:row r="102">
      <x:c r="A102" s="54" t="str">
        <x:v>DA02</x:v>
      </x:c>
      <x:c r="B102" s="54" t="n">
        <x:v>39</x:v>
      </x:c>
      <x:c r="C102" s="60" t="n">
        <x:f>EDATE('17_Gia_dinh_mo_hinh'!$C$5,B102-1)</x:f>
        <x:v>47392</x:v>
      </x:c>
      <x:c r="D102" s="61" t="n">
        <x:f>ROUNDUP('17_Gia_dinh_mo_hinh'!$E$5/30,0)</x:f>
        <x:v>3</x:v>
      </x:c>
      <x:c r="E102" s="62" t="n">
        <x:f>IF(AND(B102&gt;='17_Gia_dinh_mo_hinh'!$F$5+D102,B102&lt;'17_Gia_dinh_mo_hinh'!$F$5+D102+'17_Gia_dinh_mo_hinh'!$G$5),'17_Gia_dinh_mo_hinh'!$L$5*(1-'17_Gia_dinh_mo_hinh'!$M$5)/'17_Gia_dinh_mo_hinh'!$G$5,0)</x:f>
        <x:v>373.3333333333333</x:v>
      </x:c>
      <x:c r="F102" s="62" t="n">
        <x:f>0.70*E102+0.30*E101</x:f>
        <x:v>373.3333333333333</x:v>
      </x:c>
      <x:c r="G102" s="62" t="n">
        <x:f>IF(AND(B102&gt;='17_Gia_dinh_mo_hinh'!$H$5+D102,B102&lt;'17_Gia_dinh_mo_hinh'!$H$5+D102+'17_Gia_dinh_mo_hinh'!$I$5),'17_Gia_dinh_mo_hinh'!$L$5*(1-'17_Gia_dinh_mo_hinh'!$M$5)/'17_Gia_dinh_mo_hinh'!$I$5,0)</x:f>
        <x:v>622.2222222222222</x:v>
      </x:c>
      <x:c r="H102" s="62" t="n">
        <x:f>G102*(1-'17_Gia_dinh_mo_hinh'!$N$5)</x:f>
        <x:v>410.6666666666666</x:v>
      </x:c>
      <x:c r="I102" s="62" t="n">
        <x:f>G102*'17_Gia_dinh_mo_hinh'!$O$5</x:f>
        <x:v>21.77777777777778</x:v>
      </x:c>
      <x:c r="J102" s="62" t="n">
        <x:f>G102*'17_Gia_dinh_mo_hinh'!$P$5</x:f>
        <x:v>12.444444444444443</x:v>
      </x:c>
      <x:c r="K102" s="62" t="n">
        <x:f>IF(B102&lt;='17_Gia_dinh_mo_hinh'!$J$5,'17_Gia_dinh_mo_hinh'!$K$5*(1-MIN(0.95,'17_Gia_dinh_mo_hinh'!$M$5*0.75))/'17_Gia_dinh_mo_hinh'!$J$5,0)</x:f>
        <x:v>171.42857142857142</x:v>
      </x:c>
      <x:c r="L102" s="62" t="n">
        <x:f>S101*'17_Gia_dinh_mo_hinh'!$Q$5/12</x:f>
        <x:v>0</x:v>
      </x:c>
      <x:c r="M102" s="62" t="n">
        <x:f>G102-H102-I102-J102-L102</x:f>
        <x:v>177.33333333333337</x:v>
      </x:c>
      <x:c r="N102" s="62" t="n">
        <x:f>MAX(0,M102*'17_Gia_dinh_mo_hinh'!$S$5)</x:f>
        <x:v>35.466666666666676</x:v>
      </x:c>
      <x:c r="O102" s="62" t="n">
        <x:f>M102-N102</x:f>
        <x:v>141.8666666666667</x:v>
      </x:c>
      <x:c r="P102" s="62" t="n">
        <x:f>F102-K102-I102-J102-N102-L102</x:f>
        <x:v>132.21587301587303</x:v>
      </x:c>
      <x:c r="Q102" s="62" t="n">
        <x:f>MIN(MAX(0,-(T101+P102)),MAX(0,'17_Gia_dinh_mo_hinh'!$R$5-S101))</x:f>
        <x:v>0</x:v>
      </x:c>
      <x:c r="R102" s="62" t="n">
        <x:f>MIN(MAX(0,T101+P102+Q102),S101+Q102)</x:f>
        <x:v>0</x:v>
      </x:c>
      <x:c r="S102" s="62" t="n">
        <x:f>S101+Q102-R102</x:f>
        <x:v>0</x:v>
      </x:c>
      <x:c r="T102" s="62" t="n">
        <x:f>MAX(0,T101+P102+Q102-R102)</x:f>
        <x:v>952.8061703020923</x:v>
      </x:c>
      <x:c r="U102" s="62" t="n">
        <x:f>MAX(0,-(T101+P102)-MAX(0,'17_Gia_dinh_mo_hinh'!$R$5-S101))</x:f>
        <x:v>0</x:v>
      </x:c>
      <x:c r="V102" s="61" t="str">
        <x:f>IF(B102&lt;'17_Gia_dinh_mo_hinh'!$F$5+D102,"Trước mở bán",IF(B102&lt;'17_Gia_dinh_mo_hinh'!$H$5+D102,"Bán hàng/thi công",IF(G102&gt;0,"Ghi nhận/bàn giao","Hậu bàn giao")))</x:f>
        <x:v>Ghi nhận/bàn giao</x:v>
      </x:c>
    </x:row>
    <x:row r="103">
      <x:c r="A103" s="54" t="str">
        <x:v>DA02</x:v>
      </x:c>
      <x:c r="B103" s="54" t="n">
        <x:v>40</x:v>
      </x:c>
      <x:c r="C103" s="60" t="n">
        <x:f>EDATE('17_Gia_dinh_mo_hinh'!$C$5,B103-1)</x:f>
        <x:v>47423</x:v>
      </x:c>
      <x:c r="D103" s="61" t="n">
        <x:f>ROUNDUP('17_Gia_dinh_mo_hinh'!$E$5/30,0)</x:f>
        <x:v>3</x:v>
      </x:c>
      <x:c r="E103" s="62" t="n">
        <x:f>IF(AND(B103&gt;='17_Gia_dinh_mo_hinh'!$F$5+D103,B103&lt;'17_Gia_dinh_mo_hinh'!$F$5+D103+'17_Gia_dinh_mo_hinh'!$G$5),'17_Gia_dinh_mo_hinh'!$L$5*(1-'17_Gia_dinh_mo_hinh'!$M$5)/'17_Gia_dinh_mo_hinh'!$G$5,0)</x:f>
        <x:v>373.3333333333333</x:v>
      </x:c>
      <x:c r="F103" s="62" t="n">
        <x:f>0.70*E103+0.30*E102</x:f>
        <x:v>373.3333333333333</x:v>
      </x:c>
      <x:c r="G103" s="62" t="n">
        <x:f>IF(AND(B103&gt;='17_Gia_dinh_mo_hinh'!$H$5+D103,B103&lt;'17_Gia_dinh_mo_hinh'!$H$5+D103+'17_Gia_dinh_mo_hinh'!$I$5),'17_Gia_dinh_mo_hinh'!$L$5*(1-'17_Gia_dinh_mo_hinh'!$M$5)/'17_Gia_dinh_mo_hinh'!$I$5,0)</x:f>
        <x:v>622.2222222222222</x:v>
      </x:c>
      <x:c r="H103" s="62" t="n">
        <x:f>G103*(1-'17_Gia_dinh_mo_hinh'!$N$5)</x:f>
        <x:v>410.6666666666666</x:v>
      </x:c>
      <x:c r="I103" s="62" t="n">
        <x:f>G103*'17_Gia_dinh_mo_hinh'!$O$5</x:f>
        <x:v>21.77777777777778</x:v>
      </x:c>
      <x:c r="J103" s="62" t="n">
        <x:f>G103*'17_Gia_dinh_mo_hinh'!$P$5</x:f>
        <x:v>12.444444444444443</x:v>
      </x:c>
      <x:c r="K103" s="62" t="n">
        <x:f>IF(B103&lt;='17_Gia_dinh_mo_hinh'!$J$5,'17_Gia_dinh_mo_hinh'!$K$5*(1-MIN(0.95,'17_Gia_dinh_mo_hinh'!$M$5*0.75))/'17_Gia_dinh_mo_hinh'!$J$5,0)</x:f>
        <x:v>171.42857142857142</x:v>
      </x:c>
      <x:c r="L103" s="62" t="n">
        <x:f>S102*'17_Gia_dinh_mo_hinh'!$Q$5/12</x:f>
        <x:v>0</x:v>
      </x:c>
      <x:c r="M103" s="62" t="n">
        <x:f>G103-H103-I103-J103-L103</x:f>
        <x:v>177.33333333333337</x:v>
      </x:c>
      <x:c r="N103" s="62" t="n">
        <x:f>MAX(0,M103*'17_Gia_dinh_mo_hinh'!$S$5)</x:f>
        <x:v>35.466666666666676</x:v>
      </x:c>
      <x:c r="O103" s="62" t="n">
        <x:f>M103-N103</x:f>
        <x:v>141.8666666666667</x:v>
      </x:c>
      <x:c r="P103" s="62" t="n">
        <x:f>F103-K103-I103-J103-N103-L103</x:f>
        <x:v>132.21587301587303</x:v>
      </x:c>
      <x:c r="Q103" s="62" t="n">
        <x:f>MIN(MAX(0,-(T102+P103)),MAX(0,'17_Gia_dinh_mo_hinh'!$R$5-S102))</x:f>
        <x:v>0</x:v>
      </x:c>
      <x:c r="R103" s="62" t="n">
        <x:f>MIN(MAX(0,T102+P103+Q103),S102+Q103)</x:f>
        <x:v>0</x:v>
      </x:c>
      <x:c r="S103" s="62" t="n">
        <x:f>S102+Q103-R103</x:f>
        <x:v>0</x:v>
      </x:c>
      <x:c r="T103" s="62" t="n">
        <x:f>MAX(0,T102+P103+Q103-R103)</x:f>
        <x:v>1085.0220433179652</x:v>
      </x:c>
      <x:c r="U103" s="62" t="n">
        <x:f>MAX(0,-(T102+P103)-MAX(0,'17_Gia_dinh_mo_hinh'!$R$5-S102))</x:f>
        <x:v>0</x:v>
      </x:c>
      <x:c r="V103" s="61" t="str">
        <x:f>IF(B103&lt;'17_Gia_dinh_mo_hinh'!$F$5+D103,"Trước mở bán",IF(B103&lt;'17_Gia_dinh_mo_hinh'!$H$5+D103,"Bán hàng/thi công",IF(G103&gt;0,"Ghi nhận/bàn giao","Hậu bàn giao")))</x:f>
        <x:v>Ghi nhận/bàn giao</x:v>
      </x:c>
    </x:row>
    <x:row r="104">
      <x:c r="A104" s="54" t="str">
        <x:v>DA02</x:v>
      </x:c>
      <x:c r="B104" s="54" t="n">
        <x:v>41</x:v>
      </x:c>
      <x:c r="C104" s="60" t="n">
        <x:f>EDATE('17_Gia_dinh_mo_hinh'!$C$5,B104-1)</x:f>
        <x:v>47453</x:v>
      </x:c>
      <x:c r="D104" s="61" t="n">
        <x:f>ROUNDUP('17_Gia_dinh_mo_hinh'!$E$5/30,0)</x:f>
        <x:v>3</x:v>
      </x:c>
      <x:c r="E104" s="62" t="n">
        <x:f>IF(AND(B104&gt;='17_Gia_dinh_mo_hinh'!$F$5+D104,B104&lt;'17_Gia_dinh_mo_hinh'!$F$5+D104+'17_Gia_dinh_mo_hinh'!$G$5),'17_Gia_dinh_mo_hinh'!$L$5*(1-'17_Gia_dinh_mo_hinh'!$M$5)/'17_Gia_dinh_mo_hinh'!$G$5,0)</x:f>
        <x:v>373.3333333333333</x:v>
      </x:c>
      <x:c r="F104" s="62" t="n">
        <x:f>0.70*E104+0.30*E103</x:f>
        <x:v>373.3333333333333</x:v>
      </x:c>
      <x:c r="G104" s="62" t="n">
        <x:f>IF(AND(B104&gt;='17_Gia_dinh_mo_hinh'!$H$5+D104,B104&lt;'17_Gia_dinh_mo_hinh'!$H$5+D104+'17_Gia_dinh_mo_hinh'!$I$5),'17_Gia_dinh_mo_hinh'!$L$5*(1-'17_Gia_dinh_mo_hinh'!$M$5)/'17_Gia_dinh_mo_hinh'!$I$5,0)</x:f>
        <x:v>622.2222222222222</x:v>
      </x:c>
      <x:c r="H104" s="62" t="n">
        <x:f>G104*(1-'17_Gia_dinh_mo_hinh'!$N$5)</x:f>
        <x:v>410.6666666666666</x:v>
      </x:c>
      <x:c r="I104" s="62" t="n">
        <x:f>G104*'17_Gia_dinh_mo_hinh'!$O$5</x:f>
        <x:v>21.77777777777778</x:v>
      </x:c>
      <x:c r="J104" s="62" t="n">
        <x:f>G104*'17_Gia_dinh_mo_hinh'!$P$5</x:f>
        <x:v>12.444444444444443</x:v>
      </x:c>
      <x:c r="K104" s="62" t="n">
        <x:f>IF(B104&lt;='17_Gia_dinh_mo_hinh'!$J$5,'17_Gia_dinh_mo_hinh'!$K$5*(1-MIN(0.95,'17_Gia_dinh_mo_hinh'!$M$5*0.75))/'17_Gia_dinh_mo_hinh'!$J$5,0)</x:f>
        <x:v>171.42857142857142</x:v>
      </x:c>
      <x:c r="L104" s="62" t="n">
        <x:f>S103*'17_Gia_dinh_mo_hinh'!$Q$5/12</x:f>
        <x:v>0</x:v>
      </x:c>
      <x:c r="M104" s="62" t="n">
        <x:f>G104-H104-I104-J104-L104</x:f>
        <x:v>177.33333333333337</x:v>
      </x:c>
      <x:c r="N104" s="62" t="n">
        <x:f>MAX(0,M104*'17_Gia_dinh_mo_hinh'!$S$5)</x:f>
        <x:v>35.466666666666676</x:v>
      </x:c>
      <x:c r="O104" s="62" t="n">
        <x:f>M104-N104</x:f>
        <x:v>141.8666666666667</x:v>
      </x:c>
      <x:c r="P104" s="62" t="n">
        <x:f>F104-K104-I104-J104-N104-L104</x:f>
        <x:v>132.21587301587303</x:v>
      </x:c>
      <x:c r="Q104" s="62" t="n">
        <x:f>MIN(MAX(0,-(T103+P104)),MAX(0,'17_Gia_dinh_mo_hinh'!$R$5-S103))</x:f>
        <x:v>0</x:v>
      </x:c>
      <x:c r="R104" s="62" t="n">
        <x:f>MIN(MAX(0,T103+P104+Q104),S103+Q104)</x:f>
        <x:v>0</x:v>
      </x:c>
      <x:c r="S104" s="62" t="n">
        <x:f>S103+Q104-R104</x:f>
        <x:v>0</x:v>
      </x:c>
      <x:c r="T104" s="62" t="n">
        <x:f>MAX(0,T103+P104+Q104-R104)</x:f>
        <x:v>1217.2379163338383</x:v>
      </x:c>
      <x:c r="U104" s="62" t="n">
        <x:f>MAX(0,-(T103+P104)-MAX(0,'17_Gia_dinh_mo_hinh'!$R$5-S103))</x:f>
        <x:v>0</x:v>
      </x:c>
      <x:c r="V104" s="61" t="str">
        <x:f>IF(B104&lt;'17_Gia_dinh_mo_hinh'!$F$5+D104,"Trước mở bán",IF(B104&lt;'17_Gia_dinh_mo_hinh'!$H$5+D104,"Bán hàng/thi công",IF(G104&gt;0,"Ghi nhận/bàn giao","Hậu bàn giao")))</x:f>
        <x:v>Ghi nhận/bàn giao</x:v>
      </x:c>
    </x:row>
    <x:row r="105">
      <x:c r="A105" s="54" t="str">
        <x:v>DA02</x:v>
      </x:c>
      <x:c r="B105" s="54" t="n">
        <x:v>42</x:v>
      </x:c>
      <x:c r="C105" s="60" t="n">
        <x:f>EDATE('17_Gia_dinh_mo_hinh'!$C$5,B105-1)</x:f>
        <x:v>47484</x:v>
      </x:c>
      <x:c r="D105" s="61" t="n">
        <x:f>ROUNDUP('17_Gia_dinh_mo_hinh'!$E$5/30,0)</x:f>
        <x:v>3</x:v>
      </x:c>
      <x:c r="E105" s="62" t="n">
        <x:f>IF(AND(B105&gt;='17_Gia_dinh_mo_hinh'!$F$5+D105,B105&lt;'17_Gia_dinh_mo_hinh'!$F$5+D105+'17_Gia_dinh_mo_hinh'!$G$5),'17_Gia_dinh_mo_hinh'!$L$5*(1-'17_Gia_dinh_mo_hinh'!$M$5)/'17_Gia_dinh_mo_hinh'!$G$5,0)</x:f>
        <x:v>373.3333333333333</x:v>
      </x:c>
      <x:c r="F105" s="62" t="n">
        <x:f>0.70*E105+0.30*E104</x:f>
        <x:v>373.3333333333333</x:v>
      </x:c>
      <x:c r="G105" s="62" t="n">
        <x:f>IF(AND(B105&gt;='17_Gia_dinh_mo_hinh'!$H$5+D105,B105&lt;'17_Gia_dinh_mo_hinh'!$H$5+D105+'17_Gia_dinh_mo_hinh'!$I$5),'17_Gia_dinh_mo_hinh'!$L$5*(1-'17_Gia_dinh_mo_hinh'!$M$5)/'17_Gia_dinh_mo_hinh'!$I$5,0)</x:f>
        <x:v>622.2222222222222</x:v>
      </x:c>
      <x:c r="H105" s="62" t="n">
        <x:f>G105*(1-'17_Gia_dinh_mo_hinh'!$N$5)</x:f>
        <x:v>410.6666666666666</x:v>
      </x:c>
      <x:c r="I105" s="62" t="n">
        <x:f>G105*'17_Gia_dinh_mo_hinh'!$O$5</x:f>
        <x:v>21.77777777777778</x:v>
      </x:c>
      <x:c r="J105" s="62" t="n">
        <x:f>G105*'17_Gia_dinh_mo_hinh'!$P$5</x:f>
        <x:v>12.444444444444443</x:v>
      </x:c>
      <x:c r="K105" s="62" t="n">
        <x:f>IF(B105&lt;='17_Gia_dinh_mo_hinh'!$J$5,'17_Gia_dinh_mo_hinh'!$K$5*(1-MIN(0.95,'17_Gia_dinh_mo_hinh'!$M$5*0.75))/'17_Gia_dinh_mo_hinh'!$J$5,0)</x:f>
        <x:v>171.42857142857142</x:v>
      </x:c>
      <x:c r="L105" s="62" t="n">
        <x:f>S104*'17_Gia_dinh_mo_hinh'!$Q$5/12</x:f>
        <x:v>0</x:v>
      </x:c>
      <x:c r="M105" s="62" t="n">
        <x:f>G105-H105-I105-J105-L105</x:f>
        <x:v>177.33333333333337</x:v>
      </x:c>
      <x:c r="N105" s="62" t="n">
        <x:f>MAX(0,M105*'17_Gia_dinh_mo_hinh'!$S$5)</x:f>
        <x:v>35.466666666666676</x:v>
      </x:c>
      <x:c r="O105" s="62" t="n">
        <x:f>M105-N105</x:f>
        <x:v>141.8666666666667</x:v>
      </x:c>
      <x:c r="P105" s="62" t="n">
        <x:f>F105-K105-I105-J105-N105-L105</x:f>
        <x:v>132.21587301587303</x:v>
      </x:c>
      <x:c r="Q105" s="62" t="n">
        <x:f>MIN(MAX(0,-(T104+P105)),MAX(0,'17_Gia_dinh_mo_hinh'!$R$5-S104))</x:f>
        <x:v>0</x:v>
      </x:c>
      <x:c r="R105" s="62" t="n">
        <x:f>MIN(MAX(0,T104+P105+Q105),S104+Q105)</x:f>
        <x:v>0</x:v>
      </x:c>
      <x:c r="S105" s="62" t="n">
        <x:f>S104+Q105-R105</x:f>
        <x:v>0</x:v>
      </x:c>
      <x:c r="T105" s="62" t="n">
        <x:f>MAX(0,T104+P105+Q105-R105)</x:f>
        <x:v>1349.4537893497113</x:v>
      </x:c>
      <x:c r="U105" s="62" t="n">
        <x:f>MAX(0,-(T104+P105)-MAX(0,'17_Gia_dinh_mo_hinh'!$R$5-S104))</x:f>
        <x:v>0</x:v>
      </x:c>
      <x:c r="V105" s="61" t="str">
        <x:f>IF(B105&lt;'17_Gia_dinh_mo_hinh'!$F$5+D105,"Trước mở bán",IF(B105&lt;'17_Gia_dinh_mo_hinh'!$H$5+D105,"Bán hàng/thi công",IF(G105&gt;0,"Ghi nhận/bàn giao","Hậu bàn giao")))</x:f>
        <x:v>Ghi nhận/bàn giao</x:v>
      </x:c>
    </x:row>
    <x:row r="106">
      <x:c r="A106" s="54" t="str">
        <x:v>DA02</x:v>
      </x:c>
      <x:c r="B106" s="54" t="n">
        <x:v>43</x:v>
      </x:c>
      <x:c r="C106" s="60" t="n">
        <x:f>EDATE('17_Gia_dinh_mo_hinh'!$C$5,B106-1)</x:f>
        <x:v>47515</x:v>
      </x:c>
      <x:c r="D106" s="61" t="n">
        <x:f>ROUNDUP('17_Gia_dinh_mo_hinh'!$E$5/30,0)</x:f>
        <x:v>3</x:v>
      </x:c>
      <x:c r="E106" s="62" t="n">
        <x:f>IF(AND(B106&gt;='17_Gia_dinh_mo_hinh'!$F$5+D106,B106&lt;'17_Gia_dinh_mo_hinh'!$F$5+D106+'17_Gia_dinh_mo_hinh'!$G$5),'17_Gia_dinh_mo_hinh'!$L$5*(1-'17_Gia_dinh_mo_hinh'!$M$5)/'17_Gia_dinh_mo_hinh'!$G$5,0)</x:f>
        <x:v>373.3333333333333</x:v>
      </x:c>
      <x:c r="F106" s="62" t="n">
        <x:f>0.70*E106+0.30*E105</x:f>
        <x:v>373.3333333333333</x:v>
      </x:c>
      <x:c r="G106" s="62" t="n">
        <x:f>IF(AND(B106&gt;='17_Gia_dinh_mo_hinh'!$H$5+D106,B106&lt;'17_Gia_dinh_mo_hinh'!$H$5+D106+'17_Gia_dinh_mo_hinh'!$I$5),'17_Gia_dinh_mo_hinh'!$L$5*(1-'17_Gia_dinh_mo_hinh'!$M$5)/'17_Gia_dinh_mo_hinh'!$I$5,0)</x:f>
        <x:v>622.2222222222222</x:v>
      </x:c>
      <x:c r="H106" s="62" t="n">
        <x:f>G106*(1-'17_Gia_dinh_mo_hinh'!$N$5)</x:f>
        <x:v>410.6666666666666</x:v>
      </x:c>
      <x:c r="I106" s="62" t="n">
        <x:f>G106*'17_Gia_dinh_mo_hinh'!$O$5</x:f>
        <x:v>21.77777777777778</x:v>
      </x:c>
      <x:c r="J106" s="62" t="n">
        <x:f>G106*'17_Gia_dinh_mo_hinh'!$P$5</x:f>
        <x:v>12.444444444444443</x:v>
      </x:c>
      <x:c r="K106" s="62" t="n">
        <x:f>IF(B106&lt;='17_Gia_dinh_mo_hinh'!$J$5,'17_Gia_dinh_mo_hinh'!$K$5*(1-MIN(0.95,'17_Gia_dinh_mo_hinh'!$M$5*0.75))/'17_Gia_dinh_mo_hinh'!$J$5,0)</x:f>
        <x:v>0</x:v>
      </x:c>
      <x:c r="L106" s="62" t="n">
        <x:f>S105*'17_Gia_dinh_mo_hinh'!$Q$5/12</x:f>
        <x:v>0</x:v>
      </x:c>
      <x:c r="M106" s="62" t="n">
        <x:f>G106-H106-I106-J106-L106</x:f>
        <x:v>177.33333333333337</x:v>
      </x:c>
      <x:c r="N106" s="62" t="n">
        <x:f>MAX(0,M106*'17_Gia_dinh_mo_hinh'!$S$5)</x:f>
        <x:v>35.466666666666676</x:v>
      </x:c>
      <x:c r="O106" s="62" t="n">
        <x:f>M106-N106</x:f>
        <x:v>141.8666666666667</x:v>
      </x:c>
      <x:c r="P106" s="62" t="n">
        <x:f>F106-K106-I106-J106-N106-L106</x:f>
        <x:v>303.6444444444444</x:v>
      </x:c>
      <x:c r="Q106" s="62" t="n">
        <x:f>MIN(MAX(0,-(T105+P106)),MAX(0,'17_Gia_dinh_mo_hinh'!$R$5-S105))</x:f>
        <x:v>0</x:v>
      </x:c>
      <x:c r="R106" s="62" t="n">
        <x:f>MIN(MAX(0,T105+P106+Q106),S105+Q106)</x:f>
        <x:v>0</x:v>
      </x:c>
      <x:c r="S106" s="62" t="n">
        <x:f>S105+Q106-R106</x:f>
        <x:v>0</x:v>
      </x:c>
      <x:c r="T106" s="62" t="n">
        <x:f>MAX(0,T105+P106+Q106-R106)</x:f>
        <x:v>1653.0982337941557</x:v>
      </x:c>
      <x:c r="U106" s="62" t="n">
        <x:f>MAX(0,-(T105+P106)-MAX(0,'17_Gia_dinh_mo_hinh'!$R$5-S105))</x:f>
        <x:v>0</x:v>
      </x:c>
      <x:c r="V106" s="61" t="str">
        <x:f>IF(B106&lt;'17_Gia_dinh_mo_hinh'!$F$5+D106,"Trước mở bán",IF(B106&lt;'17_Gia_dinh_mo_hinh'!$H$5+D106,"Bán hàng/thi công",IF(G106&gt;0,"Ghi nhận/bàn giao","Hậu bàn giao")))</x:f>
        <x:v>Ghi nhận/bàn giao</x:v>
      </x:c>
    </x:row>
    <x:row r="107">
      <x:c r="A107" s="54" t="str">
        <x:v>DA02</x:v>
      </x:c>
      <x:c r="B107" s="54" t="n">
        <x:v>44</x:v>
      </x:c>
      <x:c r="C107" s="60" t="n">
        <x:f>EDATE('17_Gia_dinh_mo_hinh'!$C$5,B107-1)</x:f>
        <x:v>47543</x:v>
      </x:c>
      <x:c r="D107" s="61" t="n">
        <x:f>ROUNDUP('17_Gia_dinh_mo_hinh'!$E$5/30,0)</x:f>
        <x:v>3</x:v>
      </x:c>
      <x:c r="E107" s="62" t="n">
        <x:f>IF(AND(B107&gt;='17_Gia_dinh_mo_hinh'!$F$5+D107,B107&lt;'17_Gia_dinh_mo_hinh'!$F$5+D107+'17_Gia_dinh_mo_hinh'!$G$5),'17_Gia_dinh_mo_hinh'!$L$5*(1-'17_Gia_dinh_mo_hinh'!$M$5)/'17_Gia_dinh_mo_hinh'!$G$5,0)</x:f>
        <x:v>373.3333333333333</x:v>
      </x:c>
      <x:c r="F107" s="62" t="n">
        <x:f>0.70*E107+0.30*E106</x:f>
        <x:v>373.3333333333333</x:v>
      </x:c>
      <x:c r="G107" s="62" t="n">
        <x:f>IF(AND(B107&gt;='17_Gia_dinh_mo_hinh'!$H$5+D107,B107&lt;'17_Gia_dinh_mo_hinh'!$H$5+D107+'17_Gia_dinh_mo_hinh'!$I$5),'17_Gia_dinh_mo_hinh'!$L$5*(1-'17_Gia_dinh_mo_hinh'!$M$5)/'17_Gia_dinh_mo_hinh'!$I$5,0)</x:f>
        <x:v>622.2222222222222</x:v>
      </x:c>
      <x:c r="H107" s="62" t="n">
        <x:f>G107*(1-'17_Gia_dinh_mo_hinh'!$N$5)</x:f>
        <x:v>410.6666666666666</x:v>
      </x:c>
      <x:c r="I107" s="62" t="n">
        <x:f>G107*'17_Gia_dinh_mo_hinh'!$O$5</x:f>
        <x:v>21.77777777777778</x:v>
      </x:c>
      <x:c r="J107" s="62" t="n">
        <x:f>G107*'17_Gia_dinh_mo_hinh'!$P$5</x:f>
        <x:v>12.444444444444443</x:v>
      </x:c>
      <x:c r="K107" s="62" t="n">
        <x:f>IF(B107&lt;='17_Gia_dinh_mo_hinh'!$J$5,'17_Gia_dinh_mo_hinh'!$K$5*(1-MIN(0.95,'17_Gia_dinh_mo_hinh'!$M$5*0.75))/'17_Gia_dinh_mo_hinh'!$J$5,0)</x:f>
        <x:v>0</x:v>
      </x:c>
      <x:c r="L107" s="62" t="n">
        <x:f>S106*'17_Gia_dinh_mo_hinh'!$Q$5/12</x:f>
        <x:v>0</x:v>
      </x:c>
      <x:c r="M107" s="62" t="n">
        <x:f>G107-H107-I107-J107-L107</x:f>
        <x:v>177.33333333333337</x:v>
      </x:c>
      <x:c r="N107" s="62" t="n">
        <x:f>MAX(0,M107*'17_Gia_dinh_mo_hinh'!$S$5)</x:f>
        <x:v>35.466666666666676</x:v>
      </x:c>
      <x:c r="O107" s="62" t="n">
        <x:f>M107-N107</x:f>
        <x:v>141.8666666666667</x:v>
      </x:c>
      <x:c r="P107" s="62" t="n">
        <x:f>F107-K107-I107-J107-N107-L107</x:f>
        <x:v>303.6444444444444</x:v>
      </x:c>
      <x:c r="Q107" s="62" t="n">
        <x:f>MIN(MAX(0,-(T106+P107)),MAX(0,'17_Gia_dinh_mo_hinh'!$R$5-S106))</x:f>
        <x:v>0</x:v>
      </x:c>
      <x:c r="R107" s="62" t="n">
        <x:f>MIN(MAX(0,T106+P107+Q107),S106+Q107)</x:f>
        <x:v>0</x:v>
      </x:c>
      <x:c r="S107" s="62" t="n">
        <x:f>S106+Q107-R107</x:f>
        <x:v>0</x:v>
      </x:c>
      <x:c r="T107" s="62" t="n">
        <x:f>MAX(0,T106+P107+Q107-R107)</x:f>
        <x:v>1956.7426782386</x:v>
      </x:c>
      <x:c r="U107" s="62" t="n">
        <x:f>MAX(0,-(T106+P107)-MAX(0,'17_Gia_dinh_mo_hinh'!$R$5-S106))</x:f>
        <x:v>0</x:v>
      </x:c>
      <x:c r="V107" s="61" t="str">
        <x:f>IF(B107&lt;'17_Gia_dinh_mo_hinh'!$F$5+D107,"Trước mở bán",IF(B107&lt;'17_Gia_dinh_mo_hinh'!$H$5+D107,"Bán hàng/thi công",IF(G107&gt;0,"Ghi nhận/bàn giao","Hậu bàn giao")))</x:f>
        <x:v>Ghi nhận/bàn giao</x:v>
      </x:c>
    </x:row>
    <x:row r="108">
      <x:c r="A108" s="54" t="str">
        <x:v>DA02</x:v>
      </x:c>
      <x:c r="B108" s="54" t="n">
        <x:v>45</x:v>
      </x:c>
      <x:c r="C108" s="60" t="n">
        <x:f>EDATE('17_Gia_dinh_mo_hinh'!$C$5,B108-1)</x:f>
        <x:v>47574</x:v>
      </x:c>
      <x:c r="D108" s="61" t="n">
        <x:f>ROUNDUP('17_Gia_dinh_mo_hinh'!$E$5/30,0)</x:f>
        <x:v>3</x:v>
      </x:c>
      <x:c r="E108" s="62" t="n">
        <x:f>IF(AND(B108&gt;='17_Gia_dinh_mo_hinh'!$F$5+D108,B108&lt;'17_Gia_dinh_mo_hinh'!$F$5+D108+'17_Gia_dinh_mo_hinh'!$G$5),'17_Gia_dinh_mo_hinh'!$L$5*(1-'17_Gia_dinh_mo_hinh'!$M$5)/'17_Gia_dinh_mo_hinh'!$G$5,0)</x:f>
        <x:v>0</x:v>
      </x:c>
      <x:c r="F108" s="62" t="n">
        <x:f>0.70*E108+0.30*E107</x:f>
        <x:v>111.99999999999999</x:v>
      </x:c>
      <x:c r="G108" s="62" t="n">
        <x:f>IF(AND(B108&gt;='17_Gia_dinh_mo_hinh'!$H$5+D108,B108&lt;'17_Gia_dinh_mo_hinh'!$H$5+D108+'17_Gia_dinh_mo_hinh'!$I$5),'17_Gia_dinh_mo_hinh'!$L$5*(1-'17_Gia_dinh_mo_hinh'!$M$5)/'17_Gia_dinh_mo_hinh'!$I$5,0)</x:f>
        <x:v>622.2222222222222</x:v>
      </x:c>
      <x:c r="H108" s="62" t="n">
        <x:f>G108*(1-'17_Gia_dinh_mo_hinh'!$N$5)</x:f>
        <x:v>410.6666666666666</x:v>
      </x:c>
      <x:c r="I108" s="62" t="n">
        <x:f>G108*'17_Gia_dinh_mo_hinh'!$O$5</x:f>
        <x:v>21.77777777777778</x:v>
      </x:c>
      <x:c r="J108" s="62" t="n">
        <x:f>G108*'17_Gia_dinh_mo_hinh'!$P$5</x:f>
        <x:v>12.444444444444443</x:v>
      </x:c>
      <x:c r="K108" s="62" t="n">
        <x:f>IF(B108&lt;='17_Gia_dinh_mo_hinh'!$J$5,'17_Gia_dinh_mo_hinh'!$K$5*(1-MIN(0.95,'17_Gia_dinh_mo_hinh'!$M$5*0.75))/'17_Gia_dinh_mo_hinh'!$J$5,0)</x:f>
        <x:v>0</x:v>
      </x:c>
      <x:c r="L108" s="62" t="n">
        <x:f>S107*'17_Gia_dinh_mo_hinh'!$Q$5/12</x:f>
        <x:v>0</x:v>
      </x:c>
      <x:c r="M108" s="62" t="n">
        <x:f>G108-H108-I108-J108-L108</x:f>
        <x:v>177.33333333333337</x:v>
      </x:c>
      <x:c r="N108" s="62" t="n">
        <x:f>MAX(0,M108*'17_Gia_dinh_mo_hinh'!$S$5)</x:f>
        <x:v>35.466666666666676</x:v>
      </x:c>
      <x:c r="O108" s="62" t="n">
        <x:f>M108-N108</x:f>
        <x:v>141.8666666666667</x:v>
      </x:c>
      <x:c r="P108" s="62" t="n">
        <x:f>F108-K108-I108-J108-N108-L108</x:f>
        <x:v>42.31111111111108</x:v>
      </x:c>
      <x:c r="Q108" s="62" t="n">
        <x:f>MIN(MAX(0,-(T107+P108)),MAX(0,'17_Gia_dinh_mo_hinh'!$R$5-S107))</x:f>
        <x:v>0</x:v>
      </x:c>
      <x:c r="R108" s="62" t="n">
        <x:f>MIN(MAX(0,T107+P108+Q108),S107+Q108)</x:f>
        <x:v>0</x:v>
      </x:c>
      <x:c r="S108" s="62" t="n">
        <x:f>S107+Q108-R108</x:f>
        <x:v>0</x:v>
      </x:c>
      <x:c r="T108" s="62" t="n">
        <x:f>MAX(0,T107+P108+Q108-R108)</x:f>
        <x:v>1999.0537893497112</x:v>
      </x:c>
      <x:c r="U108" s="62" t="n">
        <x:f>MAX(0,-(T107+P108)-MAX(0,'17_Gia_dinh_mo_hinh'!$R$5-S107))</x:f>
        <x:v>0</x:v>
      </x:c>
      <x:c r="V108" s="61" t="str">
        <x:f>IF(B108&lt;'17_Gia_dinh_mo_hinh'!$F$5+D108,"Trước mở bán",IF(B108&lt;'17_Gia_dinh_mo_hinh'!$H$5+D108,"Bán hàng/thi công",IF(G108&gt;0,"Ghi nhận/bàn giao","Hậu bàn giao")))</x:f>
        <x:v>Ghi nhận/bàn giao</x:v>
      </x:c>
    </x:row>
    <x:row r="109">
      <x:c r="A109" s="54" t="str">
        <x:v>DA02</x:v>
      </x:c>
      <x:c r="B109" s="54" t="n">
        <x:v>46</x:v>
      </x:c>
      <x:c r="C109" s="60" t="n">
        <x:f>EDATE('17_Gia_dinh_mo_hinh'!$C$5,B109-1)</x:f>
        <x:v>47604</x:v>
      </x:c>
      <x:c r="D109" s="61" t="n">
        <x:f>ROUNDUP('17_Gia_dinh_mo_hinh'!$E$5/30,0)</x:f>
        <x:v>3</x:v>
      </x:c>
      <x:c r="E109" s="62" t="n">
        <x:f>IF(AND(B109&gt;='17_Gia_dinh_mo_hinh'!$F$5+D109,B109&lt;'17_Gia_dinh_mo_hinh'!$F$5+D109+'17_Gia_dinh_mo_hinh'!$G$5),'17_Gia_dinh_mo_hinh'!$L$5*(1-'17_Gia_dinh_mo_hinh'!$M$5)/'17_Gia_dinh_mo_hinh'!$G$5,0)</x:f>
        <x:v>0</x:v>
      </x:c>
      <x:c r="F109" s="62" t="n">
        <x:f>0.70*E109+0.30*E108</x:f>
        <x:v>0</x:v>
      </x:c>
      <x:c r="G109" s="62" t="n">
        <x:f>IF(AND(B109&gt;='17_Gia_dinh_mo_hinh'!$H$5+D109,B109&lt;'17_Gia_dinh_mo_hinh'!$H$5+D109+'17_Gia_dinh_mo_hinh'!$I$5),'17_Gia_dinh_mo_hinh'!$L$5*(1-'17_Gia_dinh_mo_hinh'!$M$5)/'17_Gia_dinh_mo_hinh'!$I$5,0)</x:f>
        <x:v>622.2222222222222</x:v>
      </x:c>
      <x:c r="H109" s="62" t="n">
        <x:f>G109*(1-'17_Gia_dinh_mo_hinh'!$N$5)</x:f>
        <x:v>410.6666666666666</x:v>
      </x:c>
      <x:c r="I109" s="62" t="n">
        <x:f>G109*'17_Gia_dinh_mo_hinh'!$O$5</x:f>
        <x:v>21.77777777777778</x:v>
      </x:c>
      <x:c r="J109" s="62" t="n">
        <x:f>G109*'17_Gia_dinh_mo_hinh'!$P$5</x:f>
        <x:v>12.444444444444443</x:v>
      </x:c>
      <x:c r="K109" s="62" t="n">
        <x:f>IF(B109&lt;='17_Gia_dinh_mo_hinh'!$J$5,'17_Gia_dinh_mo_hinh'!$K$5*(1-MIN(0.95,'17_Gia_dinh_mo_hinh'!$M$5*0.75))/'17_Gia_dinh_mo_hinh'!$J$5,0)</x:f>
        <x:v>0</x:v>
      </x:c>
      <x:c r="L109" s="62" t="n">
        <x:f>S108*'17_Gia_dinh_mo_hinh'!$Q$5/12</x:f>
        <x:v>0</x:v>
      </x:c>
      <x:c r="M109" s="62" t="n">
        <x:f>G109-H109-I109-J109-L109</x:f>
        <x:v>177.33333333333337</x:v>
      </x:c>
      <x:c r="N109" s="62" t="n">
        <x:f>MAX(0,M109*'17_Gia_dinh_mo_hinh'!$S$5)</x:f>
        <x:v>35.466666666666676</x:v>
      </x:c>
      <x:c r="O109" s="62" t="n">
        <x:f>M109-N109</x:f>
        <x:v>141.8666666666667</x:v>
      </x:c>
      <x:c r="P109" s="62" t="n">
        <x:f>F109-K109-I109-J109-N109-L109</x:f>
        <x:v>-69.6888888888889</x:v>
      </x:c>
      <x:c r="Q109" s="62" t="n">
        <x:f>MIN(MAX(0,-(T108+P109)),MAX(0,'17_Gia_dinh_mo_hinh'!$R$5-S108))</x:f>
        <x:v>0</x:v>
      </x:c>
      <x:c r="R109" s="62" t="n">
        <x:f>MIN(MAX(0,T108+P109+Q109),S108+Q109)</x:f>
        <x:v>0</x:v>
      </x:c>
      <x:c r="S109" s="62" t="n">
        <x:f>S108+Q109-R109</x:f>
        <x:v>0</x:v>
      </x:c>
      <x:c r="T109" s="62" t="n">
        <x:f>MAX(0,T108+P109+Q109-R109)</x:f>
        <x:v>1929.3649004608224</x:v>
      </x:c>
      <x:c r="U109" s="62" t="n">
        <x:f>MAX(0,-(T108+P109)-MAX(0,'17_Gia_dinh_mo_hinh'!$R$5-S108))</x:f>
        <x:v>0</x:v>
      </x:c>
      <x:c r="V109" s="61" t="str">
        <x:f>IF(B109&lt;'17_Gia_dinh_mo_hinh'!$F$5+D109,"Trước mở bán",IF(B109&lt;'17_Gia_dinh_mo_hinh'!$H$5+D109,"Bán hàng/thi công",IF(G109&gt;0,"Ghi nhận/bàn giao","Hậu bàn giao")))</x:f>
        <x:v>Ghi nhận/bàn giao</x:v>
      </x:c>
    </x:row>
    <x:row r="110">
      <x:c r="A110" s="54" t="str">
        <x:v>DA02</x:v>
      </x:c>
      <x:c r="B110" s="54" t="n">
        <x:v>47</x:v>
      </x:c>
      <x:c r="C110" s="60" t="n">
        <x:f>EDATE('17_Gia_dinh_mo_hinh'!$C$5,B110-1)</x:f>
        <x:v>47635</x:v>
      </x:c>
      <x:c r="D110" s="61" t="n">
        <x:f>ROUNDUP('17_Gia_dinh_mo_hinh'!$E$5/30,0)</x:f>
        <x:v>3</x:v>
      </x:c>
      <x:c r="E110" s="62" t="n">
        <x:f>IF(AND(B110&gt;='17_Gia_dinh_mo_hinh'!$F$5+D110,B110&lt;'17_Gia_dinh_mo_hinh'!$F$5+D110+'17_Gia_dinh_mo_hinh'!$G$5),'17_Gia_dinh_mo_hinh'!$L$5*(1-'17_Gia_dinh_mo_hinh'!$M$5)/'17_Gia_dinh_mo_hinh'!$G$5,0)</x:f>
        <x:v>0</x:v>
      </x:c>
      <x:c r="F110" s="62" t="n">
        <x:f>0.70*E110+0.30*E109</x:f>
        <x:v>0</x:v>
      </x:c>
      <x:c r="G110" s="62" t="n">
        <x:f>IF(AND(B110&gt;='17_Gia_dinh_mo_hinh'!$H$5+D110,B110&lt;'17_Gia_dinh_mo_hinh'!$H$5+D110+'17_Gia_dinh_mo_hinh'!$I$5),'17_Gia_dinh_mo_hinh'!$L$5*(1-'17_Gia_dinh_mo_hinh'!$M$5)/'17_Gia_dinh_mo_hinh'!$I$5,0)</x:f>
        <x:v>622.2222222222222</x:v>
      </x:c>
      <x:c r="H110" s="62" t="n">
        <x:f>G110*(1-'17_Gia_dinh_mo_hinh'!$N$5)</x:f>
        <x:v>410.6666666666666</x:v>
      </x:c>
      <x:c r="I110" s="62" t="n">
        <x:f>G110*'17_Gia_dinh_mo_hinh'!$O$5</x:f>
        <x:v>21.77777777777778</x:v>
      </x:c>
      <x:c r="J110" s="62" t="n">
        <x:f>G110*'17_Gia_dinh_mo_hinh'!$P$5</x:f>
        <x:v>12.444444444444443</x:v>
      </x:c>
      <x:c r="K110" s="62" t="n">
        <x:f>IF(B110&lt;='17_Gia_dinh_mo_hinh'!$J$5,'17_Gia_dinh_mo_hinh'!$K$5*(1-MIN(0.95,'17_Gia_dinh_mo_hinh'!$M$5*0.75))/'17_Gia_dinh_mo_hinh'!$J$5,0)</x:f>
        <x:v>0</x:v>
      </x:c>
      <x:c r="L110" s="62" t="n">
        <x:f>S109*'17_Gia_dinh_mo_hinh'!$Q$5/12</x:f>
        <x:v>0</x:v>
      </x:c>
      <x:c r="M110" s="62" t="n">
        <x:f>G110-H110-I110-J110-L110</x:f>
        <x:v>177.33333333333337</x:v>
      </x:c>
      <x:c r="N110" s="62" t="n">
        <x:f>MAX(0,M110*'17_Gia_dinh_mo_hinh'!$S$5)</x:f>
        <x:v>35.466666666666676</x:v>
      </x:c>
      <x:c r="O110" s="62" t="n">
        <x:f>M110-N110</x:f>
        <x:v>141.8666666666667</x:v>
      </x:c>
      <x:c r="P110" s="62" t="n">
        <x:f>F110-K110-I110-J110-N110-L110</x:f>
        <x:v>-69.6888888888889</x:v>
      </x:c>
      <x:c r="Q110" s="62" t="n">
        <x:f>MIN(MAX(0,-(T109+P110)),MAX(0,'17_Gia_dinh_mo_hinh'!$R$5-S109))</x:f>
        <x:v>0</x:v>
      </x:c>
      <x:c r="R110" s="62" t="n">
        <x:f>MIN(MAX(0,T109+P110+Q110),S109+Q110)</x:f>
        <x:v>0</x:v>
      </x:c>
      <x:c r="S110" s="62" t="n">
        <x:f>S109+Q110-R110</x:f>
        <x:v>0</x:v>
      </x:c>
      <x:c r="T110" s="62" t="n">
        <x:f>MAX(0,T109+P110+Q110-R110)</x:f>
        <x:v>1859.6760115719335</x:v>
      </x:c>
      <x:c r="U110" s="62" t="n">
        <x:f>MAX(0,-(T109+P110)-MAX(0,'17_Gia_dinh_mo_hinh'!$R$5-S109))</x:f>
        <x:v>0</x:v>
      </x:c>
      <x:c r="V110" s="61" t="str">
        <x:f>IF(B110&lt;'17_Gia_dinh_mo_hinh'!$F$5+D110,"Trước mở bán",IF(B110&lt;'17_Gia_dinh_mo_hinh'!$H$5+D110,"Bán hàng/thi công",IF(G110&gt;0,"Ghi nhận/bàn giao","Hậu bàn giao")))</x:f>
        <x:v>Ghi nhận/bàn giao</x:v>
      </x:c>
    </x:row>
    <x:row r="111">
      <x:c r="A111" s="54" t="str">
        <x:v>DA02</x:v>
      </x:c>
      <x:c r="B111" s="54" t="n">
        <x:v>48</x:v>
      </x:c>
      <x:c r="C111" s="60" t="n">
        <x:f>EDATE('17_Gia_dinh_mo_hinh'!$C$5,B111-1)</x:f>
        <x:v>47665</x:v>
      </x:c>
      <x:c r="D111" s="61" t="n">
        <x:f>ROUNDUP('17_Gia_dinh_mo_hinh'!$E$5/30,0)</x:f>
        <x:v>3</x:v>
      </x:c>
      <x:c r="E111" s="62" t="n">
        <x:f>IF(AND(B111&gt;='17_Gia_dinh_mo_hinh'!$F$5+D111,B111&lt;'17_Gia_dinh_mo_hinh'!$F$5+D111+'17_Gia_dinh_mo_hinh'!$G$5),'17_Gia_dinh_mo_hinh'!$L$5*(1-'17_Gia_dinh_mo_hinh'!$M$5)/'17_Gia_dinh_mo_hinh'!$G$5,0)</x:f>
        <x:v>0</x:v>
      </x:c>
      <x:c r="F111" s="62" t="n">
        <x:f>0.70*E111+0.30*E110</x:f>
        <x:v>0</x:v>
      </x:c>
      <x:c r="G111" s="62" t="n">
        <x:f>IF(AND(B111&gt;='17_Gia_dinh_mo_hinh'!$H$5+D111,B111&lt;'17_Gia_dinh_mo_hinh'!$H$5+D111+'17_Gia_dinh_mo_hinh'!$I$5),'17_Gia_dinh_mo_hinh'!$L$5*(1-'17_Gia_dinh_mo_hinh'!$M$5)/'17_Gia_dinh_mo_hinh'!$I$5,0)</x:f>
        <x:v>622.2222222222222</x:v>
      </x:c>
      <x:c r="H111" s="62" t="n">
        <x:f>G111*(1-'17_Gia_dinh_mo_hinh'!$N$5)</x:f>
        <x:v>410.6666666666666</x:v>
      </x:c>
      <x:c r="I111" s="62" t="n">
        <x:f>G111*'17_Gia_dinh_mo_hinh'!$O$5</x:f>
        <x:v>21.77777777777778</x:v>
      </x:c>
      <x:c r="J111" s="62" t="n">
        <x:f>G111*'17_Gia_dinh_mo_hinh'!$P$5</x:f>
        <x:v>12.444444444444443</x:v>
      </x:c>
      <x:c r="K111" s="62" t="n">
        <x:f>IF(B111&lt;='17_Gia_dinh_mo_hinh'!$J$5,'17_Gia_dinh_mo_hinh'!$K$5*(1-MIN(0.95,'17_Gia_dinh_mo_hinh'!$M$5*0.75))/'17_Gia_dinh_mo_hinh'!$J$5,0)</x:f>
        <x:v>0</x:v>
      </x:c>
      <x:c r="L111" s="62" t="n">
        <x:f>S110*'17_Gia_dinh_mo_hinh'!$Q$5/12</x:f>
        <x:v>0</x:v>
      </x:c>
      <x:c r="M111" s="62" t="n">
        <x:f>G111-H111-I111-J111-L111</x:f>
        <x:v>177.33333333333337</x:v>
      </x:c>
      <x:c r="N111" s="62" t="n">
        <x:f>MAX(0,M111*'17_Gia_dinh_mo_hinh'!$S$5)</x:f>
        <x:v>35.466666666666676</x:v>
      </x:c>
      <x:c r="O111" s="62" t="n">
        <x:f>M111-N111</x:f>
        <x:v>141.8666666666667</x:v>
      </x:c>
      <x:c r="P111" s="62" t="n">
        <x:f>F111-K111-I111-J111-N111-L111</x:f>
        <x:v>-69.6888888888889</x:v>
      </x:c>
      <x:c r="Q111" s="62" t="n">
        <x:f>MIN(MAX(0,-(T110+P111)),MAX(0,'17_Gia_dinh_mo_hinh'!$R$5-S110))</x:f>
        <x:v>0</x:v>
      </x:c>
      <x:c r="R111" s="62" t="n">
        <x:f>MIN(MAX(0,T110+P111+Q111),S110+Q111)</x:f>
        <x:v>0</x:v>
      </x:c>
      <x:c r="S111" s="62" t="n">
        <x:f>S110+Q111-R111</x:f>
        <x:v>0</x:v>
      </x:c>
      <x:c r="T111" s="62" t="n">
        <x:f>MAX(0,T110+P111+Q111-R111)</x:f>
        <x:v>1789.9871226830446</x:v>
      </x:c>
      <x:c r="U111" s="62" t="n">
        <x:f>MAX(0,-(T110+P111)-MAX(0,'17_Gia_dinh_mo_hinh'!$R$5-S110))</x:f>
        <x:v>0</x:v>
      </x:c>
      <x:c r="V111" s="61" t="str">
        <x:f>IF(B111&lt;'17_Gia_dinh_mo_hinh'!$F$5+D111,"Trước mở bán",IF(B111&lt;'17_Gia_dinh_mo_hinh'!$H$5+D111,"Bán hàng/thi công",IF(G111&gt;0,"Ghi nhận/bàn giao","Hậu bàn giao")))</x:f>
        <x:v>Ghi nhận/bàn giao</x:v>
      </x:c>
    </x:row>
    <x:row r="112">
      <x:c r="A112" s="54" t="str">
        <x:v>DA02</x:v>
      </x:c>
      <x:c r="B112" s="54" t="n">
        <x:v>49</x:v>
      </x:c>
      <x:c r="C112" s="60" t="n">
        <x:f>EDATE('17_Gia_dinh_mo_hinh'!$C$5,B112-1)</x:f>
        <x:v>47696</x:v>
      </x:c>
      <x:c r="D112" s="61" t="n">
        <x:f>ROUNDUP('17_Gia_dinh_mo_hinh'!$E$5/30,0)</x:f>
        <x:v>3</x:v>
      </x:c>
      <x:c r="E112" s="62" t="n">
        <x:f>IF(AND(B112&gt;='17_Gia_dinh_mo_hinh'!$F$5+D112,B112&lt;'17_Gia_dinh_mo_hinh'!$F$5+D112+'17_Gia_dinh_mo_hinh'!$G$5),'17_Gia_dinh_mo_hinh'!$L$5*(1-'17_Gia_dinh_mo_hinh'!$M$5)/'17_Gia_dinh_mo_hinh'!$G$5,0)</x:f>
        <x:v>0</x:v>
      </x:c>
      <x:c r="F112" s="62" t="n">
        <x:f>0.70*E112+0.30*E111</x:f>
        <x:v>0</x:v>
      </x:c>
      <x:c r="G112" s="62" t="n">
        <x:f>IF(AND(B112&gt;='17_Gia_dinh_mo_hinh'!$H$5+D112,B112&lt;'17_Gia_dinh_mo_hinh'!$H$5+D112+'17_Gia_dinh_mo_hinh'!$I$5),'17_Gia_dinh_mo_hinh'!$L$5*(1-'17_Gia_dinh_mo_hinh'!$M$5)/'17_Gia_dinh_mo_hinh'!$I$5,0)</x:f>
        <x:v>622.2222222222222</x:v>
      </x:c>
      <x:c r="H112" s="62" t="n">
        <x:f>G112*(1-'17_Gia_dinh_mo_hinh'!$N$5)</x:f>
        <x:v>410.6666666666666</x:v>
      </x:c>
      <x:c r="I112" s="62" t="n">
        <x:f>G112*'17_Gia_dinh_mo_hinh'!$O$5</x:f>
        <x:v>21.77777777777778</x:v>
      </x:c>
      <x:c r="J112" s="62" t="n">
        <x:f>G112*'17_Gia_dinh_mo_hinh'!$P$5</x:f>
        <x:v>12.444444444444443</x:v>
      </x:c>
      <x:c r="K112" s="62" t="n">
        <x:f>IF(B112&lt;='17_Gia_dinh_mo_hinh'!$J$5,'17_Gia_dinh_mo_hinh'!$K$5*(1-MIN(0.95,'17_Gia_dinh_mo_hinh'!$M$5*0.75))/'17_Gia_dinh_mo_hinh'!$J$5,0)</x:f>
        <x:v>0</x:v>
      </x:c>
      <x:c r="L112" s="62" t="n">
        <x:f>S111*'17_Gia_dinh_mo_hinh'!$Q$5/12</x:f>
        <x:v>0</x:v>
      </x:c>
      <x:c r="M112" s="62" t="n">
        <x:f>G112-H112-I112-J112-L112</x:f>
        <x:v>177.33333333333337</x:v>
      </x:c>
      <x:c r="N112" s="62" t="n">
        <x:f>MAX(0,M112*'17_Gia_dinh_mo_hinh'!$S$5)</x:f>
        <x:v>35.466666666666676</x:v>
      </x:c>
      <x:c r="O112" s="62" t="n">
        <x:f>M112-N112</x:f>
        <x:v>141.8666666666667</x:v>
      </x:c>
      <x:c r="P112" s="62" t="n">
        <x:f>F112-K112-I112-J112-N112-L112</x:f>
        <x:v>-69.6888888888889</x:v>
      </x:c>
      <x:c r="Q112" s="62" t="n">
        <x:f>MIN(MAX(0,-(T111+P112)),MAX(0,'17_Gia_dinh_mo_hinh'!$R$5-S111))</x:f>
        <x:v>0</x:v>
      </x:c>
      <x:c r="R112" s="62" t="n">
        <x:f>MIN(MAX(0,T111+P112+Q112),S111+Q112)</x:f>
        <x:v>0</x:v>
      </x:c>
      <x:c r="S112" s="62" t="n">
        <x:f>S111+Q112-R112</x:f>
        <x:v>0</x:v>
      </x:c>
      <x:c r="T112" s="62" t="n">
        <x:f>MAX(0,T111+P112+Q112-R112)</x:f>
        <x:v>1720.2982337941557</x:v>
      </x:c>
      <x:c r="U112" s="62" t="n">
        <x:f>MAX(0,-(T111+P112)-MAX(0,'17_Gia_dinh_mo_hinh'!$R$5-S111))</x:f>
        <x:v>0</x:v>
      </x:c>
      <x:c r="V112" s="61" t="str">
        <x:f>IF(B112&lt;'17_Gia_dinh_mo_hinh'!$F$5+D112,"Trước mở bán",IF(B112&lt;'17_Gia_dinh_mo_hinh'!$H$5+D112,"Bán hàng/thi công",IF(G112&gt;0,"Ghi nhận/bàn giao","Hậu bàn giao")))</x:f>
        <x:v>Ghi nhận/bàn giao</x:v>
      </x:c>
    </x:row>
    <x:row r="113">
      <x:c r="A113" s="54" t="str">
        <x:v>DA02</x:v>
      </x:c>
      <x:c r="B113" s="54" t="n">
        <x:v>50</x:v>
      </x:c>
      <x:c r="C113" s="60" t="n">
        <x:f>EDATE('17_Gia_dinh_mo_hinh'!$C$5,B113-1)</x:f>
        <x:v>47727</x:v>
      </x:c>
      <x:c r="D113" s="61" t="n">
        <x:f>ROUNDUP('17_Gia_dinh_mo_hinh'!$E$5/30,0)</x:f>
        <x:v>3</x:v>
      </x:c>
      <x:c r="E113" s="62" t="n">
        <x:f>IF(AND(B113&gt;='17_Gia_dinh_mo_hinh'!$F$5+D113,B113&lt;'17_Gia_dinh_mo_hinh'!$F$5+D113+'17_Gia_dinh_mo_hinh'!$G$5),'17_Gia_dinh_mo_hinh'!$L$5*(1-'17_Gia_dinh_mo_hinh'!$M$5)/'17_Gia_dinh_mo_hinh'!$G$5,0)</x:f>
        <x:v>0</x:v>
      </x:c>
      <x:c r="F113" s="62" t="n">
        <x:f>0.70*E113+0.30*E112</x:f>
        <x:v>0</x:v>
      </x:c>
      <x:c r="G113" s="62" t="n">
        <x:f>IF(AND(B113&gt;='17_Gia_dinh_mo_hinh'!$H$5+D113,B113&lt;'17_Gia_dinh_mo_hinh'!$H$5+D113+'17_Gia_dinh_mo_hinh'!$I$5),'17_Gia_dinh_mo_hinh'!$L$5*(1-'17_Gia_dinh_mo_hinh'!$M$5)/'17_Gia_dinh_mo_hinh'!$I$5,0)</x:f>
        <x:v>622.2222222222222</x:v>
      </x:c>
      <x:c r="H113" s="62" t="n">
        <x:f>G113*(1-'17_Gia_dinh_mo_hinh'!$N$5)</x:f>
        <x:v>410.6666666666666</x:v>
      </x:c>
      <x:c r="I113" s="62" t="n">
        <x:f>G113*'17_Gia_dinh_mo_hinh'!$O$5</x:f>
        <x:v>21.77777777777778</x:v>
      </x:c>
      <x:c r="J113" s="62" t="n">
        <x:f>G113*'17_Gia_dinh_mo_hinh'!$P$5</x:f>
        <x:v>12.444444444444443</x:v>
      </x:c>
      <x:c r="K113" s="62" t="n">
        <x:f>IF(B113&lt;='17_Gia_dinh_mo_hinh'!$J$5,'17_Gia_dinh_mo_hinh'!$K$5*(1-MIN(0.95,'17_Gia_dinh_mo_hinh'!$M$5*0.75))/'17_Gia_dinh_mo_hinh'!$J$5,0)</x:f>
        <x:v>0</x:v>
      </x:c>
      <x:c r="L113" s="62" t="n">
        <x:f>S112*'17_Gia_dinh_mo_hinh'!$Q$5/12</x:f>
        <x:v>0</x:v>
      </x:c>
      <x:c r="M113" s="62" t="n">
        <x:f>G113-H113-I113-J113-L113</x:f>
        <x:v>177.33333333333337</x:v>
      </x:c>
      <x:c r="N113" s="62" t="n">
        <x:f>MAX(0,M113*'17_Gia_dinh_mo_hinh'!$S$5)</x:f>
        <x:v>35.466666666666676</x:v>
      </x:c>
      <x:c r="O113" s="62" t="n">
        <x:f>M113-N113</x:f>
        <x:v>141.8666666666667</x:v>
      </x:c>
      <x:c r="P113" s="62" t="n">
        <x:f>F113-K113-I113-J113-N113-L113</x:f>
        <x:v>-69.6888888888889</x:v>
      </x:c>
      <x:c r="Q113" s="62" t="n">
        <x:f>MIN(MAX(0,-(T112+P113)),MAX(0,'17_Gia_dinh_mo_hinh'!$R$5-S112))</x:f>
        <x:v>0</x:v>
      </x:c>
      <x:c r="R113" s="62" t="n">
        <x:f>MIN(MAX(0,T112+P113+Q113),S112+Q113)</x:f>
        <x:v>0</x:v>
      </x:c>
      <x:c r="S113" s="62" t="n">
        <x:f>S112+Q113-R113</x:f>
        <x:v>0</x:v>
      </x:c>
      <x:c r="T113" s="62" t="n">
        <x:f>MAX(0,T112+P113+Q113-R113)</x:f>
        <x:v>1650.6093449052669</x:v>
      </x:c>
      <x:c r="U113" s="62" t="n">
        <x:f>MAX(0,-(T112+P113)-MAX(0,'17_Gia_dinh_mo_hinh'!$R$5-S112))</x:f>
        <x:v>0</x:v>
      </x:c>
      <x:c r="V113" s="61" t="str">
        <x:f>IF(B113&lt;'17_Gia_dinh_mo_hinh'!$F$5+D113,"Trước mở bán",IF(B113&lt;'17_Gia_dinh_mo_hinh'!$H$5+D113,"Bán hàng/thi công",IF(G113&gt;0,"Ghi nhận/bàn giao","Hậu bàn giao")))</x:f>
        <x:v>Ghi nhận/bàn giao</x:v>
      </x:c>
    </x:row>
    <x:row r="114">
      <x:c r="A114" s="54" t="str">
        <x:v>DA02</x:v>
      </x:c>
      <x:c r="B114" s="54" t="n">
        <x:v>51</x:v>
      </x:c>
      <x:c r="C114" s="60" t="n">
        <x:f>EDATE('17_Gia_dinh_mo_hinh'!$C$5,B114-1)</x:f>
        <x:v>47757</x:v>
      </x:c>
      <x:c r="D114" s="61" t="n">
        <x:f>ROUNDUP('17_Gia_dinh_mo_hinh'!$E$5/30,0)</x:f>
        <x:v>3</x:v>
      </x:c>
      <x:c r="E114" s="62" t="n">
        <x:f>IF(AND(B114&gt;='17_Gia_dinh_mo_hinh'!$F$5+D114,B114&lt;'17_Gia_dinh_mo_hinh'!$F$5+D114+'17_Gia_dinh_mo_hinh'!$G$5),'17_Gia_dinh_mo_hinh'!$L$5*(1-'17_Gia_dinh_mo_hinh'!$M$5)/'17_Gia_dinh_mo_hinh'!$G$5,0)</x:f>
        <x:v>0</x:v>
      </x:c>
      <x:c r="F114" s="62" t="n">
        <x:f>0.70*E114+0.30*E113</x:f>
        <x:v>0</x:v>
      </x:c>
      <x:c r="G114" s="62" t="n">
        <x:f>IF(AND(B114&gt;='17_Gia_dinh_mo_hinh'!$H$5+D114,B114&lt;'17_Gia_dinh_mo_hinh'!$H$5+D114+'17_Gia_dinh_mo_hinh'!$I$5),'17_Gia_dinh_mo_hinh'!$L$5*(1-'17_Gia_dinh_mo_hinh'!$M$5)/'17_Gia_dinh_mo_hinh'!$I$5,0)</x:f>
        <x:v>0</x:v>
      </x:c>
      <x:c r="H114" s="62" t="n">
        <x:f>G114*(1-'17_Gia_dinh_mo_hinh'!$N$5)</x:f>
        <x:v>0</x:v>
      </x:c>
      <x:c r="I114" s="62" t="n">
        <x:f>G114*'17_Gia_dinh_mo_hinh'!$O$5</x:f>
        <x:v>0</x:v>
      </x:c>
      <x:c r="J114" s="62" t="n">
        <x:f>G114*'17_Gia_dinh_mo_hinh'!$P$5</x:f>
        <x:v>0</x:v>
      </x:c>
      <x:c r="K114" s="62" t="n">
        <x:f>IF(B114&lt;='17_Gia_dinh_mo_hinh'!$J$5,'17_Gia_dinh_mo_hinh'!$K$5*(1-MIN(0.95,'17_Gia_dinh_mo_hinh'!$M$5*0.75))/'17_Gia_dinh_mo_hinh'!$J$5,0)</x:f>
        <x:v>0</x:v>
      </x:c>
      <x:c r="L114" s="62" t="n">
        <x:f>S113*'17_Gia_dinh_mo_hinh'!$Q$5/12</x:f>
        <x:v>0</x:v>
      </x:c>
      <x:c r="M114" s="62" t="n">
        <x:f>G114-H114-I114-J114-L114</x:f>
        <x:v>0</x:v>
      </x:c>
      <x:c r="N114" s="62" t="n">
        <x:f>MAX(0,M114*'17_Gia_dinh_mo_hinh'!$S$5)</x:f>
        <x:v>0</x:v>
      </x:c>
      <x:c r="O114" s="62" t="n">
        <x:f>M114-N114</x:f>
        <x:v>0</x:v>
      </x:c>
      <x:c r="P114" s="62" t="n">
        <x:f>F114-K114-I114-J114-N114-L114</x:f>
        <x:v>0</x:v>
      </x:c>
      <x:c r="Q114" s="62" t="n">
        <x:f>MIN(MAX(0,-(T113+P114)),MAX(0,'17_Gia_dinh_mo_hinh'!$R$5-S113))</x:f>
        <x:v>0</x:v>
      </x:c>
      <x:c r="R114" s="62" t="n">
        <x:f>MIN(MAX(0,T113+P114+Q114),S113+Q114)</x:f>
        <x:v>0</x:v>
      </x:c>
      <x:c r="S114" s="62" t="n">
        <x:f>S113+Q114-R114</x:f>
        <x:v>0</x:v>
      </x:c>
      <x:c r="T114" s="62" t="n">
        <x:f>MAX(0,T113+P114+Q114-R114)</x:f>
        <x:v>1650.6093449052669</x:v>
      </x:c>
      <x:c r="U114" s="62" t="n">
        <x:f>MAX(0,-(T113+P114)-MAX(0,'17_Gia_dinh_mo_hinh'!$R$5-S113))</x:f>
        <x:v>0</x:v>
      </x:c>
      <x:c r="V114" s="61" t="str">
        <x:f>IF(B114&lt;'17_Gia_dinh_mo_hinh'!$F$5+D114,"Trước mở bán",IF(B114&lt;'17_Gia_dinh_mo_hinh'!$H$5+D114,"Bán hàng/thi công",IF(G114&gt;0,"Ghi nhận/bàn giao","Hậu bàn giao")))</x:f>
        <x:v>Hậu bàn giao</x:v>
      </x:c>
    </x:row>
    <x:row r="115">
      <x:c r="A115" s="54" t="str">
        <x:v>DA02</x:v>
      </x:c>
      <x:c r="B115" s="54" t="n">
        <x:v>52</x:v>
      </x:c>
      <x:c r="C115" s="60" t="n">
        <x:f>EDATE('17_Gia_dinh_mo_hinh'!$C$5,B115-1)</x:f>
        <x:v>47788</x:v>
      </x:c>
      <x:c r="D115" s="61" t="n">
        <x:f>ROUNDUP('17_Gia_dinh_mo_hinh'!$E$5/30,0)</x:f>
        <x:v>3</x:v>
      </x:c>
      <x:c r="E115" s="62" t="n">
        <x:f>IF(AND(B115&gt;='17_Gia_dinh_mo_hinh'!$F$5+D115,B115&lt;'17_Gia_dinh_mo_hinh'!$F$5+D115+'17_Gia_dinh_mo_hinh'!$G$5),'17_Gia_dinh_mo_hinh'!$L$5*(1-'17_Gia_dinh_mo_hinh'!$M$5)/'17_Gia_dinh_mo_hinh'!$G$5,0)</x:f>
        <x:v>0</x:v>
      </x:c>
      <x:c r="F115" s="62" t="n">
        <x:f>0.70*E115+0.30*E114</x:f>
        <x:v>0</x:v>
      </x:c>
      <x:c r="G115" s="62" t="n">
        <x:f>IF(AND(B115&gt;='17_Gia_dinh_mo_hinh'!$H$5+D115,B115&lt;'17_Gia_dinh_mo_hinh'!$H$5+D115+'17_Gia_dinh_mo_hinh'!$I$5),'17_Gia_dinh_mo_hinh'!$L$5*(1-'17_Gia_dinh_mo_hinh'!$M$5)/'17_Gia_dinh_mo_hinh'!$I$5,0)</x:f>
        <x:v>0</x:v>
      </x:c>
      <x:c r="H115" s="62" t="n">
        <x:f>G115*(1-'17_Gia_dinh_mo_hinh'!$N$5)</x:f>
        <x:v>0</x:v>
      </x:c>
      <x:c r="I115" s="62" t="n">
        <x:f>G115*'17_Gia_dinh_mo_hinh'!$O$5</x:f>
        <x:v>0</x:v>
      </x:c>
      <x:c r="J115" s="62" t="n">
        <x:f>G115*'17_Gia_dinh_mo_hinh'!$P$5</x:f>
        <x:v>0</x:v>
      </x:c>
      <x:c r="K115" s="62" t="n">
        <x:f>IF(B115&lt;='17_Gia_dinh_mo_hinh'!$J$5,'17_Gia_dinh_mo_hinh'!$K$5*(1-MIN(0.95,'17_Gia_dinh_mo_hinh'!$M$5*0.75))/'17_Gia_dinh_mo_hinh'!$J$5,0)</x:f>
        <x:v>0</x:v>
      </x:c>
      <x:c r="L115" s="62" t="n">
        <x:f>S114*'17_Gia_dinh_mo_hinh'!$Q$5/12</x:f>
        <x:v>0</x:v>
      </x:c>
      <x:c r="M115" s="62" t="n">
        <x:f>G115-H115-I115-J115-L115</x:f>
        <x:v>0</x:v>
      </x:c>
      <x:c r="N115" s="62" t="n">
        <x:f>MAX(0,M115*'17_Gia_dinh_mo_hinh'!$S$5)</x:f>
        <x:v>0</x:v>
      </x:c>
      <x:c r="O115" s="62" t="n">
        <x:f>M115-N115</x:f>
        <x:v>0</x:v>
      </x:c>
      <x:c r="P115" s="62" t="n">
        <x:f>F115-K115-I115-J115-N115-L115</x:f>
        <x:v>0</x:v>
      </x:c>
      <x:c r="Q115" s="62" t="n">
        <x:f>MIN(MAX(0,-(T114+P115)),MAX(0,'17_Gia_dinh_mo_hinh'!$R$5-S114))</x:f>
        <x:v>0</x:v>
      </x:c>
      <x:c r="R115" s="62" t="n">
        <x:f>MIN(MAX(0,T114+P115+Q115),S114+Q115)</x:f>
        <x:v>0</x:v>
      </x:c>
      <x:c r="S115" s="62" t="n">
        <x:f>S114+Q115-R115</x:f>
        <x:v>0</x:v>
      </x:c>
      <x:c r="T115" s="62" t="n">
        <x:f>MAX(0,T114+P115+Q115-R115)</x:f>
        <x:v>1650.6093449052669</x:v>
      </x:c>
      <x:c r="U115" s="62" t="n">
        <x:f>MAX(0,-(T114+P115)-MAX(0,'17_Gia_dinh_mo_hinh'!$R$5-S114))</x:f>
        <x:v>0</x:v>
      </x:c>
      <x:c r="V115" s="61" t="str">
        <x:f>IF(B115&lt;'17_Gia_dinh_mo_hinh'!$F$5+D115,"Trước mở bán",IF(B115&lt;'17_Gia_dinh_mo_hinh'!$H$5+D115,"Bán hàng/thi công",IF(G115&gt;0,"Ghi nhận/bàn giao","Hậu bàn giao")))</x:f>
        <x:v>Hậu bàn giao</x:v>
      </x:c>
    </x:row>
    <x:row r="116">
      <x:c r="A116" s="54" t="str">
        <x:v>DA02</x:v>
      </x:c>
      <x:c r="B116" s="54" t="n">
        <x:v>53</x:v>
      </x:c>
      <x:c r="C116" s="60" t="n">
        <x:f>EDATE('17_Gia_dinh_mo_hinh'!$C$5,B116-1)</x:f>
        <x:v>47818</x:v>
      </x:c>
      <x:c r="D116" s="61" t="n">
        <x:f>ROUNDUP('17_Gia_dinh_mo_hinh'!$E$5/30,0)</x:f>
        <x:v>3</x:v>
      </x:c>
      <x:c r="E116" s="62" t="n">
        <x:f>IF(AND(B116&gt;='17_Gia_dinh_mo_hinh'!$F$5+D116,B116&lt;'17_Gia_dinh_mo_hinh'!$F$5+D116+'17_Gia_dinh_mo_hinh'!$G$5),'17_Gia_dinh_mo_hinh'!$L$5*(1-'17_Gia_dinh_mo_hinh'!$M$5)/'17_Gia_dinh_mo_hinh'!$G$5,0)</x:f>
        <x:v>0</x:v>
      </x:c>
      <x:c r="F116" s="62" t="n">
        <x:f>0.70*E116+0.30*E115</x:f>
        <x:v>0</x:v>
      </x:c>
      <x:c r="G116" s="62" t="n">
        <x:f>IF(AND(B116&gt;='17_Gia_dinh_mo_hinh'!$H$5+D116,B116&lt;'17_Gia_dinh_mo_hinh'!$H$5+D116+'17_Gia_dinh_mo_hinh'!$I$5),'17_Gia_dinh_mo_hinh'!$L$5*(1-'17_Gia_dinh_mo_hinh'!$M$5)/'17_Gia_dinh_mo_hinh'!$I$5,0)</x:f>
        <x:v>0</x:v>
      </x:c>
      <x:c r="H116" s="62" t="n">
        <x:f>G116*(1-'17_Gia_dinh_mo_hinh'!$N$5)</x:f>
        <x:v>0</x:v>
      </x:c>
      <x:c r="I116" s="62" t="n">
        <x:f>G116*'17_Gia_dinh_mo_hinh'!$O$5</x:f>
        <x:v>0</x:v>
      </x:c>
      <x:c r="J116" s="62" t="n">
        <x:f>G116*'17_Gia_dinh_mo_hinh'!$P$5</x:f>
        <x:v>0</x:v>
      </x:c>
      <x:c r="K116" s="62" t="n">
        <x:f>IF(B116&lt;='17_Gia_dinh_mo_hinh'!$J$5,'17_Gia_dinh_mo_hinh'!$K$5*(1-MIN(0.95,'17_Gia_dinh_mo_hinh'!$M$5*0.75))/'17_Gia_dinh_mo_hinh'!$J$5,0)</x:f>
        <x:v>0</x:v>
      </x:c>
      <x:c r="L116" s="62" t="n">
        <x:f>S115*'17_Gia_dinh_mo_hinh'!$Q$5/12</x:f>
        <x:v>0</x:v>
      </x:c>
      <x:c r="M116" s="62" t="n">
        <x:f>G116-H116-I116-J116-L116</x:f>
        <x:v>0</x:v>
      </x:c>
      <x:c r="N116" s="62" t="n">
        <x:f>MAX(0,M116*'17_Gia_dinh_mo_hinh'!$S$5)</x:f>
        <x:v>0</x:v>
      </x:c>
      <x:c r="O116" s="62" t="n">
        <x:f>M116-N116</x:f>
        <x:v>0</x:v>
      </x:c>
      <x:c r="P116" s="62" t="n">
        <x:f>F116-K116-I116-J116-N116-L116</x:f>
        <x:v>0</x:v>
      </x:c>
      <x:c r="Q116" s="62" t="n">
        <x:f>MIN(MAX(0,-(T115+P116)),MAX(0,'17_Gia_dinh_mo_hinh'!$R$5-S115))</x:f>
        <x:v>0</x:v>
      </x:c>
      <x:c r="R116" s="62" t="n">
        <x:f>MIN(MAX(0,T115+P116+Q116),S115+Q116)</x:f>
        <x:v>0</x:v>
      </x:c>
      <x:c r="S116" s="62" t="n">
        <x:f>S115+Q116-R116</x:f>
        <x:v>0</x:v>
      </x:c>
      <x:c r="T116" s="62" t="n">
        <x:f>MAX(0,T115+P116+Q116-R116)</x:f>
        <x:v>1650.6093449052669</x:v>
      </x:c>
      <x:c r="U116" s="62" t="n">
        <x:f>MAX(0,-(T115+P116)-MAX(0,'17_Gia_dinh_mo_hinh'!$R$5-S115))</x:f>
        <x:v>0</x:v>
      </x:c>
      <x:c r="V116" s="61" t="str">
        <x:f>IF(B116&lt;'17_Gia_dinh_mo_hinh'!$F$5+D116,"Trước mở bán",IF(B116&lt;'17_Gia_dinh_mo_hinh'!$H$5+D116,"Bán hàng/thi công",IF(G116&gt;0,"Ghi nhận/bàn giao","Hậu bàn giao")))</x:f>
        <x:v>Hậu bàn giao</x:v>
      </x:c>
    </x:row>
    <x:row r="117">
      <x:c r="A117" s="54" t="str">
        <x:v>DA02</x:v>
      </x:c>
      <x:c r="B117" s="54" t="n">
        <x:v>54</x:v>
      </x:c>
      <x:c r="C117" s="60" t="n">
        <x:f>EDATE('17_Gia_dinh_mo_hinh'!$C$5,B117-1)</x:f>
        <x:v>47849</x:v>
      </x:c>
      <x:c r="D117" s="61" t="n">
        <x:f>ROUNDUP('17_Gia_dinh_mo_hinh'!$E$5/30,0)</x:f>
        <x:v>3</x:v>
      </x:c>
      <x:c r="E117" s="62" t="n">
        <x:f>IF(AND(B117&gt;='17_Gia_dinh_mo_hinh'!$F$5+D117,B117&lt;'17_Gia_dinh_mo_hinh'!$F$5+D117+'17_Gia_dinh_mo_hinh'!$G$5),'17_Gia_dinh_mo_hinh'!$L$5*(1-'17_Gia_dinh_mo_hinh'!$M$5)/'17_Gia_dinh_mo_hinh'!$G$5,0)</x:f>
        <x:v>0</x:v>
      </x:c>
      <x:c r="F117" s="62" t="n">
        <x:f>0.70*E117+0.30*E116</x:f>
        <x:v>0</x:v>
      </x:c>
      <x:c r="G117" s="62" t="n">
        <x:f>IF(AND(B117&gt;='17_Gia_dinh_mo_hinh'!$H$5+D117,B117&lt;'17_Gia_dinh_mo_hinh'!$H$5+D117+'17_Gia_dinh_mo_hinh'!$I$5),'17_Gia_dinh_mo_hinh'!$L$5*(1-'17_Gia_dinh_mo_hinh'!$M$5)/'17_Gia_dinh_mo_hinh'!$I$5,0)</x:f>
        <x:v>0</x:v>
      </x:c>
      <x:c r="H117" s="62" t="n">
        <x:f>G117*(1-'17_Gia_dinh_mo_hinh'!$N$5)</x:f>
        <x:v>0</x:v>
      </x:c>
      <x:c r="I117" s="62" t="n">
        <x:f>G117*'17_Gia_dinh_mo_hinh'!$O$5</x:f>
        <x:v>0</x:v>
      </x:c>
      <x:c r="J117" s="62" t="n">
        <x:f>G117*'17_Gia_dinh_mo_hinh'!$P$5</x:f>
        <x:v>0</x:v>
      </x:c>
      <x:c r="K117" s="62" t="n">
        <x:f>IF(B117&lt;='17_Gia_dinh_mo_hinh'!$J$5,'17_Gia_dinh_mo_hinh'!$K$5*(1-MIN(0.95,'17_Gia_dinh_mo_hinh'!$M$5*0.75))/'17_Gia_dinh_mo_hinh'!$J$5,0)</x:f>
        <x:v>0</x:v>
      </x:c>
      <x:c r="L117" s="62" t="n">
        <x:f>S116*'17_Gia_dinh_mo_hinh'!$Q$5/12</x:f>
        <x:v>0</x:v>
      </x:c>
      <x:c r="M117" s="62" t="n">
        <x:f>G117-H117-I117-J117-L117</x:f>
        <x:v>0</x:v>
      </x:c>
      <x:c r="N117" s="62" t="n">
        <x:f>MAX(0,M117*'17_Gia_dinh_mo_hinh'!$S$5)</x:f>
        <x:v>0</x:v>
      </x:c>
      <x:c r="O117" s="62" t="n">
        <x:f>M117-N117</x:f>
        <x:v>0</x:v>
      </x:c>
      <x:c r="P117" s="62" t="n">
        <x:f>F117-K117-I117-J117-N117-L117</x:f>
        <x:v>0</x:v>
      </x:c>
      <x:c r="Q117" s="62" t="n">
        <x:f>MIN(MAX(0,-(T116+P117)),MAX(0,'17_Gia_dinh_mo_hinh'!$R$5-S116))</x:f>
        <x:v>0</x:v>
      </x:c>
      <x:c r="R117" s="62" t="n">
        <x:f>MIN(MAX(0,T116+P117+Q117),S116+Q117)</x:f>
        <x:v>0</x:v>
      </x:c>
      <x:c r="S117" s="62" t="n">
        <x:f>S116+Q117-R117</x:f>
        <x:v>0</x:v>
      </x:c>
      <x:c r="T117" s="62" t="n">
        <x:f>MAX(0,T116+P117+Q117-R117)</x:f>
        <x:v>1650.6093449052669</x:v>
      </x:c>
      <x:c r="U117" s="62" t="n">
        <x:f>MAX(0,-(T116+P117)-MAX(0,'17_Gia_dinh_mo_hinh'!$R$5-S116))</x:f>
        <x:v>0</x:v>
      </x:c>
      <x:c r="V117" s="61" t="str">
        <x:f>IF(B117&lt;'17_Gia_dinh_mo_hinh'!$F$5+D117,"Trước mở bán",IF(B117&lt;'17_Gia_dinh_mo_hinh'!$H$5+D117,"Bán hàng/thi công",IF(G117&gt;0,"Ghi nhận/bàn giao","Hậu bàn giao")))</x:f>
        <x:v>Hậu bàn giao</x:v>
      </x:c>
    </x:row>
    <x:row r="118">
      <x:c r="A118" s="54" t="str">
        <x:v>DA02</x:v>
      </x:c>
      <x:c r="B118" s="54" t="n">
        <x:v>55</x:v>
      </x:c>
      <x:c r="C118" s="60" t="n">
        <x:f>EDATE('17_Gia_dinh_mo_hinh'!$C$5,B118-1)</x:f>
        <x:v>47880</x:v>
      </x:c>
      <x:c r="D118" s="61" t="n">
        <x:f>ROUNDUP('17_Gia_dinh_mo_hinh'!$E$5/30,0)</x:f>
        <x:v>3</x:v>
      </x:c>
      <x:c r="E118" s="62" t="n">
        <x:f>IF(AND(B118&gt;='17_Gia_dinh_mo_hinh'!$F$5+D118,B118&lt;'17_Gia_dinh_mo_hinh'!$F$5+D118+'17_Gia_dinh_mo_hinh'!$G$5),'17_Gia_dinh_mo_hinh'!$L$5*(1-'17_Gia_dinh_mo_hinh'!$M$5)/'17_Gia_dinh_mo_hinh'!$G$5,0)</x:f>
        <x:v>0</x:v>
      </x:c>
      <x:c r="F118" s="62" t="n">
        <x:f>0.70*E118+0.30*E117</x:f>
        <x:v>0</x:v>
      </x:c>
      <x:c r="G118" s="62" t="n">
        <x:f>IF(AND(B118&gt;='17_Gia_dinh_mo_hinh'!$H$5+D118,B118&lt;'17_Gia_dinh_mo_hinh'!$H$5+D118+'17_Gia_dinh_mo_hinh'!$I$5),'17_Gia_dinh_mo_hinh'!$L$5*(1-'17_Gia_dinh_mo_hinh'!$M$5)/'17_Gia_dinh_mo_hinh'!$I$5,0)</x:f>
        <x:v>0</x:v>
      </x:c>
      <x:c r="H118" s="62" t="n">
        <x:f>G118*(1-'17_Gia_dinh_mo_hinh'!$N$5)</x:f>
        <x:v>0</x:v>
      </x:c>
      <x:c r="I118" s="62" t="n">
        <x:f>G118*'17_Gia_dinh_mo_hinh'!$O$5</x:f>
        <x:v>0</x:v>
      </x:c>
      <x:c r="J118" s="62" t="n">
        <x:f>G118*'17_Gia_dinh_mo_hinh'!$P$5</x:f>
        <x:v>0</x:v>
      </x:c>
      <x:c r="K118" s="62" t="n">
        <x:f>IF(B118&lt;='17_Gia_dinh_mo_hinh'!$J$5,'17_Gia_dinh_mo_hinh'!$K$5*(1-MIN(0.95,'17_Gia_dinh_mo_hinh'!$M$5*0.75))/'17_Gia_dinh_mo_hinh'!$J$5,0)</x:f>
        <x:v>0</x:v>
      </x:c>
      <x:c r="L118" s="62" t="n">
        <x:f>S117*'17_Gia_dinh_mo_hinh'!$Q$5/12</x:f>
        <x:v>0</x:v>
      </x:c>
      <x:c r="M118" s="62" t="n">
        <x:f>G118-H118-I118-J118-L118</x:f>
        <x:v>0</x:v>
      </x:c>
      <x:c r="N118" s="62" t="n">
        <x:f>MAX(0,M118*'17_Gia_dinh_mo_hinh'!$S$5)</x:f>
        <x:v>0</x:v>
      </x:c>
      <x:c r="O118" s="62" t="n">
        <x:f>M118-N118</x:f>
        <x:v>0</x:v>
      </x:c>
      <x:c r="P118" s="62" t="n">
        <x:f>F118-K118-I118-J118-N118-L118</x:f>
        <x:v>0</x:v>
      </x:c>
      <x:c r="Q118" s="62" t="n">
        <x:f>MIN(MAX(0,-(T117+P118)),MAX(0,'17_Gia_dinh_mo_hinh'!$R$5-S117))</x:f>
        <x:v>0</x:v>
      </x:c>
      <x:c r="R118" s="62" t="n">
        <x:f>MIN(MAX(0,T117+P118+Q118),S117+Q118)</x:f>
        <x:v>0</x:v>
      </x:c>
      <x:c r="S118" s="62" t="n">
        <x:f>S117+Q118-R118</x:f>
        <x:v>0</x:v>
      </x:c>
      <x:c r="T118" s="62" t="n">
        <x:f>MAX(0,T117+P118+Q118-R118)</x:f>
        <x:v>1650.6093449052669</x:v>
      </x:c>
      <x:c r="U118" s="62" t="n">
        <x:f>MAX(0,-(T117+P118)-MAX(0,'17_Gia_dinh_mo_hinh'!$R$5-S117))</x:f>
        <x:v>0</x:v>
      </x:c>
      <x:c r="V118" s="61" t="str">
        <x:f>IF(B118&lt;'17_Gia_dinh_mo_hinh'!$F$5+D118,"Trước mở bán",IF(B118&lt;'17_Gia_dinh_mo_hinh'!$H$5+D118,"Bán hàng/thi công",IF(G118&gt;0,"Ghi nhận/bàn giao","Hậu bàn giao")))</x:f>
        <x:v>Hậu bàn giao</x:v>
      </x:c>
    </x:row>
    <x:row r="119">
      <x:c r="A119" s="54" t="str">
        <x:v>DA02</x:v>
      </x:c>
      <x:c r="B119" s="54" t="n">
        <x:v>56</x:v>
      </x:c>
      <x:c r="C119" s="60" t="n">
        <x:f>EDATE('17_Gia_dinh_mo_hinh'!$C$5,B119-1)</x:f>
        <x:v>47908</x:v>
      </x:c>
      <x:c r="D119" s="61" t="n">
        <x:f>ROUNDUP('17_Gia_dinh_mo_hinh'!$E$5/30,0)</x:f>
        <x:v>3</x:v>
      </x:c>
      <x:c r="E119" s="62" t="n">
        <x:f>IF(AND(B119&gt;='17_Gia_dinh_mo_hinh'!$F$5+D119,B119&lt;'17_Gia_dinh_mo_hinh'!$F$5+D119+'17_Gia_dinh_mo_hinh'!$G$5),'17_Gia_dinh_mo_hinh'!$L$5*(1-'17_Gia_dinh_mo_hinh'!$M$5)/'17_Gia_dinh_mo_hinh'!$G$5,0)</x:f>
        <x:v>0</x:v>
      </x:c>
      <x:c r="F119" s="62" t="n">
        <x:f>0.70*E119+0.30*E118</x:f>
        <x:v>0</x:v>
      </x:c>
      <x:c r="G119" s="62" t="n">
        <x:f>IF(AND(B119&gt;='17_Gia_dinh_mo_hinh'!$H$5+D119,B119&lt;'17_Gia_dinh_mo_hinh'!$H$5+D119+'17_Gia_dinh_mo_hinh'!$I$5),'17_Gia_dinh_mo_hinh'!$L$5*(1-'17_Gia_dinh_mo_hinh'!$M$5)/'17_Gia_dinh_mo_hinh'!$I$5,0)</x:f>
        <x:v>0</x:v>
      </x:c>
      <x:c r="H119" s="62" t="n">
        <x:f>G119*(1-'17_Gia_dinh_mo_hinh'!$N$5)</x:f>
        <x:v>0</x:v>
      </x:c>
      <x:c r="I119" s="62" t="n">
        <x:f>G119*'17_Gia_dinh_mo_hinh'!$O$5</x:f>
        <x:v>0</x:v>
      </x:c>
      <x:c r="J119" s="62" t="n">
        <x:f>G119*'17_Gia_dinh_mo_hinh'!$P$5</x:f>
        <x:v>0</x:v>
      </x:c>
      <x:c r="K119" s="62" t="n">
        <x:f>IF(B119&lt;='17_Gia_dinh_mo_hinh'!$J$5,'17_Gia_dinh_mo_hinh'!$K$5*(1-MIN(0.95,'17_Gia_dinh_mo_hinh'!$M$5*0.75))/'17_Gia_dinh_mo_hinh'!$J$5,0)</x:f>
        <x:v>0</x:v>
      </x:c>
      <x:c r="L119" s="62" t="n">
        <x:f>S118*'17_Gia_dinh_mo_hinh'!$Q$5/12</x:f>
        <x:v>0</x:v>
      </x:c>
      <x:c r="M119" s="62" t="n">
        <x:f>G119-H119-I119-J119-L119</x:f>
        <x:v>0</x:v>
      </x:c>
      <x:c r="N119" s="62" t="n">
        <x:f>MAX(0,M119*'17_Gia_dinh_mo_hinh'!$S$5)</x:f>
        <x:v>0</x:v>
      </x:c>
      <x:c r="O119" s="62" t="n">
        <x:f>M119-N119</x:f>
        <x:v>0</x:v>
      </x:c>
      <x:c r="P119" s="62" t="n">
        <x:f>F119-K119-I119-J119-N119-L119</x:f>
        <x:v>0</x:v>
      </x:c>
      <x:c r="Q119" s="62" t="n">
        <x:f>MIN(MAX(0,-(T118+P119)),MAX(0,'17_Gia_dinh_mo_hinh'!$R$5-S118))</x:f>
        <x:v>0</x:v>
      </x:c>
      <x:c r="R119" s="62" t="n">
        <x:f>MIN(MAX(0,T118+P119+Q119),S118+Q119)</x:f>
        <x:v>0</x:v>
      </x:c>
      <x:c r="S119" s="62" t="n">
        <x:f>S118+Q119-R119</x:f>
        <x:v>0</x:v>
      </x:c>
      <x:c r="T119" s="62" t="n">
        <x:f>MAX(0,T118+P119+Q119-R119)</x:f>
        <x:v>1650.6093449052669</x:v>
      </x:c>
      <x:c r="U119" s="62" t="n">
        <x:f>MAX(0,-(T118+P119)-MAX(0,'17_Gia_dinh_mo_hinh'!$R$5-S118))</x:f>
        <x:v>0</x:v>
      </x:c>
      <x:c r="V119" s="61" t="str">
        <x:f>IF(B119&lt;'17_Gia_dinh_mo_hinh'!$F$5+D119,"Trước mở bán",IF(B119&lt;'17_Gia_dinh_mo_hinh'!$H$5+D119,"Bán hàng/thi công",IF(G119&gt;0,"Ghi nhận/bàn giao","Hậu bàn giao")))</x:f>
        <x:v>Hậu bàn giao</x:v>
      </x:c>
    </x:row>
    <x:row r="120">
      <x:c r="A120" s="54" t="str">
        <x:v>DA02</x:v>
      </x:c>
      <x:c r="B120" s="54" t="n">
        <x:v>57</x:v>
      </x:c>
      <x:c r="C120" s="60" t="n">
        <x:f>EDATE('17_Gia_dinh_mo_hinh'!$C$5,B120-1)</x:f>
        <x:v>47939</x:v>
      </x:c>
      <x:c r="D120" s="61" t="n">
        <x:f>ROUNDUP('17_Gia_dinh_mo_hinh'!$E$5/30,0)</x:f>
        <x:v>3</x:v>
      </x:c>
      <x:c r="E120" s="62" t="n">
        <x:f>IF(AND(B120&gt;='17_Gia_dinh_mo_hinh'!$F$5+D120,B120&lt;'17_Gia_dinh_mo_hinh'!$F$5+D120+'17_Gia_dinh_mo_hinh'!$G$5),'17_Gia_dinh_mo_hinh'!$L$5*(1-'17_Gia_dinh_mo_hinh'!$M$5)/'17_Gia_dinh_mo_hinh'!$G$5,0)</x:f>
        <x:v>0</x:v>
      </x:c>
      <x:c r="F120" s="62" t="n">
        <x:f>0.70*E120+0.30*E119</x:f>
        <x:v>0</x:v>
      </x:c>
      <x:c r="G120" s="62" t="n">
        <x:f>IF(AND(B120&gt;='17_Gia_dinh_mo_hinh'!$H$5+D120,B120&lt;'17_Gia_dinh_mo_hinh'!$H$5+D120+'17_Gia_dinh_mo_hinh'!$I$5),'17_Gia_dinh_mo_hinh'!$L$5*(1-'17_Gia_dinh_mo_hinh'!$M$5)/'17_Gia_dinh_mo_hinh'!$I$5,0)</x:f>
        <x:v>0</x:v>
      </x:c>
      <x:c r="H120" s="62" t="n">
        <x:f>G120*(1-'17_Gia_dinh_mo_hinh'!$N$5)</x:f>
        <x:v>0</x:v>
      </x:c>
      <x:c r="I120" s="62" t="n">
        <x:f>G120*'17_Gia_dinh_mo_hinh'!$O$5</x:f>
        <x:v>0</x:v>
      </x:c>
      <x:c r="J120" s="62" t="n">
        <x:f>G120*'17_Gia_dinh_mo_hinh'!$P$5</x:f>
        <x:v>0</x:v>
      </x:c>
      <x:c r="K120" s="62" t="n">
        <x:f>IF(B120&lt;='17_Gia_dinh_mo_hinh'!$J$5,'17_Gia_dinh_mo_hinh'!$K$5*(1-MIN(0.95,'17_Gia_dinh_mo_hinh'!$M$5*0.75))/'17_Gia_dinh_mo_hinh'!$J$5,0)</x:f>
        <x:v>0</x:v>
      </x:c>
      <x:c r="L120" s="62" t="n">
        <x:f>S119*'17_Gia_dinh_mo_hinh'!$Q$5/12</x:f>
        <x:v>0</x:v>
      </x:c>
      <x:c r="M120" s="62" t="n">
        <x:f>G120-H120-I120-J120-L120</x:f>
        <x:v>0</x:v>
      </x:c>
      <x:c r="N120" s="62" t="n">
        <x:f>MAX(0,M120*'17_Gia_dinh_mo_hinh'!$S$5)</x:f>
        <x:v>0</x:v>
      </x:c>
      <x:c r="O120" s="62" t="n">
        <x:f>M120-N120</x:f>
        <x:v>0</x:v>
      </x:c>
      <x:c r="P120" s="62" t="n">
        <x:f>F120-K120-I120-J120-N120-L120</x:f>
        <x:v>0</x:v>
      </x:c>
      <x:c r="Q120" s="62" t="n">
        <x:f>MIN(MAX(0,-(T119+P120)),MAX(0,'17_Gia_dinh_mo_hinh'!$R$5-S119))</x:f>
        <x:v>0</x:v>
      </x:c>
      <x:c r="R120" s="62" t="n">
        <x:f>MIN(MAX(0,T119+P120+Q120),S119+Q120)</x:f>
        <x:v>0</x:v>
      </x:c>
      <x:c r="S120" s="62" t="n">
        <x:f>S119+Q120-R120</x:f>
        <x:v>0</x:v>
      </x:c>
      <x:c r="T120" s="62" t="n">
        <x:f>MAX(0,T119+P120+Q120-R120)</x:f>
        <x:v>1650.6093449052669</x:v>
      </x:c>
      <x:c r="U120" s="62" t="n">
        <x:f>MAX(0,-(T119+P120)-MAX(0,'17_Gia_dinh_mo_hinh'!$R$5-S119))</x:f>
        <x:v>0</x:v>
      </x:c>
      <x:c r="V120" s="61" t="str">
        <x:f>IF(B120&lt;'17_Gia_dinh_mo_hinh'!$F$5+D120,"Trước mở bán",IF(B120&lt;'17_Gia_dinh_mo_hinh'!$H$5+D120,"Bán hàng/thi công",IF(G120&gt;0,"Ghi nhận/bàn giao","Hậu bàn giao")))</x:f>
        <x:v>Hậu bàn giao</x:v>
      </x:c>
    </x:row>
    <x:row r="121">
      <x:c r="A121" s="54" t="str">
        <x:v>DA02</x:v>
      </x:c>
      <x:c r="B121" s="54" t="n">
        <x:v>58</x:v>
      </x:c>
      <x:c r="C121" s="60" t="n">
        <x:f>EDATE('17_Gia_dinh_mo_hinh'!$C$5,B121-1)</x:f>
        <x:v>47969</x:v>
      </x:c>
      <x:c r="D121" s="61" t="n">
        <x:f>ROUNDUP('17_Gia_dinh_mo_hinh'!$E$5/30,0)</x:f>
        <x:v>3</x:v>
      </x:c>
      <x:c r="E121" s="62" t="n">
        <x:f>IF(AND(B121&gt;='17_Gia_dinh_mo_hinh'!$F$5+D121,B121&lt;'17_Gia_dinh_mo_hinh'!$F$5+D121+'17_Gia_dinh_mo_hinh'!$G$5),'17_Gia_dinh_mo_hinh'!$L$5*(1-'17_Gia_dinh_mo_hinh'!$M$5)/'17_Gia_dinh_mo_hinh'!$G$5,0)</x:f>
        <x:v>0</x:v>
      </x:c>
      <x:c r="F121" s="62" t="n">
        <x:f>0.70*E121+0.30*E120</x:f>
        <x:v>0</x:v>
      </x:c>
      <x:c r="G121" s="62" t="n">
        <x:f>IF(AND(B121&gt;='17_Gia_dinh_mo_hinh'!$H$5+D121,B121&lt;'17_Gia_dinh_mo_hinh'!$H$5+D121+'17_Gia_dinh_mo_hinh'!$I$5),'17_Gia_dinh_mo_hinh'!$L$5*(1-'17_Gia_dinh_mo_hinh'!$M$5)/'17_Gia_dinh_mo_hinh'!$I$5,0)</x:f>
        <x:v>0</x:v>
      </x:c>
      <x:c r="H121" s="62" t="n">
        <x:f>G121*(1-'17_Gia_dinh_mo_hinh'!$N$5)</x:f>
        <x:v>0</x:v>
      </x:c>
      <x:c r="I121" s="62" t="n">
        <x:f>G121*'17_Gia_dinh_mo_hinh'!$O$5</x:f>
        <x:v>0</x:v>
      </x:c>
      <x:c r="J121" s="62" t="n">
        <x:f>G121*'17_Gia_dinh_mo_hinh'!$P$5</x:f>
        <x:v>0</x:v>
      </x:c>
      <x:c r="K121" s="62" t="n">
        <x:f>IF(B121&lt;='17_Gia_dinh_mo_hinh'!$J$5,'17_Gia_dinh_mo_hinh'!$K$5*(1-MIN(0.95,'17_Gia_dinh_mo_hinh'!$M$5*0.75))/'17_Gia_dinh_mo_hinh'!$J$5,0)</x:f>
        <x:v>0</x:v>
      </x:c>
      <x:c r="L121" s="62" t="n">
        <x:f>S120*'17_Gia_dinh_mo_hinh'!$Q$5/12</x:f>
        <x:v>0</x:v>
      </x:c>
      <x:c r="M121" s="62" t="n">
        <x:f>G121-H121-I121-J121-L121</x:f>
        <x:v>0</x:v>
      </x:c>
      <x:c r="N121" s="62" t="n">
        <x:f>MAX(0,M121*'17_Gia_dinh_mo_hinh'!$S$5)</x:f>
        <x:v>0</x:v>
      </x:c>
      <x:c r="O121" s="62" t="n">
        <x:f>M121-N121</x:f>
        <x:v>0</x:v>
      </x:c>
      <x:c r="P121" s="62" t="n">
        <x:f>F121-K121-I121-J121-N121-L121</x:f>
        <x:v>0</x:v>
      </x:c>
      <x:c r="Q121" s="62" t="n">
        <x:f>MIN(MAX(0,-(T120+P121)),MAX(0,'17_Gia_dinh_mo_hinh'!$R$5-S120))</x:f>
        <x:v>0</x:v>
      </x:c>
      <x:c r="R121" s="62" t="n">
        <x:f>MIN(MAX(0,T120+P121+Q121),S120+Q121)</x:f>
        <x:v>0</x:v>
      </x:c>
      <x:c r="S121" s="62" t="n">
        <x:f>S120+Q121-R121</x:f>
        <x:v>0</x:v>
      </x:c>
      <x:c r="T121" s="62" t="n">
        <x:f>MAX(0,T120+P121+Q121-R121)</x:f>
        <x:v>1650.6093449052669</x:v>
      </x:c>
      <x:c r="U121" s="62" t="n">
        <x:f>MAX(0,-(T120+P121)-MAX(0,'17_Gia_dinh_mo_hinh'!$R$5-S120))</x:f>
        <x:v>0</x:v>
      </x:c>
      <x:c r="V121" s="61" t="str">
        <x:f>IF(B121&lt;'17_Gia_dinh_mo_hinh'!$F$5+D121,"Trước mở bán",IF(B121&lt;'17_Gia_dinh_mo_hinh'!$H$5+D121,"Bán hàng/thi công",IF(G121&gt;0,"Ghi nhận/bàn giao","Hậu bàn giao")))</x:f>
        <x:v>Hậu bàn giao</x:v>
      </x:c>
    </x:row>
    <x:row r="122">
      <x:c r="A122" s="54" t="str">
        <x:v>DA02</x:v>
      </x:c>
      <x:c r="B122" s="54" t="n">
        <x:v>59</x:v>
      </x:c>
      <x:c r="C122" s="60" t="n">
        <x:f>EDATE('17_Gia_dinh_mo_hinh'!$C$5,B122-1)</x:f>
        <x:v>48000</x:v>
      </x:c>
      <x:c r="D122" s="61" t="n">
        <x:f>ROUNDUP('17_Gia_dinh_mo_hinh'!$E$5/30,0)</x:f>
        <x:v>3</x:v>
      </x:c>
      <x:c r="E122" s="62" t="n">
        <x:f>IF(AND(B122&gt;='17_Gia_dinh_mo_hinh'!$F$5+D122,B122&lt;'17_Gia_dinh_mo_hinh'!$F$5+D122+'17_Gia_dinh_mo_hinh'!$G$5),'17_Gia_dinh_mo_hinh'!$L$5*(1-'17_Gia_dinh_mo_hinh'!$M$5)/'17_Gia_dinh_mo_hinh'!$G$5,0)</x:f>
        <x:v>0</x:v>
      </x:c>
      <x:c r="F122" s="62" t="n">
        <x:f>0.70*E122+0.30*E121</x:f>
        <x:v>0</x:v>
      </x:c>
      <x:c r="G122" s="62" t="n">
        <x:f>IF(AND(B122&gt;='17_Gia_dinh_mo_hinh'!$H$5+D122,B122&lt;'17_Gia_dinh_mo_hinh'!$H$5+D122+'17_Gia_dinh_mo_hinh'!$I$5),'17_Gia_dinh_mo_hinh'!$L$5*(1-'17_Gia_dinh_mo_hinh'!$M$5)/'17_Gia_dinh_mo_hinh'!$I$5,0)</x:f>
        <x:v>0</x:v>
      </x:c>
      <x:c r="H122" s="62" t="n">
        <x:f>G122*(1-'17_Gia_dinh_mo_hinh'!$N$5)</x:f>
        <x:v>0</x:v>
      </x:c>
      <x:c r="I122" s="62" t="n">
        <x:f>G122*'17_Gia_dinh_mo_hinh'!$O$5</x:f>
        <x:v>0</x:v>
      </x:c>
      <x:c r="J122" s="62" t="n">
        <x:f>G122*'17_Gia_dinh_mo_hinh'!$P$5</x:f>
        <x:v>0</x:v>
      </x:c>
      <x:c r="K122" s="62" t="n">
        <x:f>IF(B122&lt;='17_Gia_dinh_mo_hinh'!$J$5,'17_Gia_dinh_mo_hinh'!$K$5*(1-MIN(0.95,'17_Gia_dinh_mo_hinh'!$M$5*0.75))/'17_Gia_dinh_mo_hinh'!$J$5,0)</x:f>
        <x:v>0</x:v>
      </x:c>
      <x:c r="L122" s="62" t="n">
        <x:f>S121*'17_Gia_dinh_mo_hinh'!$Q$5/12</x:f>
        <x:v>0</x:v>
      </x:c>
      <x:c r="M122" s="62" t="n">
        <x:f>G122-H122-I122-J122-L122</x:f>
        <x:v>0</x:v>
      </x:c>
      <x:c r="N122" s="62" t="n">
        <x:f>MAX(0,M122*'17_Gia_dinh_mo_hinh'!$S$5)</x:f>
        <x:v>0</x:v>
      </x:c>
      <x:c r="O122" s="62" t="n">
        <x:f>M122-N122</x:f>
        <x:v>0</x:v>
      </x:c>
      <x:c r="P122" s="62" t="n">
        <x:f>F122-K122-I122-J122-N122-L122</x:f>
        <x:v>0</x:v>
      </x:c>
      <x:c r="Q122" s="62" t="n">
        <x:f>MIN(MAX(0,-(T121+P122)),MAX(0,'17_Gia_dinh_mo_hinh'!$R$5-S121))</x:f>
        <x:v>0</x:v>
      </x:c>
      <x:c r="R122" s="62" t="n">
        <x:f>MIN(MAX(0,T121+P122+Q122),S121+Q122)</x:f>
        <x:v>0</x:v>
      </x:c>
      <x:c r="S122" s="62" t="n">
        <x:f>S121+Q122-R122</x:f>
        <x:v>0</x:v>
      </x:c>
      <x:c r="T122" s="62" t="n">
        <x:f>MAX(0,T121+P122+Q122-R122)</x:f>
        <x:v>1650.6093449052669</x:v>
      </x:c>
      <x:c r="U122" s="62" t="n">
        <x:f>MAX(0,-(T121+P122)-MAX(0,'17_Gia_dinh_mo_hinh'!$R$5-S121))</x:f>
        <x:v>0</x:v>
      </x:c>
      <x:c r="V122" s="61" t="str">
        <x:f>IF(B122&lt;'17_Gia_dinh_mo_hinh'!$F$5+D122,"Trước mở bán",IF(B122&lt;'17_Gia_dinh_mo_hinh'!$H$5+D122,"Bán hàng/thi công",IF(G122&gt;0,"Ghi nhận/bàn giao","Hậu bàn giao")))</x:f>
        <x:v>Hậu bàn giao</x:v>
      </x:c>
    </x:row>
    <x:row r="123">
      <x:c r="A123" s="54" t="str">
        <x:v>DA02</x:v>
      </x:c>
      <x:c r="B123" s="54" t="n">
        <x:v>60</x:v>
      </x:c>
      <x:c r="C123" s="60" t="n">
        <x:f>EDATE('17_Gia_dinh_mo_hinh'!$C$5,B123-1)</x:f>
        <x:v>48030</x:v>
      </x:c>
      <x:c r="D123" s="61" t="n">
        <x:f>ROUNDUP('17_Gia_dinh_mo_hinh'!$E$5/30,0)</x:f>
        <x:v>3</x:v>
      </x:c>
      <x:c r="E123" s="62" t="n">
        <x:f>IF(AND(B123&gt;='17_Gia_dinh_mo_hinh'!$F$5+D123,B123&lt;'17_Gia_dinh_mo_hinh'!$F$5+D123+'17_Gia_dinh_mo_hinh'!$G$5),'17_Gia_dinh_mo_hinh'!$L$5*(1-'17_Gia_dinh_mo_hinh'!$M$5)/'17_Gia_dinh_mo_hinh'!$G$5,0)</x:f>
        <x:v>0</x:v>
      </x:c>
      <x:c r="F123" s="62" t="n">
        <x:f>0.70*E123+0.30*E122</x:f>
        <x:v>0</x:v>
      </x:c>
      <x:c r="G123" s="62" t="n">
        <x:f>IF(AND(B123&gt;='17_Gia_dinh_mo_hinh'!$H$5+D123,B123&lt;'17_Gia_dinh_mo_hinh'!$H$5+D123+'17_Gia_dinh_mo_hinh'!$I$5),'17_Gia_dinh_mo_hinh'!$L$5*(1-'17_Gia_dinh_mo_hinh'!$M$5)/'17_Gia_dinh_mo_hinh'!$I$5,0)</x:f>
        <x:v>0</x:v>
      </x:c>
      <x:c r="H123" s="62" t="n">
        <x:f>G123*(1-'17_Gia_dinh_mo_hinh'!$N$5)</x:f>
        <x:v>0</x:v>
      </x:c>
      <x:c r="I123" s="62" t="n">
        <x:f>G123*'17_Gia_dinh_mo_hinh'!$O$5</x:f>
        <x:v>0</x:v>
      </x:c>
      <x:c r="J123" s="62" t="n">
        <x:f>G123*'17_Gia_dinh_mo_hinh'!$P$5</x:f>
        <x:v>0</x:v>
      </x:c>
      <x:c r="K123" s="62" t="n">
        <x:f>IF(B123&lt;='17_Gia_dinh_mo_hinh'!$J$5,'17_Gia_dinh_mo_hinh'!$K$5*(1-MIN(0.95,'17_Gia_dinh_mo_hinh'!$M$5*0.75))/'17_Gia_dinh_mo_hinh'!$J$5,0)</x:f>
        <x:v>0</x:v>
      </x:c>
      <x:c r="L123" s="62" t="n">
        <x:f>S122*'17_Gia_dinh_mo_hinh'!$Q$5/12</x:f>
        <x:v>0</x:v>
      </x:c>
      <x:c r="M123" s="62" t="n">
        <x:f>G123-H123-I123-J123-L123</x:f>
        <x:v>0</x:v>
      </x:c>
      <x:c r="N123" s="62" t="n">
        <x:f>MAX(0,M123*'17_Gia_dinh_mo_hinh'!$S$5)</x:f>
        <x:v>0</x:v>
      </x:c>
      <x:c r="O123" s="62" t="n">
        <x:f>M123-N123</x:f>
        <x:v>0</x:v>
      </x:c>
      <x:c r="P123" s="62" t="n">
        <x:f>F123-K123-I123-J123-N123-L123</x:f>
        <x:v>0</x:v>
      </x:c>
      <x:c r="Q123" s="62" t="n">
        <x:f>MIN(MAX(0,-(T122+P123)),MAX(0,'17_Gia_dinh_mo_hinh'!$R$5-S122))</x:f>
        <x:v>0</x:v>
      </x:c>
      <x:c r="R123" s="62" t="n">
        <x:f>MIN(MAX(0,T122+P123+Q123),S122+Q123)</x:f>
        <x:v>0</x:v>
      </x:c>
      <x:c r="S123" s="62" t="n">
        <x:f>S122+Q123-R123</x:f>
        <x:v>0</x:v>
      </x:c>
      <x:c r="T123" s="62" t="n">
        <x:f>MAX(0,T122+P123+Q123-R123)</x:f>
        <x:v>1650.6093449052669</x:v>
      </x:c>
      <x:c r="U123" s="62" t="n">
        <x:f>MAX(0,-(T122+P123)-MAX(0,'17_Gia_dinh_mo_hinh'!$R$5-S122))</x:f>
        <x:v>0</x:v>
      </x:c>
      <x:c r="V123" s="61" t="str">
        <x:f>IF(B123&lt;'17_Gia_dinh_mo_hinh'!$F$5+D123,"Trước mở bán",IF(B123&lt;'17_Gia_dinh_mo_hinh'!$H$5+D123,"Bán hàng/thi công",IF(G123&gt;0,"Ghi nhận/bàn giao","Hậu bàn giao")))</x:f>
        <x:v>Hậu bàn giao</x:v>
      </x:c>
    </x:row>
    <x:row r="124">
      <x:c r="A124" s="54" t="str">
        <x:v>DA03</x:v>
      </x:c>
      <x:c r="B124" s="54" t="n">
        <x:v>1</x:v>
      </x:c>
      <x:c r="C124" s="60" t="n">
        <x:f>EDATE('17_Gia_dinh_mo_hinh'!$C$6,B124-1)</x:f>
        <x:v>46235</x:v>
      </x:c>
      <x:c r="D124" s="61" t="n">
        <x:f>ROUNDUP('17_Gia_dinh_mo_hinh'!$E$6/30,0)</x:f>
        <x:v>1</x:v>
      </x:c>
      <x:c r="E124" s="62" t="n">
        <x:f>IF(AND(B124&gt;='17_Gia_dinh_mo_hinh'!$F$6+D124,B124&lt;'17_Gia_dinh_mo_hinh'!$F$6+D124+'17_Gia_dinh_mo_hinh'!$G$6),'17_Gia_dinh_mo_hinh'!$L$6*(1-'17_Gia_dinh_mo_hinh'!$M$6)/'17_Gia_dinh_mo_hinh'!$G$6,0)</x:f>
        <x:v>0</x:v>
      </x:c>
      <x:c r="F124" s="62" t="n">
        <x:f>0.70*E124+0.30*0</x:f>
        <x:v>0</x:v>
      </x:c>
      <x:c r="G124" s="62" t="n">
        <x:f>IF(AND(B124&gt;='17_Gia_dinh_mo_hinh'!$H$6+D124,B124&lt;'17_Gia_dinh_mo_hinh'!$H$6+D124+'17_Gia_dinh_mo_hinh'!$I$6),'17_Gia_dinh_mo_hinh'!$L$6*(1-'17_Gia_dinh_mo_hinh'!$M$6)/'17_Gia_dinh_mo_hinh'!$I$6,0)</x:f>
        <x:v>0</x:v>
      </x:c>
      <x:c r="H124" s="62" t="n">
        <x:f>G124*(1-'17_Gia_dinh_mo_hinh'!$N$6)</x:f>
        <x:v>0</x:v>
      </x:c>
      <x:c r="I124" s="62" t="n">
        <x:f>G124*'17_Gia_dinh_mo_hinh'!$O$6</x:f>
        <x:v>0</x:v>
      </x:c>
      <x:c r="J124" s="62" t="n">
        <x:f>G124*'17_Gia_dinh_mo_hinh'!$P$6</x:f>
        <x:v>0</x:v>
      </x:c>
      <x:c r="K124" s="62" t="n">
        <x:f>IF(B124&lt;='17_Gia_dinh_mo_hinh'!$J$6,'17_Gia_dinh_mo_hinh'!$K$6*(1-MIN(0.95,'17_Gia_dinh_mo_hinh'!$M$6*0.75))/'17_Gia_dinh_mo_hinh'!$J$6,0)</x:f>
        <x:v>258.06666666666666</x:v>
      </x:c>
      <x:c r="L124" s="62" t="n">
        <x:f>'17_Gia_dinh_mo_hinh'!$U$6*'17_Gia_dinh_mo_hinh'!$Q$6/12</x:f>
        <x:v>25.88761875</x:v>
      </x:c>
      <x:c r="M124" s="62" t="n">
        <x:f>G124-H124-I124-J124-L124</x:f>
        <x:v>-25.88761875</x:v>
      </x:c>
      <x:c r="N124" s="62" t="n">
        <x:f>MAX(0,M124*'17_Gia_dinh_mo_hinh'!$S$6)</x:f>
        <x:v>0</x:v>
      </x:c>
      <x:c r="O124" s="62" t="n">
        <x:f>M124-N124</x:f>
        <x:v>-25.88761875</x:v>
      </x:c>
      <x:c r="P124" s="62" t="n">
        <x:f>F124-K124-I124-J124-N124-L124</x:f>
        <x:v>-283.95428541666666</x:v>
      </x:c>
      <x:c r="Q124" s="62" t="n">
        <x:f>MIN(MAX(0,-('17_Gia_dinh_mo_hinh'!$T$6+P124)),MAX(0,'17_Gia_dinh_mo_hinh'!$R$6-'17_Gia_dinh_mo_hinh'!$U$6))</x:f>
        <x:v>103.95428541666666</x:v>
      </x:c>
      <x:c r="R124" s="62" t="n">
        <x:f>MIN(MAX(0,'17_Gia_dinh_mo_hinh'!$T$6+P124+Q124),'17_Gia_dinh_mo_hinh'!$U$6+Q124)</x:f>
        <x:v>0</x:v>
      </x:c>
      <x:c r="S124" s="62" t="n">
        <x:f>'17_Gia_dinh_mo_hinh'!$U$6+Q124-R124</x:f>
        <x:v>3373.9692854166665</x:v>
      </x:c>
      <x:c r="T124" s="62" t="n">
        <x:f>MAX(0,'17_Gia_dinh_mo_hinh'!$T$6+P124+Q124-R124)</x:f>
        <x:v>0</x:v>
      </x:c>
      <x:c r="U124" s="62" t="n">
        <x:f>MAX(0,-('17_Gia_dinh_mo_hinh'!$T$6+P124)-MAX(0,'17_Gia_dinh_mo_hinh'!$R$6-'17_Gia_dinh_mo_hinh'!$U$6))</x:f>
        <x:v>0</x:v>
      </x:c>
      <x:c r="V124" s="61" t="str">
        <x:f>IF(B124&lt;'17_Gia_dinh_mo_hinh'!$F$6+D124,"Trước mở bán",IF(B124&lt;'17_Gia_dinh_mo_hinh'!$H$6+D124,"Bán hàng/thi công",IF(G124&gt;0,"Ghi nhận/bàn giao","Hậu bàn giao")))</x:f>
        <x:v>Trước mở bán</x:v>
      </x:c>
    </x:row>
    <x:row r="125">
      <x:c r="A125" s="54" t="str">
        <x:v>DA03</x:v>
      </x:c>
      <x:c r="B125" s="54" t="n">
        <x:v>2</x:v>
      </x:c>
      <x:c r="C125" s="60" t="n">
        <x:f>EDATE('17_Gia_dinh_mo_hinh'!$C$6,B125-1)</x:f>
        <x:v>46266</x:v>
      </x:c>
      <x:c r="D125" s="61" t="n">
        <x:f>ROUNDUP('17_Gia_dinh_mo_hinh'!$E$6/30,0)</x:f>
        <x:v>1</x:v>
      </x:c>
      <x:c r="E125" s="62" t="n">
        <x:f>IF(AND(B125&gt;='17_Gia_dinh_mo_hinh'!$F$6+D125,B125&lt;'17_Gia_dinh_mo_hinh'!$F$6+D125+'17_Gia_dinh_mo_hinh'!$G$6),'17_Gia_dinh_mo_hinh'!$L$6*(1-'17_Gia_dinh_mo_hinh'!$M$6)/'17_Gia_dinh_mo_hinh'!$G$6,0)</x:f>
        <x:v>0</x:v>
      </x:c>
      <x:c r="F125" s="62" t="n">
        <x:f>0.70*E125+0.30*E124</x:f>
        <x:v>0</x:v>
      </x:c>
      <x:c r="G125" s="62" t="n">
        <x:f>IF(AND(B125&gt;='17_Gia_dinh_mo_hinh'!$H$6+D125,B125&lt;'17_Gia_dinh_mo_hinh'!$H$6+D125+'17_Gia_dinh_mo_hinh'!$I$6),'17_Gia_dinh_mo_hinh'!$L$6*(1-'17_Gia_dinh_mo_hinh'!$M$6)/'17_Gia_dinh_mo_hinh'!$I$6,0)</x:f>
        <x:v>0</x:v>
      </x:c>
      <x:c r="H125" s="62" t="n">
        <x:f>G125*(1-'17_Gia_dinh_mo_hinh'!$N$6)</x:f>
        <x:v>0</x:v>
      </x:c>
      <x:c r="I125" s="62" t="n">
        <x:f>G125*'17_Gia_dinh_mo_hinh'!$O$6</x:f>
        <x:v>0</x:v>
      </x:c>
      <x:c r="J125" s="62" t="n">
        <x:f>G125*'17_Gia_dinh_mo_hinh'!$P$6</x:f>
        <x:v>0</x:v>
      </x:c>
      <x:c r="K125" s="62" t="n">
        <x:f>IF(B125&lt;='17_Gia_dinh_mo_hinh'!$J$6,'17_Gia_dinh_mo_hinh'!$K$6*(1-MIN(0.95,'17_Gia_dinh_mo_hinh'!$M$6*0.75))/'17_Gia_dinh_mo_hinh'!$J$6,0)</x:f>
        <x:v>258.06666666666666</x:v>
      </x:c>
      <x:c r="L125" s="62" t="n">
        <x:f>S124*'17_Gia_dinh_mo_hinh'!$Q$6/12</x:f>
        <x:v>26.710590176215277</x:v>
      </x:c>
      <x:c r="M125" s="62" t="n">
        <x:f>G125-H125-I125-J125-L125</x:f>
        <x:v>-26.710590176215277</x:v>
      </x:c>
      <x:c r="N125" s="62" t="n">
        <x:f>MAX(0,M125*'17_Gia_dinh_mo_hinh'!$S$6)</x:f>
        <x:v>0</x:v>
      </x:c>
      <x:c r="O125" s="62" t="n">
        <x:f>M125-N125</x:f>
        <x:v>-26.710590176215277</x:v>
      </x:c>
      <x:c r="P125" s="62" t="n">
        <x:f>F125-K125-I125-J125-N125-L125</x:f>
        <x:v>-284.7772568428819</x:v>
      </x:c>
      <x:c r="Q125" s="62" t="n">
        <x:f>MIN(MAX(0,-(T124+P125)),MAX(0,'17_Gia_dinh_mo_hinh'!$R$6-S124))</x:f>
        <x:v>284.7772568428819</x:v>
      </x:c>
      <x:c r="R125" s="62" t="n">
        <x:f>MIN(MAX(0,T124+P125+Q125),S124+Q125)</x:f>
        <x:v>0</x:v>
      </x:c>
      <x:c r="S125" s="62" t="n">
        <x:f>S124+Q125-R125</x:f>
        <x:v>3658.7465422595483</x:v>
      </x:c>
      <x:c r="T125" s="62" t="n">
        <x:f>MAX(0,T124+P125+Q125-R125)</x:f>
        <x:v>0</x:v>
      </x:c>
      <x:c r="U125" s="62" t="n">
        <x:f>MAX(0,-(T124+P125)-MAX(0,'17_Gia_dinh_mo_hinh'!$R$6-S124))</x:f>
        <x:v>0</x:v>
      </x:c>
      <x:c r="V125" s="61" t="str">
        <x:f>IF(B125&lt;'17_Gia_dinh_mo_hinh'!$F$6+D125,"Trước mở bán",IF(B125&lt;'17_Gia_dinh_mo_hinh'!$H$6+D125,"Bán hàng/thi công",IF(G125&gt;0,"Ghi nhận/bàn giao","Hậu bàn giao")))</x:f>
        <x:v>Trước mở bán</x:v>
      </x:c>
    </x:row>
    <x:row r="126">
      <x:c r="A126" s="54" t="str">
        <x:v>DA03</x:v>
      </x:c>
      <x:c r="B126" s="54" t="n">
        <x:v>3</x:v>
      </x:c>
      <x:c r="C126" s="60" t="n">
        <x:f>EDATE('17_Gia_dinh_mo_hinh'!$C$6,B126-1)</x:f>
        <x:v>46296</x:v>
      </x:c>
      <x:c r="D126" s="61" t="n">
        <x:f>ROUNDUP('17_Gia_dinh_mo_hinh'!$E$6/30,0)</x:f>
        <x:v>1</x:v>
      </x:c>
      <x:c r="E126" s="62" t="n">
        <x:f>IF(AND(B126&gt;='17_Gia_dinh_mo_hinh'!$F$6+D126,B126&lt;'17_Gia_dinh_mo_hinh'!$F$6+D126+'17_Gia_dinh_mo_hinh'!$G$6),'17_Gia_dinh_mo_hinh'!$L$6*(1-'17_Gia_dinh_mo_hinh'!$M$6)/'17_Gia_dinh_mo_hinh'!$G$6,0)</x:f>
        <x:v>0</x:v>
      </x:c>
      <x:c r="F126" s="62" t="n">
        <x:f>0.70*E126+0.30*E125</x:f>
        <x:v>0</x:v>
      </x:c>
      <x:c r="G126" s="62" t="n">
        <x:f>IF(AND(B126&gt;='17_Gia_dinh_mo_hinh'!$H$6+D126,B126&lt;'17_Gia_dinh_mo_hinh'!$H$6+D126+'17_Gia_dinh_mo_hinh'!$I$6),'17_Gia_dinh_mo_hinh'!$L$6*(1-'17_Gia_dinh_mo_hinh'!$M$6)/'17_Gia_dinh_mo_hinh'!$I$6,0)</x:f>
        <x:v>0</x:v>
      </x:c>
      <x:c r="H126" s="62" t="n">
        <x:f>G126*(1-'17_Gia_dinh_mo_hinh'!$N$6)</x:f>
        <x:v>0</x:v>
      </x:c>
      <x:c r="I126" s="62" t="n">
        <x:f>G126*'17_Gia_dinh_mo_hinh'!$O$6</x:f>
        <x:v>0</x:v>
      </x:c>
      <x:c r="J126" s="62" t="n">
        <x:f>G126*'17_Gia_dinh_mo_hinh'!$P$6</x:f>
        <x:v>0</x:v>
      </x:c>
      <x:c r="K126" s="62" t="n">
        <x:f>IF(B126&lt;='17_Gia_dinh_mo_hinh'!$J$6,'17_Gia_dinh_mo_hinh'!$K$6*(1-MIN(0.95,'17_Gia_dinh_mo_hinh'!$M$6*0.75))/'17_Gia_dinh_mo_hinh'!$J$6,0)</x:f>
        <x:v>258.06666666666666</x:v>
      </x:c>
      <x:c r="L126" s="62" t="n">
        <x:f>S125*'17_Gia_dinh_mo_hinh'!$Q$6/12</x:f>
        <x:v>28.965076792888087</x:v>
      </x:c>
      <x:c r="M126" s="62" t="n">
        <x:f>G126-H126-I126-J126-L126</x:f>
        <x:v>-28.965076792888087</x:v>
      </x:c>
      <x:c r="N126" s="62" t="n">
        <x:f>MAX(0,M126*'17_Gia_dinh_mo_hinh'!$S$6)</x:f>
        <x:v>0</x:v>
      </x:c>
      <x:c r="O126" s="62" t="n">
        <x:f>M126-N126</x:f>
        <x:v>-28.965076792888087</x:v>
      </x:c>
      <x:c r="P126" s="62" t="n">
        <x:f>F126-K126-I126-J126-N126-L126</x:f>
        <x:v>-287.0317434595548</x:v>
      </x:c>
      <x:c r="Q126" s="62" t="n">
        <x:f>MIN(MAX(0,-(T125+P126)),MAX(0,'17_Gia_dinh_mo_hinh'!$R$6-S125))</x:f>
        <x:v>287.0317434595548</x:v>
      </x:c>
      <x:c r="R126" s="62" t="n">
        <x:f>MIN(MAX(0,T125+P126+Q126),S125+Q126)</x:f>
        <x:v>0</x:v>
      </x:c>
      <x:c r="S126" s="62" t="n">
        <x:f>S125+Q126-R126</x:f>
        <x:v>3945.778285719103</x:v>
      </x:c>
      <x:c r="T126" s="62" t="n">
        <x:f>MAX(0,T125+P126+Q126-R126)</x:f>
        <x:v>0</x:v>
      </x:c>
      <x:c r="U126" s="62" t="n">
        <x:f>MAX(0,-(T125+P126)-MAX(0,'17_Gia_dinh_mo_hinh'!$R$6-S125))</x:f>
        <x:v>0</x:v>
      </x:c>
      <x:c r="V126" s="61" t="str">
        <x:f>IF(B126&lt;'17_Gia_dinh_mo_hinh'!$F$6+D126,"Trước mở bán",IF(B126&lt;'17_Gia_dinh_mo_hinh'!$H$6+D126,"Bán hàng/thi công",IF(G126&gt;0,"Ghi nhận/bàn giao","Hậu bàn giao")))</x:f>
        <x:v>Trước mở bán</x:v>
      </x:c>
    </x:row>
    <x:row r="127">
      <x:c r="A127" s="54" t="str">
        <x:v>DA03</x:v>
      </x:c>
      <x:c r="B127" s="54" t="n">
        <x:v>4</x:v>
      </x:c>
      <x:c r="C127" s="60" t="n">
        <x:f>EDATE('17_Gia_dinh_mo_hinh'!$C$6,B127-1)</x:f>
        <x:v>46327</x:v>
      </x:c>
      <x:c r="D127" s="61" t="n">
        <x:f>ROUNDUP('17_Gia_dinh_mo_hinh'!$E$6/30,0)</x:f>
        <x:v>1</x:v>
      </x:c>
      <x:c r="E127" s="62" t="n">
        <x:f>IF(AND(B127&gt;='17_Gia_dinh_mo_hinh'!$F$6+D127,B127&lt;'17_Gia_dinh_mo_hinh'!$F$6+D127+'17_Gia_dinh_mo_hinh'!$G$6),'17_Gia_dinh_mo_hinh'!$L$6*(1-'17_Gia_dinh_mo_hinh'!$M$6)/'17_Gia_dinh_mo_hinh'!$G$6,0)</x:f>
        <x:v>355.2</x:v>
      </x:c>
      <x:c r="F127" s="62" t="n">
        <x:f>0.70*E127+0.30*E126</x:f>
        <x:v>248.64</x:v>
      </x:c>
      <x:c r="G127" s="62" t="n">
        <x:f>IF(AND(B127&gt;='17_Gia_dinh_mo_hinh'!$H$6+D127,B127&lt;'17_Gia_dinh_mo_hinh'!$H$6+D127+'17_Gia_dinh_mo_hinh'!$I$6),'17_Gia_dinh_mo_hinh'!$L$6*(1-'17_Gia_dinh_mo_hinh'!$M$6)/'17_Gia_dinh_mo_hinh'!$I$6,0)</x:f>
        <x:v>0</x:v>
      </x:c>
      <x:c r="H127" s="62" t="n">
        <x:f>G127*(1-'17_Gia_dinh_mo_hinh'!$N$6)</x:f>
        <x:v>0</x:v>
      </x:c>
      <x:c r="I127" s="62" t="n">
        <x:f>G127*'17_Gia_dinh_mo_hinh'!$O$6</x:f>
        <x:v>0</x:v>
      </x:c>
      <x:c r="J127" s="62" t="n">
        <x:f>G127*'17_Gia_dinh_mo_hinh'!$P$6</x:f>
        <x:v>0</x:v>
      </x:c>
      <x:c r="K127" s="62" t="n">
        <x:f>IF(B127&lt;='17_Gia_dinh_mo_hinh'!$J$6,'17_Gia_dinh_mo_hinh'!$K$6*(1-MIN(0.95,'17_Gia_dinh_mo_hinh'!$M$6*0.75))/'17_Gia_dinh_mo_hinh'!$J$6,0)</x:f>
        <x:v>258.06666666666666</x:v>
      </x:c>
      <x:c r="L127" s="62" t="n">
        <x:f>S126*'17_Gia_dinh_mo_hinh'!$Q$6/12</x:f>
        <x:v>31.237411428609565</x:v>
      </x:c>
      <x:c r="M127" s="62" t="n">
        <x:f>G127-H127-I127-J127-L127</x:f>
        <x:v>-31.237411428609565</x:v>
      </x:c>
      <x:c r="N127" s="62" t="n">
        <x:f>MAX(0,M127*'17_Gia_dinh_mo_hinh'!$S$6)</x:f>
        <x:v>0</x:v>
      </x:c>
      <x:c r="O127" s="62" t="n">
        <x:f>M127-N127</x:f>
        <x:v>-31.237411428609565</x:v>
      </x:c>
      <x:c r="P127" s="62" t="n">
        <x:f>F127-K127-I127-J127-N127-L127</x:f>
        <x:v>-40.66407809527624</x:v>
      </x:c>
      <x:c r="Q127" s="62" t="n">
        <x:f>MIN(MAX(0,-(T126+P127)),MAX(0,'17_Gia_dinh_mo_hinh'!$R$6-S126))</x:f>
        <x:v>40.66407809527624</x:v>
      </x:c>
      <x:c r="R127" s="62" t="n">
        <x:f>MIN(MAX(0,T126+P127+Q127),S126+Q127)</x:f>
        <x:v>0</x:v>
      </x:c>
      <x:c r="S127" s="62" t="n">
        <x:f>S126+Q127-R127</x:f>
        <x:v>3986.4423638143794</x:v>
      </x:c>
      <x:c r="T127" s="62" t="n">
        <x:f>MAX(0,T126+P127+Q127-R127)</x:f>
        <x:v>0</x:v>
      </x:c>
      <x:c r="U127" s="62" t="n">
        <x:f>MAX(0,-(T126+P127)-MAX(0,'17_Gia_dinh_mo_hinh'!$R$6-S126))</x:f>
        <x:v>0</x:v>
      </x:c>
      <x:c r="V127" s="61" t="str">
        <x:f>IF(B127&lt;'17_Gia_dinh_mo_hinh'!$F$6+D127,"Trước mở bán",IF(B127&lt;'17_Gia_dinh_mo_hinh'!$H$6+D127,"Bán hàng/thi công",IF(G127&gt;0,"Ghi nhận/bàn giao","Hậu bàn giao")))</x:f>
        <x:v>Bán hàng/thi công</x:v>
      </x:c>
    </x:row>
    <x:row r="128">
      <x:c r="A128" s="54" t="str">
        <x:v>DA03</x:v>
      </x:c>
      <x:c r="B128" s="54" t="n">
        <x:v>5</x:v>
      </x:c>
      <x:c r="C128" s="60" t="n">
        <x:f>EDATE('17_Gia_dinh_mo_hinh'!$C$6,B128-1)</x:f>
        <x:v>46357</x:v>
      </x:c>
      <x:c r="D128" s="61" t="n">
        <x:f>ROUNDUP('17_Gia_dinh_mo_hinh'!$E$6/30,0)</x:f>
        <x:v>1</x:v>
      </x:c>
      <x:c r="E128" s="62" t="n">
        <x:f>IF(AND(B128&gt;='17_Gia_dinh_mo_hinh'!$F$6+D128,B128&lt;'17_Gia_dinh_mo_hinh'!$F$6+D128+'17_Gia_dinh_mo_hinh'!$G$6),'17_Gia_dinh_mo_hinh'!$L$6*(1-'17_Gia_dinh_mo_hinh'!$M$6)/'17_Gia_dinh_mo_hinh'!$G$6,0)</x:f>
        <x:v>355.2</x:v>
      </x:c>
      <x:c r="F128" s="62" t="n">
        <x:f>0.70*E128+0.30*E127</x:f>
        <x:v>355.2</x:v>
      </x:c>
      <x:c r="G128" s="62" t="n">
        <x:f>IF(AND(B128&gt;='17_Gia_dinh_mo_hinh'!$H$6+D128,B128&lt;'17_Gia_dinh_mo_hinh'!$H$6+D128+'17_Gia_dinh_mo_hinh'!$I$6),'17_Gia_dinh_mo_hinh'!$L$6*(1-'17_Gia_dinh_mo_hinh'!$M$6)/'17_Gia_dinh_mo_hinh'!$I$6,0)</x:f>
        <x:v>0</x:v>
      </x:c>
      <x:c r="H128" s="62" t="n">
        <x:f>G128*(1-'17_Gia_dinh_mo_hinh'!$N$6)</x:f>
        <x:v>0</x:v>
      </x:c>
      <x:c r="I128" s="62" t="n">
        <x:f>G128*'17_Gia_dinh_mo_hinh'!$O$6</x:f>
        <x:v>0</x:v>
      </x:c>
      <x:c r="J128" s="62" t="n">
        <x:f>G128*'17_Gia_dinh_mo_hinh'!$P$6</x:f>
        <x:v>0</x:v>
      </x:c>
      <x:c r="K128" s="62" t="n">
        <x:f>IF(B128&lt;='17_Gia_dinh_mo_hinh'!$J$6,'17_Gia_dinh_mo_hinh'!$K$6*(1-MIN(0.95,'17_Gia_dinh_mo_hinh'!$M$6*0.75))/'17_Gia_dinh_mo_hinh'!$J$6,0)</x:f>
        <x:v>258.06666666666666</x:v>
      </x:c>
      <x:c r="L128" s="62" t="n">
        <x:f>S127*'17_Gia_dinh_mo_hinh'!$Q$6/12</x:f>
        <x:v>31.55933538019717</x:v>
      </x:c>
      <x:c r="M128" s="62" t="n">
        <x:f>G128-H128-I128-J128-L128</x:f>
        <x:v>-31.55933538019717</x:v>
      </x:c>
      <x:c r="N128" s="62" t="n">
        <x:f>MAX(0,M128*'17_Gia_dinh_mo_hinh'!$S$6)</x:f>
        <x:v>0</x:v>
      </x:c>
      <x:c r="O128" s="62" t="n">
        <x:f>M128-N128</x:f>
        <x:v>-31.55933538019717</x:v>
      </x:c>
      <x:c r="P128" s="62" t="n">
        <x:f>F128-K128-I128-J128-N128-L128</x:f>
        <x:v>65.57399795313616</x:v>
      </x:c>
      <x:c r="Q128" s="62" t="n">
        <x:f>MIN(MAX(0,-(T127+P128)),MAX(0,'17_Gia_dinh_mo_hinh'!$R$6-S127))</x:f>
        <x:v>0</x:v>
      </x:c>
      <x:c r="R128" s="62" t="n">
        <x:f>MIN(MAX(0,T127+P128+Q128),S127+Q128)</x:f>
        <x:v>65.57399795313616</x:v>
      </x:c>
      <x:c r="S128" s="62" t="n">
        <x:f>S127+Q128-R128</x:f>
        <x:v>3920.868365861243</x:v>
      </x:c>
      <x:c r="T128" s="62" t="n">
        <x:f>MAX(0,T127+P128+Q128-R128)</x:f>
        <x:v>0</x:v>
      </x:c>
      <x:c r="U128" s="62" t="n">
        <x:f>MAX(0,-(T127+P128)-MAX(0,'17_Gia_dinh_mo_hinh'!$R$6-S127))</x:f>
        <x:v>0</x:v>
      </x:c>
      <x:c r="V128" s="61" t="str">
        <x:f>IF(B128&lt;'17_Gia_dinh_mo_hinh'!$F$6+D128,"Trước mở bán",IF(B128&lt;'17_Gia_dinh_mo_hinh'!$H$6+D128,"Bán hàng/thi công",IF(G128&gt;0,"Ghi nhận/bàn giao","Hậu bàn giao")))</x:f>
        <x:v>Bán hàng/thi công</x:v>
      </x:c>
    </x:row>
    <x:row r="129">
      <x:c r="A129" s="54" t="str">
        <x:v>DA03</x:v>
      </x:c>
      <x:c r="B129" s="54" t="n">
        <x:v>6</x:v>
      </x:c>
      <x:c r="C129" s="60" t="n">
        <x:f>EDATE('17_Gia_dinh_mo_hinh'!$C$6,B129-1)</x:f>
        <x:v>46388</x:v>
      </x:c>
      <x:c r="D129" s="61" t="n">
        <x:f>ROUNDUP('17_Gia_dinh_mo_hinh'!$E$6/30,0)</x:f>
        <x:v>1</x:v>
      </x:c>
      <x:c r="E129" s="62" t="n">
        <x:f>IF(AND(B129&gt;='17_Gia_dinh_mo_hinh'!$F$6+D129,B129&lt;'17_Gia_dinh_mo_hinh'!$F$6+D129+'17_Gia_dinh_mo_hinh'!$G$6),'17_Gia_dinh_mo_hinh'!$L$6*(1-'17_Gia_dinh_mo_hinh'!$M$6)/'17_Gia_dinh_mo_hinh'!$G$6,0)</x:f>
        <x:v>355.2</x:v>
      </x:c>
      <x:c r="F129" s="62" t="n">
        <x:f>0.70*E129+0.30*E128</x:f>
        <x:v>355.2</x:v>
      </x:c>
      <x:c r="G129" s="62" t="n">
        <x:f>IF(AND(B129&gt;='17_Gia_dinh_mo_hinh'!$H$6+D129,B129&lt;'17_Gia_dinh_mo_hinh'!$H$6+D129+'17_Gia_dinh_mo_hinh'!$I$6),'17_Gia_dinh_mo_hinh'!$L$6*(1-'17_Gia_dinh_mo_hinh'!$M$6)/'17_Gia_dinh_mo_hinh'!$I$6,0)</x:f>
        <x:v>0</x:v>
      </x:c>
      <x:c r="H129" s="62" t="n">
        <x:f>G129*(1-'17_Gia_dinh_mo_hinh'!$N$6)</x:f>
        <x:v>0</x:v>
      </x:c>
      <x:c r="I129" s="62" t="n">
        <x:f>G129*'17_Gia_dinh_mo_hinh'!$O$6</x:f>
        <x:v>0</x:v>
      </x:c>
      <x:c r="J129" s="62" t="n">
        <x:f>G129*'17_Gia_dinh_mo_hinh'!$P$6</x:f>
        <x:v>0</x:v>
      </x:c>
      <x:c r="K129" s="62" t="n">
        <x:f>IF(B129&lt;='17_Gia_dinh_mo_hinh'!$J$6,'17_Gia_dinh_mo_hinh'!$K$6*(1-MIN(0.95,'17_Gia_dinh_mo_hinh'!$M$6*0.75))/'17_Gia_dinh_mo_hinh'!$J$6,0)</x:f>
        <x:v>258.06666666666666</x:v>
      </x:c>
      <x:c r="L129" s="62" t="n">
        <x:f>S128*'17_Gia_dinh_mo_hinh'!$Q$6/12</x:f>
        <x:v>31.04020789640151</x:v>
      </x:c>
      <x:c r="M129" s="62" t="n">
        <x:f>G129-H129-I129-J129-L129</x:f>
        <x:v>-31.04020789640151</x:v>
      </x:c>
      <x:c r="N129" s="62" t="n">
        <x:f>MAX(0,M129*'17_Gia_dinh_mo_hinh'!$S$6)</x:f>
        <x:v>0</x:v>
      </x:c>
      <x:c r="O129" s="62" t="n">
        <x:f>M129-N129</x:f>
        <x:v>-31.04020789640151</x:v>
      </x:c>
      <x:c r="P129" s="62" t="n">
        <x:f>F129-K129-I129-J129-N129-L129</x:f>
        <x:v>66.09312543693181</x:v>
      </x:c>
      <x:c r="Q129" s="62" t="n">
        <x:f>MIN(MAX(0,-(T128+P129)),MAX(0,'17_Gia_dinh_mo_hinh'!$R$6-S128))</x:f>
        <x:v>0</x:v>
      </x:c>
      <x:c r="R129" s="62" t="n">
        <x:f>MIN(MAX(0,T128+P129+Q129),S128+Q129)</x:f>
        <x:v>66.09312543693181</x:v>
      </x:c>
      <x:c r="S129" s="62" t="n">
        <x:f>S128+Q129-R129</x:f>
        <x:v>3854.775240424311</x:v>
      </x:c>
      <x:c r="T129" s="62" t="n">
        <x:f>MAX(0,T128+P129+Q129-R129)</x:f>
        <x:v>0</x:v>
      </x:c>
      <x:c r="U129" s="62" t="n">
        <x:f>MAX(0,-(T128+P129)-MAX(0,'17_Gia_dinh_mo_hinh'!$R$6-S128))</x:f>
        <x:v>0</x:v>
      </x:c>
      <x:c r="V129" s="61" t="str">
        <x:f>IF(B129&lt;'17_Gia_dinh_mo_hinh'!$F$6+D129,"Trước mở bán",IF(B129&lt;'17_Gia_dinh_mo_hinh'!$H$6+D129,"Bán hàng/thi công",IF(G129&gt;0,"Ghi nhận/bàn giao","Hậu bàn giao")))</x:f>
        <x:v>Bán hàng/thi công</x:v>
      </x:c>
    </x:row>
    <x:row r="130">
      <x:c r="A130" s="54" t="str">
        <x:v>DA03</x:v>
      </x:c>
      <x:c r="B130" s="54" t="n">
        <x:v>7</x:v>
      </x:c>
      <x:c r="C130" s="60" t="n">
        <x:f>EDATE('17_Gia_dinh_mo_hinh'!$C$6,B130-1)</x:f>
        <x:v>46419</x:v>
      </x:c>
      <x:c r="D130" s="61" t="n">
        <x:f>ROUNDUP('17_Gia_dinh_mo_hinh'!$E$6/30,0)</x:f>
        <x:v>1</x:v>
      </x:c>
      <x:c r="E130" s="62" t="n">
        <x:f>IF(AND(B130&gt;='17_Gia_dinh_mo_hinh'!$F$6+D130,B130&lt;'17_Gia_dinh_mo_hinh'!$F$6+D130+'17_Gia_dinh_mo_hinh'!$G$6),'17_Gia_dinh_mo_hinh'!$L$6*(1-'17_Gia_dinh_mo_hinh'!$M$6)/'17_Gia_dinh_mo_hinh'!$G$6,0)</x:f>
        <x:v>355.2</x:v>
      </x:c>
      <x:c r="F130" s="62" t="n">
        <x:f>0.70*E130+0.30*E129</x:f>
        <x:v>355.2</x:v>
      </x:c>
      <x:c r="G130" s="62" t="n">
        <x:f>IF(AND(B130&gt;='17_Gia_dinh_mo_hinh'!$H$6+D130,B130&lt;'17_Gia_dinh_mo_hinh'!$H$6+D130+'17_Gia_dinh_mo_hinh'!$I$6),'17_Gia_dinh_mo_hinh'!$L$6*(1-'17_Gia_dinh_mo_hinh'!$M$6)/'17_Gia_dinh_mo_hinh'!$I$6,0)</x:f>
        <x:v>0</x:v>
      </x:c>
      <x:c r="H130" s="62" t="n">
        <x:f>G130*(1-'17_Gia_dinh_mo_hinh'!$N$6)</x:f>
        <x:v>0</x:v>
      </x:c>
      <x:c r="I130" s="62" t="n">
        <x:f>G130*'17_Gia_dinh_mo_hinh'!$O$6</x:f>
        <x:v>0</x:v>
      </x:c>
      <x:c r="J130" s="62" t="n">
        <x:f>G130*'17_Gia_dinh_mo_hinh'!$P$6</x:f>
        <x:v>0</x:v>
      </x:c>
      <x:c r="K130" s="62" t="n">
        <x:f>IF(B130&lt;='17_Gia_dinh_mo_hinh'!$J$6,'17_Gia_dinh_mo_hinh'!$K$6*(1-MIN(0.95,'17_Gia_dinh_mo_hinh'!$M$6*0.75))/'17_Gia_dinh_mo_hinh'!$J$6,0)</x:f>
        <x:v>258.06666666666666</x:v>
      </x:c>
      <x:c r="L130" s="62" t="n">
        <x:f>S129*'17_Gia_dinh_mo_hinh'!$Q$6/12</x:f>
        <x:v>30.516970653359127</x:v>
      </x:c>
      <x:c r="M130" s="62" t="n">
        <x:f>G130-H130-I130-J130-L130</x:f>
        <x:v>-30.516970653359127</x:v>
      </x:c>
      <x:c r="N130" s="62" t="n">
        <x:f>MAX(0,M130*'17_Gia_dinh_mo_hinh'!$S$6)</x:f>
        <x:v>0</x:v>
      </x:c>
      <x:c r="O130" s="62" t="n">
        <x:f>M130-N130</x:f>
        <x:v>-30.516970653359127</x:v>
      </x:c>
      <x:c r="P130" s="62" t="n">
        <x:f>F130-K130-I130-J130-N130-L130</x:f>
        <x:v>66.6163626799742</x:v>
      </x:c>
      <x:c r="Q130" s="62" t="n">
        <x:f>MIN(MAX(0,-(T129+P130)),MAX(0,'17_Gia_dinh_mo_hinh'!$R$6-S129))</x:f>
        <x:v>0</x:v>
      </x:c>
      <x:c r="R130" s="62" t="n">
        <x:f>MIN(MAX(0,T129+P130+Q130),S129+Q130)</x:f>
        <x:v>66.6163626799742</x:v>
      </x:c>
      <x:c r="S130" s="62" t="n">
        <x:f>S129+Q130-R130</x:f>
        <x:v>3788.1588777443367</x:v>
      </x:c>
      <x:c r="T130" s="62" t="n">
        <x:f>MAX(0,T129+P130+Q130-R130)</x:f>
        <x:v>0</x:v>
      </x:c>
      <x:c r="U130" s="62" t="n">
        <x:f>MAX(0,-(T129+P130)-MAX(0,'17_Gia_dinh_mo_hinh'!$R$6-S129))</x:f>
        <x:v>0</x:v>
      </x:c>
      <x:c r="V130" s="61" t="str">
        <x:f>IF(B130&lt;'17_Gia_dinh_mo_hinh'!$F$6+D130,"Trước mở bán",IF(B130&lt;'17_Gia_dinh_mo_hinh'!$H$6+D130,"Bán hàng/thi công",IF(G130&gt;0,"Ghi nhận/bàn giao","Hậu bàn giao")))</x:f>
        <x:v>Bán hàng/thi công</x:v>
      </x:c>
    </x:row>
    <x:row r="131">
      <x:c r="A131" s="54" t="str">
        <x:v>DA03</x:v>
      </x:c>
      <x:c r="B131" s="54" t="n">
        <x:v>8</x:v>
      </x:c>
      <x:c r="C131" s="60" t="n">
        <x:f>EDATE('17_Gia_dinh_mo_hinh'!$C$6,B131-1)</x:f>
        <x:v>46447</x:v>
      </x:c>
      <x:c r="D131" s="61" t="n">
        <x:f>ROUNDUP('17_Gia_dinh_mo_hinh'!$E$6/30,0)</x:f>
        <x:v>1</x:v>
      </x:c>
      <x:c r="E131" s="62" t="n">
        <x:f>IF(AND(B131&gt;='17_Gia_dinh_mo_hinh'!$F$6+D131,B131&lt;'17_Gia_dinh_mo_hinh'!$F$6+D131+'17_Gia_dinh_mo_hinh'!$G$6),'17_Gia_dinh_mo_hinh'!$L$6*(1-'17_Gia_dinh_mo_hinh'!$M$6)/'17_Gia_dinh_mo_hinh'!$G$6,0)</x:f>
        <x:v>355.2</x:v>
      </x:c>
      <x:c r="F131" s="62" t="n">
        <x:f>0.70*E131+0.30*E130</x:f>
        <x:v>355.2</x:v>
      </x:c>
      <x:c r="G131" s="62" t="n">
        <x:f>IF(AND(B131&gt;='17_Gia_dinh_mo_hinh'!$H$6+D131,B131&lt;'17_Gia_dinh_mo_hinh'!$H$6+D131+'17_Gia_dinh_mo_hinh'!$I$6),'17_Gia_dinh_mo_hinh'!$L$6*(1-'17_Gia_dinh_mo_hinh'!$M$6)/'17_Gia_dinh_mo_hinh'!$I$6,0)</x:f>
        <x:v>0</x:v>
      </x:c>
      <x:c r="H131" s="62" t="n">
        <x:f>G131*(1-'17_Gia_dinh_mo_hinh'!$N$6)</x:f>
        <x:v>0</x:v>
      </x:c>
      <x:c r="I131" s="62" t="n">
        <x:f>G131*'17_Gia_dinh_mo_hinh'!$O$6</x:f>
        <x:v>0</x:v>
      </x:c>
      <x:c r="J131" s="62" t="n">
        <x:f>G131*'17_Gia_dinh_mo_hinh'!$P$6</x:f>
        <x:v>0</x:v>
      </x:c>
      <x:c r="K131" s="62" t="n">
        <x:f>IF(B131&lt;='17_Gia_dinh_mo_hinh'!$J$6,'17_Gia_dinh_mo_hinh'!$K$6*(1-MIN(0.95,'17_Gia_dinh_mo_hinh'!$M$6*0.75))/'17_Gia_dinh_mo_hinh'!$J$6,0)</x:f>
        <x:v>258.06666666666666</x:v>
      </x:c>
      <x:c r="L131" s="62" t="n">
        <x:f>S130*'17_Gia_dinh_mo_hinh'!$Q$6/12</x:f>
        <x:v>29.989591115476</x:v>
      </x:c>
      <x:c r="M131" s="62" t="n">
        <x:f>G131-H131-I131-J131-L131</x:f>
        <x:v>-29.989591115476</x:v>
      </x:c>
      <x:c r="N131" s="62" t="n">
        <x:f>MAX(0,M131*'17_Gia_dinh_mo_hinh'!$S$6)</x:f>
        <x:v>0</x:v>
      </x:c>
      <x:c r="O131" s="62" t="n">
        <x:f>M131-N131</x:f>
        <x:v>-29.989591115476</x:v>
      </x:c>
      <x:c r="P131" s="62" t="n">
        <x:f>F131-K131-I131-J131-N131-L131</x:f>
        <x:v>67.14374221785732</x:v>
      </x:c>
      <x:c r="Q131" s="62" t="n">
        <x:f>MIN(MAX(0,-(T130+P131)),MAX(0,'17_Gia_dinh_mo_hinh'!$R$6-S130))</x:f>
        <x:v>0</x:v>
      </x:c>
      <x:c r="R131" s="62" t="n">
        <x:f>MIN(MAX(0,T130+P131+Q131),S130+Q131)</x:f>
        <x:v>67.14374221785732</x:v>
      </x:c>
      <x:c r="S131" s="62" t="n">
        <x:f>S130+Q131-R131</x:f>
        <x:v>3721.0151355264793</x:v>
      </x:c>
      <x:c r="T131" s="62" t="n">
        <x:f>MAX(0,T130+P131+Q131-R131)</x:f>
        <x:v>0</x:v>
      </x:c>
      <x:c r="U131" s="62" t="n">
        <x:f>MAX(0,-(T130+P131)-MAX(0,'17_Gia_dinh_mo_hinh'!$R$6-S130))</x:f>
        <x:v>0</x:v>
      </x:c>
      <x:c r="V131" s="61" t="str">
        <x:f>IF(B131&lt;'17_Gia_dinh_mo_hinh'!$F$6+D131,"Trước mở bán",IF(B131&lt;'17_Gia_dinh_mo_hinh'!$H$6+D131,"Bán hàng/thi công",IF(G131&gt;0,"Ghi nhận/bàn giao","Hậu bàn giao")))</x:f>
        <x:v>Bán hàng/thi công</x:v>
      </x:c>
    </x:row>
    <x:row r="132">
      <x:c r="A132" s="54" t="str">
        <x:v>DA03</x:v>
      </x:c>
      <x:c r="B132" s="54" t="n">
        <x:v>9</x:v>
      </x:c>
      <x:c r="C132" s="60" t="n">
        <x:f>EDATE('17_Gia_dinh_mo_hinh'!$C$6,B132-1)</x:f>
        <x:v>46478</x:v>
      </x:c>
      <x:c r="D132" s="61" t="n">
        <x:f>ROUNDUP('17_Gia_dinh_mo_hinh'!$E$6/30,0)</x:f>
        <x:v>1</x:v>
      </x:c>
      <x:c r="E132" s="62" t="n">
        <x:f>IF(AND(B132&gt;='17_Gia_dinh_mo_hinh'!$F$6+D132,B132&lt;'17_Gia_dinh_mo_hinh'!$F$6+D132+'17_Gia_dinh_mo_hinh'!$G$6),'17_Gia_dinh_mo_hinh'!$L$6*(1-'17_Gia_dinh_mo_hinh'!$M$6)/'17_Gia_dinh_mo_hinh'!$G$6,0)</x:f>
        <x:v>355.2</x:v>
      </x:c>
      <x:c r="F132" s="62" t="n">
        <x:f>0.70*E132+0.30*E131</x:f>
        <x:v>355.2</x:v>
      </x:c>
      <x:c r="G132" s="62" t="n">
        <x:f>IF(AND(B132&gt;='17_Gia_dinh_mo_hinh'!$H$6+D132,B132&lt;'17_Gia_dinh_mo_hinh'!$H$6+D132+'17_Gia_dinh_mo_hinh'!$I$6),'17_Gia_dinh_mo_hinh'!$L$6*(1-'17_Gia_dinh_mo_hinh'!$M$6)/'17_Gia_dinh_mo_hinh'!$I$6,0)</x:f>
        <x:v>0</x:v>
      </x:c>
      <x:c r="H132" s="62" t="n">
        <x:f>G132*(1-'17_Gia_dinh_mo_hinh'!$N$6)</x:f>
        <x:v>0</x:v>
      </x:c>
      <x:c r="I132" s="62" t="n">
        <x:f>G132*'17_Gia_dinh_mo_hinh'!$O$6</x:f>
        <x:v>0</x:v>
      </x:c>
      <x:c r="J132" s="62" t="n">
        <x:f>G132*'17_Gia_dinh_mo_hinh'!$P$6</x:f>
        <x:v>0</x:v>
      </x:c>
      <x:c r="K132" s="62" t="n">
        <x:f>IF(B132&lt;='17_Gia_dinh_mo_hinh'!$J$6,'17_Gia_dinh_mo_hinh'!$K$6*(1-MIN(0.95,'17_Gia_dinh_mo_hinh'!$M$6*0.75))/'17_Gia_dinh_mo_hinh'!$J$6,0)</x:f>
        <x:v>258.06666666666666</x:v>
      </x:c>
      <x:c r="L132" s="62" t="n">
        <x:f>S131*'17_Gia_dinh_mo_hinh'!$Q$6/12</x:f>
        <x:v>29.45803648958463</x:v>
      </x:c>
      <x:c r="M132" s="62" t="n">
        <x:f>G132-H132-I132-J132-L132</x:f>
        <x:v>-29.45803648958463</x:v>
      </x:c>
      <x:c r="N132" s="62" t="n">
        <x:f>MAX(0,M132*'17_Gia_dinh_mo_hinh'!$S$6)</x:f>
        <x:v>0</x:v>
      </x:c>
      <x:c r="O132" s="62" t="n">
        <x:f>M132-N132</x:f>
        <x:v>-29.45803648958463</x:v>
      </x:c>
      <x:c r="P132" s="62" t="n">
        <x:f>F132-K132-I132-J132-N132-L132</x:f>
        <x:v>67.6752968437487</x:v>
      </x:c>
      <x:c r="Q132" s="62" t="n">
        <x:f>MIN(MAX(0,-(T131+P132)),MAX(0,'17_Gia_dinh_mo_hinh'!$R$6-S131))</x:f>
        <x:v>0</x:v>
      </x:c>
      <x:c r="R132" s="62" t="n">
        <x:f>MIN(MAX(0,T131+P132+Q132),S131+Q132)</x:f>
        <x:v>67.6752968437487</x:v>
      </x:c>
      <x:c r="S132" s="62" t="n">
        <x:f>S131+Q132-R132</x:f>
        <x:v>3653.3398386827307</x:v>
      </x:c>
      <x:c r="T132" s="62" t="n">
        <x:f>MAX(0,T131+P132+Q132-R132)</x:f>
        <x:v>0</x:v>
      </x:c>
      <x:c r="U132" s="62" t="n">
        <x:f>MAX(0,-(T131+P132)-MAX(0,'17_Gia_dinh_mo_hinh'!$R$6-S131))</x:f>
        <x:v>0</x:v>
      </x:c>
      <x:c r="V132" s="61" t="str">
        <x:f>IF(B132&lt;'17_Gia_dinh_mo_hinh'!$F$6+D132,"Trước mở bán",IF(B132&lt;'17_Gia_dinh_mo_hinh'!$H$6+D132,"Bán hàng/thi công",IF(G132&gt;0,"Ghi nhận/bàn giao","Hậu bàn giao")))</x:f>
        <x:v>Bán hàng/thi công</x:v>
      </x:c>
    </x:row>
    <x:row r="133">
      <x:c r="A133" s="54" t="str">
        <x:v>DA03</x:v>
      </x:c>
      <x:c r="B133" s="54" t="n">
        <x:v>10</x:v>
      </x:c>
      <x:c r="C133" s="60" t="n">
        <x:f>EDATE('17_Gia_dinh_mo_hinh'!$C$6,B133-1)</x:f>
        <x:v>46508</x:v>
      </x:c>
      <x:c r="D133" s="61" t="n">
        <x:f>ROUNDUP('17_Gia_dinh_mo_hinh'!$E$6/30,0)</x:f>
        <x:v>1</x:v>
      </x:c>
      <x:c r="E133" s="62" t="n">
        <x:f>IF(AND(B133&gt;='17_Gia_dinh_mo_hinh'!$F$6+D133,B133&lt;'17_Gia_dinh_mo_hinh'!$F$6+D133+'17_Gia_dinh_mo_hinh'!$G$6),'17_Gia_dinh_mo_hinh'!$L$6*(1-'17_Gia_dinh_mo_hinh'!$M$6)/'17_Gia_dinh_mo_hinh'!$G$6,0)</x:f>
        <x:v>355.2</x:v>
      </x:c>
      <x:c r="F133" s="62" t="n">
        <x:f>0.70*E133+0.30*E132</x:f>
        <x:v>355.2</x:v>
      </x:c>
      <x:c r="G133" s="62" t="n">
        <x:f>IF(AND(B133&gt;='17_Gia_dinh_mo_hinh'!$H$6+D133,B133&lt;'17_Gia_dinh_mo_hinh'!$H$6+D133+'17_Gia_dinh_mo_hinh'!$I$6),'17_Gia_dinh_mo_hinh'!$L$6*(1-'17_Gia_dinh_mo_hinh'!$M$6)/'17_Gia_dinh_mo_hinh'!$I$6,0)</x:f>
        <x:v>0</x:v>
      </x:c>
      <x:c r="H133" s="62" t="n">
        <x:f>G133*(1-'17_Gia_dinh_mo_hinh'!$N$6)</x:f>
        <x:v>0</x:v>
      </x:c>
      <x:c r="I133" s="62" t="n">
        <x:f>G133*'17_Gia_dinh_mo_hinh'!$O$6</x:f>
        <x:v>0</x:v>
      </x:c>
      <x:c r="J133" s="62" t="n">
        <x:f>G133*'17_Gia_dinh_mo_hinh'!$P$6</x:f>
        <x:v>0</x:v>
      </x:c>
      <x:c r="K133" s="62" t="n">
        <x:f>IF(B133&lt;='17_Gia_dinh_mo_hinh'!$J$6,'17_Gia_dinh_mo_hinh'!$K$6*(1-MIN(0.95,'17_Gia_dinh_mo_hinh'!$M$6*0.75))/'17_Gia_dinh_mo_hinh'!$J$6,0)</x:f>
        <x:v>258.06666666666666</x:v>
      </x:c>
      <x:c r="L133" s="62" t="n">
        <x:f>S132*'17_Gia_dinh_mo_hinh'!$Q$6/12</x:f>
        <x:v>28.92227372290495</x:v>
      </x:c>
      <x:c r="M133" s="62" t="n">
        <x:f>G133-H133-I133-J133-L133</x:f>
        <x:v>-28.92227372290495</x:v>
      </x:c>
      <x:c r="N133" s="62" t="n">
        <x:f>MAX(0,M133*'17_Gia_dinh_mo_hinh'!$S$6)</x:f>
        <x:v>0</x:v>
      </x:c>
      <x:c r="O133" s="62" t="n">
        <x:f>M133-N133</x:f>
        <x:v>-28.92227372290495</x:v>
      </x:c>
      <x:c r="P133" s="62" t="n">
        <x:f>F133-K133-I133-J133-N133-L133</x:f>
        <x:v>68.21105961042838</x:v>
      </x:c>
      <x:c r="Q133" s="62" t="n">
        <x:f>MIN(MAX(0,-(T132+P133)),MAX(0,'17_Gia_dinh_mo_hinh'!$R$6-S132))</x:f>
        <x:v>0</x:v>
      </x:c>
      <x:c r="R133" s="62" t="n">
        <x:f>MIN(MAX(0,T132+P133+Q133),S132+Q133)</x:f>
        <x:v>68.21105961042838</x:v>
      </x:c>
      <x:c r="S133" s="62" t="n">
        <x:f>S132+Q133-R133</x:f>
        <x:v>3585.128779072302</x:v>
      </x:c>
      <x:c r="T133" s="62" t="n">
        <x:f>MAX(0,T132+P133+Q133-R133)</x:f>
        <x:v>0</x:v>
      </x:c>
      <x:c r="U133" s="62" t="n">
        <x:f>MAX(0,-(T132+P133)-MAX(0,'17_Gia_dinh_mo_hinh'!$R$6-S132))</x:f>
        <x:v>0</x:v>
      </x:c>
      <x:c r="V133" s="61" t="str">
        <x:f>IF(B133&lt;'17_Gia_dinh_mo_hinh'!$F$6+D133,"Trước mở bán",IF(B133&lt;'17_Gia_dinh_mo_hinh'!$H$6+D133,"Bán hàng/thi công",IF(G133&gt;0,"Ghi nhận/bàn giao","Hậu bàn giao")))</x:f>
        <x:v>Bán hàng/thi công</x:v>
      </x:c>
    </x:row>
    <x:row r="134">
      <x:c r="A134" s="54" t="str">
        <x:v>DA03</x:v>
      </x:c>
      <x:c r="B134" s="54" t="n">
        <x:v>11</x:v>
      </x:c>
      <x:c r="C134" s="60" t="n">
        <x:f>EDATE('17_Gia_dinh_mo_hinh'!$C$6,B134-1)</x:f>
        <x:v>46539</x:v>
      </x:c>
      <x:c r="D134" s="61" t="n">
        <x:f>ROUNDUP('17_Gia_dinh_mo_hinh'!$E$6/30,0)</x:f>
        <x:v>1</x:v>
      </x:c>
      <x:c r="E134" s="62" t="n">
        <x:f>IF(AND(B134&gt;='17_Gia_dinh_mo_hinh'!$F$6+D134,B134&lt;'17_Gia_dinh_mo_hinh'!$F$6+D134+'17_Gia_dinh_mo_hinh'!$G$6),'17_Gia_dinh_mo_hinh'!$L$6*(1-'17_Gia_dinh_mo_hinh'!$M$6)/'17_Gia_dinh_mo_hinh'!$G$6,0)</x:f>
        <x:v>355.2</x:v>
      </x:c>
      <x:c r="F134" s="62" t="n">
        <x:f>0.70*E134+0.30*E133</x:f>
        <x:v>355.2</x:v>
      </x:c>
      <x:c r="G134" s="62" t="n">
        <x:f>IF(AND(B134&gt;='17_Gia_dinh_mo_hinh'!$H$6+D134,B134&lt;'17_Gia_dinh_mo_hinh'!$H$6+D134+'17_Gia_dinh_mo_hinh'!$I$6),'17_Gia_dinh_mo_hinh'!$L$6*(1-'17_Gia_dinh_mo_hinh'!$M$6)/'17_Gia_dinh_mo_hinh'!$I$6,0)</x:f>
        <x:v>0</x:v>
      </x:c>
      <x:c r="H134" s="62" t="n">
        <x:f>G134*(1-'17_Gia_dinh_mo_hinh'!$N$6)</x:f>
        <x:v>0</x:v>
      </x:c>
      <x:c r="I134" s="62" t="n">
        <x:f>G134*'17_Gia_dinh_mo_hinh'!$O$6</x:f>
        <x:v>0</x:v>
      </x:c>
      <x:c r="J134" s="62" t="n">
        <x:f>G134*'17_Gia_dinh_mo_hinh'!$P$6</x:f>
        <x:v>0</x:v>
      </x:c>
      <x:c r="K134" s="62" t="n">
        <x:f>IF(B134&lt;='17_Gia_dinh_mo_hinh'!$J$6,'17_Gia_dinh_mo_hinh'!$K$6*(1-MIN(0.95,'17_Gia_dinh_mo_hinh'!$M$6*0.75))/'17_Gia_dinh_mo_hinh'!$J$6,0)</x:f>
        <x:v>258.06666666666666</x:v>
      </x:c>
      <x:c r="L134" s="62" t="n">
        <x:f>S133*'17_Gia_dinh_mo_hinh'!$Q$6/12</x:f>
        <x:v>28.382269500989057</x:v>
      </x:c>
      <x:c r="M134" s="62" t="n">
        <x:f>G134-H134-I134-J134-L134</x:f>
        <x:v>-28.382269500989057</x:v>
      </x:c>
      <x:c r="N134" s="62" t="n">
        <x:f>MAX(0,M134*'17_Gia_dinh_mo_hinh'!$S$6)</x:f>
        <x:v>0</x:v>
      </x:c>
      <x:c r="O134" s="62" t="n">
        <x:f>M134-N134</x:f>
        <x:v>-28.382269500989057</x:v>
      </x:c>
      <x:c r="P134" s="62" t="n">
        <x:f>F134-K134-I134-J134-N134-L134</x:f>
        <x:v>68.75106383234427</x:v>
      </x:c>
      <x:c r="Q134" s="62" t="n">
        <x:f>MIN(MAX(0,-(T133+P134)),MAX(0,'17_Gia_dinh_mo_hinh'!$R$6-S133))</x:f>
        <x:v>0</x:v>
      </x:c>
      <x:c r="R134" s="62" t="n">
        <x:f>MIN(MAX(0,T133+P134+Q134),S133+Q134)</x:f>
        <x:v>68.75106383234427</x:v>
      </x:c>
      <x:c r="S134" s="62" t="n">
        <x:f>S133+Q134-R134</x:f>
        <x:v>3516.377715239958</x:v>
      </x:c>
      <x:c r="T134" s="62" t="n">
        <x:f>MAX(0,T133+P134+Q134-R134)</x:f>
        <x:v>0</x:v>
      </x:c>
      <x:c r="U134" s="62" t="n">
        <x:f>MAX(0,-(T133+P134)-MAX(0,'17_Gia_dinh_mo_hinh'!$R$6-S133))</x:f>
        <x:v>0</x:v>
      </x:c>
      <x:c r="V134" s="61" t="str">
        <x:f>IF(B134&lt;'17_Gia_dinh_mo_hinh'!$F$6+D134,"Trước mở bán",IF(B134&lt;'17_Gia_dinh_mo_hinh'!$H$6+D134,"Bán hàng/thi công",IF(G134&gt;0,"Ghi nhận/bàn giao","Hậu bàn giao")))</x:f>
        <x:v>Bán hàng/thi công</x:v>
      </x:c>
    </x:row>
    <x:row r="135">
      <x:c r="A135" s="54" t="str">
        <x:v>DA03</x:v>
      </x:c>
      <x:c r="B135" s="54" t="n">
        <x:v>12</x:v>
      </x:c>
      <x:c r="C135" s="60" t="n">
        <x:f>EDATE('17_Gia_dinh_mo_hinh'!$C$6,B135-1)</x:f>
        <x:v>46569</x:v>
      </x:c>
      <x:c r="D135" s="61" t="n">
        <x:f>ROUNDUP('17_Gia_dinh_mo_hinh'!$E$6/30,0)</x:f>
        <x:v>1</x:v>
      </x:c>
      <x:c r="E135" s="62" t="n">
        <x:f>IF(AND(B135&gt;='17_Gia_dinh_mo_hinh'!$F$6+D135,B135&lt;'17_Gia_dinh_mo_hinh'!$F$6+D135+'17_Gia_dinh_mo_hinh'!$G$6),'17_Gia_dinh_mo_hinh'!$L$6*(1-'17_Gia_dinh_mo_hinh'!$M$6)/'17_Gia_dinh_mo_hinh'!$G$6,0)</x:f>
        <x:v>355.2</x:v>
      </x:c>
      <x:c r="F135" s="62" t="n">
        <x:f>0.70*E135+0.30*E134</x:f>
        <x:v>355.2</x:v>
      </x:c>
      <x:c r="G135" s="62" t="n">
        <x:f>IF(AND(B135&gt;='17_Gia_dinh_mo_hinh'!$H$6+D135,B135&lt;'17_Gia_dinh_mo_hinh'!$H$6+D135+'17_Gia_dinh_mo_hinh'!$I$6),'17_Gia_dinh_mo_hinh'!$L$6*(1-'17_Gia_dinh_mo_hinh'!$M$6)/'17_Gia_dinh_mo_hinh'!$I$6,0)</x:f>
        <x:v>0</x:v>
      </x:c>
      <x:c r="H135" s="62" t="n">
        <x:f>G135*(1-'17_Gia_dinh_mo_hinh'!$N$6)</x:f>
        <x:v>0</x:v>
      </x:c>
      <x:c r="I135" s="62" t="n">
        <x:f>G135*'17_Gia_dinh_mo_hinh'!$O$6</x:f>
        <x:v>0</x:v>
      </x:c>
      <x:c r="J135" s="62" t="n">
        <x:f>G135*'17_Gia_dinh_mo_hinh'!$P$6</x:f>
        <x:v>0</x:v>
      </x:c>
      <x:c r="K135" s="62" t="n">
        <x:f>IF(B135&lt;='17_Gia_dinh_mo_hinh'!$J$6,'17_Gia_dinh_mo_hinh'!$K$6*(1-MIN(0.95,'17_Gia_dinh_mo_hinh'!$M$6*0.75))/'17_Gia_dinh_mo_hinh'!$J$6,0)</x:f>
        <x:v>258.06666666666666</x:v>
      </x:c>
      <x:c r="L135" s="62" t="n">
        <x:f>S134*'17_Gia_dinh_mo_hinh'!$Q$6/12</x:f>
        <x:v>27.837990245649667</x:v>
      </x:c>
      <x:c r="M135" s="62" t="n">
        <x:f>G135-H135-I135-J135-L135</x:f>
        <x:v>-27.837990245649667</x:v>
      </x:c>
      <x:c r="N135" s="62" t="n">
        <x:f>MAX(0,M135*'17_Gia_dinh_mo_hinh'!$S$6)</x:f>
        <x:v>0</x:v>
      </x:c>
      <x:c r="O135" s="62" t="n">
        <x:f>M135-N135</x:f>
        <x:v>-27.837990245649667</x:v>
      </x:c>
      <x:c r="P135" s="62" t="n">
        <x:f>F135-K135-I135-J135-N135-L135</x:f>
        <x:v>69.29534308768366</x:v>
      </x:c>
      <x:c r="Q135" s="62" t="n">
        <x:f>MIN(MAX(0,-(T134+P135)),MAX(0,'17_Gia_dinh_mo_hinh'!$R$6-S134))</x:f>
        <x:v>0</x:v>
      </x:c>
      <x:c r="R135" s="62" t="n">
        <x:f>MIN(MAX(0,T134+P135+Q135),S134+Q135)</x:f>
        <x:v>69.29534308768366</x:v>
      </x:c>
      <x:c r="S135" s="62" t="n">
        <x:f>S134+Q135-R135</x:f>
        <x:v>3447.0823721522743</x:v>
      </x:c>
      <x:c r="T135" s="62" t="n">
        <x:f>MAX(0,T134+P135+Q135-R135)</x:f>
        <x:v>0</x:v>
      </x:c>
      <x:c r="U135" s="62" t="n">
        <x:f>MAX(0,-(T134+P135)-MAX(0,'17_Gia_dinh_mo_hinh'!$R$6-S134))</x:f>
        <x:v>0</x:v>
      </x:c>
      <x:c r="V135" s="61" t="str">
        <x:f>IF(B135&lt;'17_Gia_dinh_mo_hinh'!$F$6+D135,"Trước mở bán",IF(B135&lt;'17_Gia_dinh_mo_hinh'!$H$6+D135,"Bán hàng/thi công",IF(G135&gt;0,"Ghi nhận/bàn giao","Hậu bàn giao")))</x:f>
        <x:v>Bán hàng/thi công</x:v>
      </x:c>
    </x:row>
    <x:row r="136">
      <x:c r="A136" s="54" t="str">
        <x:v>DA03</x:v>
      </x:c>
      <x:c r="B136" s="54" t="n">
        <x:v>13</x:v>
      </x:c>
      <x:c r="C136" s="60" t="n">
        <x:f>EDATE('17_Gia_dinh_mo_hinh'!$C$6,B136-1)</x:f>
        <x:v>46600</x:v>
      </x:c>
      <x:c r="D136" s="61" t="n">
        <x:f>ROUNDUP('17_Gia_dinh_mo_hinh'!$E$6/30,0)</x:f>
        <x:v>1</x:v>
      </x:c>
      <x:c r="E136" s="62" t="n">
        <x:f>IF(AND(B136&gt;='17_Gia_dinh_mo_hinh'!$F$6+D136,B136&lt;'17_Gia_dinh_mo_hinh'!$F$6+D136+'17_Gia_dinh_mo_hinh'!$G$6),'17_Gia_dinh_mo_hinh'!$L$6*(1-'17_Gia_dinh_mo_hinh'!$M$6)/'17_Gia_dinh_mo_hinh'!$G$6,0)</x:f>
        <x:v>355.2</x:v>
      </x:c>
      <x:c r="F136" s="62" t="n">
        <x:f>0.70*E136+0.30*E135</x:f>
        <x:v>355.2</x:v>
      </x:c>
      <x:c r="G136" s="62" t="n">
        <x:f>IF(AND(B136&gt;='17_Gia_dinh_mo_hinh'!$H$6+D136,B136&lt;'17_Gia_dinh_mo_hinh'!$H$6+D136+'17_Gia_dinh_mo_hinh'!$I$6),'17_Gia_dinh_mo_hinh'!$L$6*(1-'17_Gia_dinh_mo_hinh'!$M$6)/'17_Gia_dinh_mo_hinh'!$I$6,0)</x:f>
        <x:v>0</x:v>
      </x:c>
      <x:c r="H136" s="62" t="n">
        <x:f>G136*(1-'17_Gia_dinh_mo_hinh'!$N$6)</x:f>
        <x:v>0</x:v>
      </x:c>
      <x:c r="I136" s="62" t="n">
        <x:f>G136*'17_Gia_dinh_mo_hinh'!$O$6</x:f>
        <x:v>0</x:v>
      </x:c>
      <x:c r="J136" s="62" t="n">
        <x:f>G136*'17_Gia_dinh_mo_hinh'!$P$6</x:f>
        <x:v>0</x:v>
      </x:c>
      <x:c r="K136" s="62" t="n">
        <x:f>IF(B136&lt;='17_Gia_dinh_mo_hinh'!$J$6,'17_Gia_dinh_mo_hinh'!$K$6*(1-MIN(0.95,'17_Gia_dinh_mo_hinh'!$M$6*0.75))/'17_Gia_dinh_mo_hinh'!$J$6,0)</x:f>
        <x:v>258.06666666666666</x:v>
      </x:c>
      <x:c r="L136" s="62" t="n">
        <x:f>S135*'17_Gia_dinh_mo_hinh'!$Q$6/12</x:f>
        <x:v>27.28940211287217</x:v>
      </x:c>
      <x:c r="M136" s="62" t="n">
        <x:f>G136-H136-I136-J136-L136</x:f>
        <x:v>-27.28940211287217</x:v>
      </x:c>
      <x:c r="N136" s="62" t="n">
        <x:f>MAX(0,M136*'17_Gia_dinh_mo_hinh'!$S$6)</x:f>
        <x:v>0</x:v>
      </x:c>
      <x:c r="O136" s="62" t="n">
        <x:f>M136-N136</x:f>
        <x:v>-27.28940211287217</x:v>
      </x:c>
      <x:c r="P136" s="62" t="n">
        <x:f>F136-K136-I136-J136-N136-L136</x:f>
        <x:v>69.84393122046116</x:v>
      </x:c>
      <x:c r="Q136" s="62" t="n">
        <x:f>MIN(MAX(0,-(T135+P136)),MAX(0,'17_Gia_dinh_mo_hinh'!$R$6-S135))</x:f>
        <x:v>0</x:v>
      </x:c>
      <x:c r="R136" s="62" t="n">
        <x:f>MIN(MAX(0,T135+P136+Q136),S135+Q136)</x:f>
        <x:v>69.84393122046116</x:v>
      </x:c>
      <x:c r="S136" s="62" t="n">
        <x:f>S135+Q136-R136</x:f>
        <x:v>3377.2384409318133</x:v>
      </x:c>
      <x:c r="T136" s="62" t="n">
        <x:f>MAX(0,T135+P136+Q136-R136)</x:f>
        <x:v>0</x:v>
      </x:c>
      <x:c r="U136" s="62" t="n">
        <x:f>MAX(0,-(T135+P136)-MAX(0,'17_Gia_dinh_mo_hinh'!$R$6-S135))</x:f>
        <x:v>0</x:v>
      </x:c>
      <x:c r="V136" s="61" t="str">
        <x:f>IF(B136&lt;'17_Gia_dinh_mo_hinh'!$F$6+D136,"Trước mở bán",IF(B136&lt;'17_Gia_dinh_mo_hinh'!$H$6+D136,"Bán hàng/thi công",IF(G136&gt;0,"Ghi nhận/bàn giao","Hậu bàn giao")))</x:f>
        <x:v>Bán hàng/thi công</x:v>
      </x:c>
    </x:row>
    <x:row r="137">
      <x:c r="A137" s="54" t="str">
        <x:v>DA03</x:v>
      </x:c>
      <x:c r="B137" s="54" t="n">
        <x:v>14</x:v>
      </x:c>
      <x:c r="C137" s="60" t="n">
        <x:f>EDATE('17_Gia_dinh_mo_hinh'!$C$6,B137-1)</x:f>
        <x:v>46631</x:v>
      </x:c>
      <x:c r="D137" s="61" t="n">
        <x:f>ROUNDUP('17_Gia_dinh_mo_hinh'!$E$6/30,0)</x:f>
        <x:v>1</x:v>
      </x:c>
      <x:c r="E137" s="62" t="n">
        <x:f>IF(AND(B137&gt;='17_Gia_dinh_mo_hinh'!$F$6+D137,B137&lt;'17_Gia_dinh_mo_hinh'!$F$6+D137+'17_Gia_dinh_mo_hinh'!$G$6),'17_Gia_dinh_mo_hinh'!$L$6*(1-'17_Gia_dinh_mo_hinh'!$M$6)/'17_Gia_dinh_mo_hinh'!$G$6,0)</x:f>
        <x:v>355.2</x:v>
      </x:c>
      <x:c r="F137" s="62" t="n">
        <x:f>0.70*E137+0.30*E136</x:f>
        <x:v>355.2</x:v>
      </x:c>
      <x:c r="G137" s="62" t="n">
        <x:f>IF(AND(B137&gt;='17_Gia_dinh_mo_hinh'!$H$6+D137,B137&lt;'17_Gia_dinh_mo_hinh'!$H$6+D137+'17_Gia_dinh_mo_hinh'!$I$6),'17_Gia_dinh_mo_hinh'!$L$6*(1-'17_Gia_dinh_mo_hinh'!$M$6)/'17_Gia_dinh_mo_hinh'!$I$6,0)</x:f>
        <x:v>0</x:v>
      </x:c>
      <x:c r="H137" s="62" t="n">
        <x:f>G137*(1-'17_Gia_dinh_mo_hinh'!$N$6)</x:f>
        <x:v>0</x:v>
      </x:c>
      <x:c r="I137" s="62" t="n">
        <x:f>G137*'17_Gia_dinh_mo_hinh'!$O$6</x:f>
        <x:v>0</x:v>
      </x:c>
      <x:c r="J137" s="62" t="n">
        <x:f>G137*'17_Gia_dinh_mo_hinh'!$P$6</x:f>
        <x:v>0</x:v>
      </x:c>
      <x:c r="K137" s="62" t="n">
        <x:f>IF(B137&lt;='17_Gia_dinh_mo_hinh'!$J$6,'17_Gia_dinh_mo_hinh'!$K$6*(1-MIN(0.95,'17_Gia_dinh_mo_hinh'!$M$6*0.75))/'17_Gia_dinh_mo_hinh'!$J$6,0)</x:f>
        <x:v>258.06666666666666</x:v>
      </x:c>
      <x:c r="L137" s="62" t="n">
        <x:f>S136*'17_Gia_dinh_mo_hinh'!$Q$6/12</x:f>
        <x:v>26.73647099071019</x:v>
      </x:c>
      <x:c r="M137" s="62" t="n">
        <x:f>G137-H137-I137-J137-L137</x:f>
        <x:v>-26.73647099071019</x:v>
      </x:c>
      <x:c r="N137" s="62" t="n">
        <x:f>MAX(0,M137*'17_Gia_dinh_mo_hinh'!$S$6)</x:f>
        <x:v>0</x:v>
      </x:c>
      <x:c r="O137" s="62" t="n">
        <x:f>M137-N137</x:f>
        <x:v>-26.73647099071019</x:v>
      </x:c>
      <x:c r="P137" s="62" t="n">
        <x:f>F137-K137-I137-J137-N137-L137</x:f>
        <x:v>70.39686234262314</x:v>
      </x:c>
      <x:c r="Q137" s="62" t="n">
        <x:f>MIN(MAX(0,-(T136+P137)),MAX(0,'17_Gia_dinh_mo_hinh'!$R$6-S136))</x:f>
        <x:v>0</x:v>
      </x:c>
      <x:c r="R137" s="62" t="n">
        <x:f>MIN(MAX(0,T136+P137+Q137),S136+Q137)</x:f>
        <x:v>70.39686234262314</x:v>
      </x:c>
      <x:c r="S137" s="62" t="n">
        <x:f>S136+Q137-R137</x:f>
        <x:v>3306.8415785891902</x:v>
      </x:c>
      <x:c r="T137" s="62" t="n">
        <x:f>MAX(0,T136+P137+Q137-R137)</x:f>
        <x:v>0</x:v>
      </x:c>
      <x:c r="U137" s="62" t="n">
        <x:f>MAX(0,-(T136+P137)-MAX(0,'17_Gia_dinh_mo_hinh'!$R$6-S136))</x:f>
        <x:v>0</x:v>
      </x:c>
      <x:c r="V137" s="61" t="str">
        <x:f>IF(B137&lt;'17_Gia_dinh_mo_hinh'!$F$6+D137,"Trước mở bán",IF(B137&lt;'17_Gia_dinh_mo_hinh'!$H$6+D137,"Bán hàng/thi công",IF(G137&gt;0,"Ghi nhận/bàn giao","Hậu bàn giao")))</x:f>
        <x:v>Bán hàng/thi công</x:v>
      </x:c>
    </x:row>
    <x:row r="138">
      <x:c r="A138" s="54" t="str">
        <x:v>DA03</x:v>
      </x:c>
      <x:c r="B138" s="54" t="n">
        <x:v>15</x:v>
      </x:c>
      <x:c r="C138" s="60" t="n">
        <x:f>EDATE('17_Gia_dinh_mo_hinh'!$C$6,B138-1)</x:f>
        <x:v>46661</x:v>
      </x:c>
      <x:c r="D138" s="61" t="n">
        <x:f>ROUNDUP('17_Gia_dinh_mo_hinh'!$E$6/30,0)</x:f>
        <x:v>1</x:v>
      </x:c>
      <x:c r="E138" s="62" t="n">
        <x:f>IF(AND(B138&gt;='17_Gia_dinh_mo_hinh'!$F$6+D138,B138&lt;'17_Gia_dinh_mo_hinh'!$F$6+D138+'17_Gia_dinh_mo_hinh'!$G$6),'17_Gia_dinh_mo_hinh'!$L$6*(1-'17_Gia_dinh_mo_hinh'!$M$6)/'17_Gia_dinh_mo_hinh'!$G$6,0)</x:f>
        <x:v>355.2</x:v>
      </x:c>
      <x:c r="F138" s="62" t="n">
        <x:f>0.70*E138+0.30*E137</x:f>
        <x:v>355.2</x:v>
      </x:c>
      <x:c r="G138" s="62" t="n">
        <x:f>IF(AND(B138&gt;='17_Gia_dinh_mo_hinh'!$H$6+D138,B138&lt;'17_Gia_dinh_mo_hinh'!$H$6+D138+'17_Gia_dinh_mo_hinh'!$I$6),'17_Gia_dinh_mo_hinh'!$L$6*(1-'17_Gia_dinh_mo_hinh'!$M$6)/'17_Gia_dinh_mo_hinh'!$I$6,0)</x:f>
        <x:v>0</x:v>
      </x:c>
      <x:c r="H138" s="62" t="n">
        <x:f>G138*(1-'17_Gia_dinh_mo_hinh'!$N$6)</x:f>
        <x:v>0</x:v>
      </x:c>
      <x:c r="I138" s="62" t="n">
        <x:f>G138*'17_Gia_dinh_mo_hinh'!$O$6</x:f>
        <x:v>0</x:v>
      </x:c>
      <x:c r="J138" s="62" t="n">
        <x:f>G138*'17_Gia_dinh_mo_hinh'!$P$6</x:f>
        <x:v>0</x:v>
      </x:c>
      <x:c r="K138" s="62" t="n">
        <x:f>IF(B138&lt;='17_Gia_dinh_mo_hinh'!$J$6,'17_Gia_dinh_mo_hinh'!$K$6*(1-MIN(0.95,'17_Gia_dinh_mo_hinh'!$M$6*0.75))/'17_Gia_dinh_mo_hinh'!$J$6,0)</x:f>
        <x:v>258.06666666666666</x:v>
      </x:c>
      <x:c r="L138" s="62" t="n">
        <x:f>S137*'17_Gia_dinh_mo_hinh'!$Q$6/12</x:f>
        <x:v>26.179162497164423</x:v>
      </x:c>
      <x:c r="M138" s="62" t="n">
        <x:f>G138-H138-I138-J138-L138</x:f>
        <x:v>-26.179162497164423</x:v>
      </x:c>
      <x:c r="N138" s="62" t="n">
        <x:f>MAX(0,M138*'17_Gia_dinh_mo_hinh'!$S$6)</x:f>
        <x:v>0</x:v>
      </x:c>
      <x:c r="O138" s="62" t="n">
        <x:f>M138-N138</x:f>
        <x:v>-26.179162497164423</x:v>
      </x:c>
      <x:c r="P138" s="62" t="n">
        <x:f>F138-K138-I138-J138-N138-L138</x:f>
        <x:v>70.9541708361689</x:v>
      </x:c>
      <x:c r="Q138" s="62" t="n">
        <x:f>MIN(MAX(0,-(T137+P138)),MAX(0,'17_Gia_dinh_mo_hinh'!$R$6-S137))</x:f>
        <x:v>0</x:v>
      </x:c>
      <x:c r="R138" s="62" t="n">
        <x:f>MIN(MAX(0,T137+P138+Q138),S137+Q138)</x:f>
        <x:v>70.9541708361689</x:v>
      </x:c>
      <x:c r="S138" s="62" t="n">
        <x:f>S137+Q138-R138</x:f>
        <x:v>3235.8874077530213</x:v>
      </x:c>
      <x:c r="T138" s="62" t="n">
        <x:f>MAX(0,T137+P138+Q138-R138)</x:f>
        <x:v>0</x:v>
      </x:c>
      <x:c r="U138" s="62" t="n">
        <x:f>MAX(0,-(T137+P138)-MAX(0,'17_Gia_dinh_mo_hinh'!$R$6-S137))</x:f>
        <x:v>0</x:v>
      </x:c>
      <x:c r="V138" s="61" t="str">
        <x:f>IF(B138&lt;'17_Gia_dinh_mo_hinh'!$F$6+D138,"Trước mở bán",IF(B138&lt;'17_Gia_dinh_mo_hinh'!$H$6+D138,"Bán hàng/thi công",IF(G138&gt;0,"Ghi nhận/bàn giao","Hậu bàn giao")))</x:f>
        <x:v>Bán hàng/thi công</x:v>
      </x:c>
    </x:row>
    <x:row r="139">
      <x:c r="A139" s="54" t="str">
        <x:v>DA03</x:v>
      </x:c>
      <x:c r="B139" s="54" t="n">
        <x:v>16</x:v>
      </x:c>
      <x:c r="C139" s="60" t="n">
        <x:f>EDATE('17_Gia_dinh_mo_hinh'!$C$6,B139-1)</x:f>
        <x:v>46692</x:v>
      </x:c>
      <x:c r="D139" s="61" t="n">
        <x:f>ROUNDUP('17_Gia_dinh_mo_hinh'!$E$6/30,0)</x:f>
        <x:v>1</x:v>
      </x:c>
      <x:c r="E139" s="62" t="n">
        <x:f>IF(AND(B139&gt;='17_Gia_dinh_mo_hinh'!$F$6+D139,B139&lt;'17_Gia_dinh_mo_hinh'!$F$6+D139+'17_Gia_dinh_mo_hinh'!$G$6),'17_Gia_dinh_mo_hinh'!$L$6*(1-'17_Gia_dinh_mo_hinh'!$M$6)/'17_Gia_dinh_mo_hinh'!$G$6,0)</x:f>
        <x:v>355.2</x:v>
      </x:c>
      <x:c r="F139" s="62" t="n">
        <x:f>0.70*E139+0.30*E138</x:f>
        <x:v>355.2</x:v>
      </x:c>
      <x:c r="G139" s="62" t="n">
        <x:f>IF(AND(B139&gt;='17_Gia_dinh_mo_hinh'!$H$6+D139,B139&lt;'17_Gia_dinh_mo_hinh'!$H$6+D139+'17_Gia_dinh_mo_hinh'!$I$6),'17_Gia_dinh_mo_hinh'!$L$6*(1-'17_Gia_dinh_mo_hinh'!$M$6)/'17_Gia_dinh_mo_hinh'!$I$6,0)</x:f>
        <x:v>0</x:v>
      </x:c>
      <x:c r="H139" s="62" t="n">
        <x:f>G139*(1-'17_Gia_dinh_mo_hinh'!$N$6)</x:f>
        <x:v>0</x:v>
      </x:c>
      <x:c r="I139" s="62" t="n">
        <x:f>G139*'17_Gia_dinh_mo_hinh'!$O$6</x:f>
        <x:v>0</x:v>
      </x:c>
      <x:c r="J139" s="62" t="n">
        <x:f>G139*'17_Gia_dinh_mo_hinh'!$P$6</x:f>
        <x:v>0</x:v>
      </x:c>
      <x:c r="K139" s="62" t="n">
        <x:f>IF(B139&lt;='17_Gia_dinh_mo_hinh'!$J$6,'17_Gia_dinh_mo_hinh'!$K$6*(1-MIN(0.95,'17_Gia_dinh_mo_hinh'!$M$6*0.75))/'17_Gia_dinh_mo_hinh'!$J$6,0)</x:f>
        <x:v>258.06666666666666</x:v>
      </x:c>
      <x:c r="L139" s="62" t="n">
        <x:f>S138*'17_Gia_dinh_mo_hinh'!$Q$6/12</x:f>
        <x:v>25.617441978044752</x:v>
      </x:c>
      <x:c r="M139" s="62" t="n">
        <x:f>G139-H139-I139-J139-L139</x:f>
        <x:v>-25.617441978044752</x:v>
      </x:c>
      <x:c r="N139" s="62" t="n">
        <x:f>MAX(0,M139*'17_Gia_dinh_mo_hinh'!$S$6)</x:f>
        <x:v>0</x:v>
      </x:c>
      <x:c r="O139" s="62" t="n">
        <x:f>M139-N139</x:f>
        <x:v>-25.617441978044752</x:v>
      </x:c>
      <x:c r="P139" s="62" t="n">
        <x:f>F139-K139-I139-J139-N139-L139</x:f>
        <x:v>71.51589135528857</x:v>
      </x:c>
      <x:c r="Q139" s="62" t="n">
        <x:f>MIN(MAX(0,-(T138+P139)),MAX(0,'17_Gia_dinh_mo_hinh'!$R$6-S138))</x:f>
        <x:v>0</x:v>
      </x:c>
      <x:c r="R139" s="62" t="n">
        <x:f>MIN(MAX(0,T138+P139+Q139),S138+Q139)</x:f>
        <x:v>71.51589135528857</x:v>
      </x:c>
      <x:c r="S139" s="62" t="n">
        <x:f>S138+Q139-R139</x:f>
        <x:v>3164.3715163977326</x:v>
      </x:c>
      <x:c r="T139" s="62" t="n">
        <x:f>MAX(0,T138+P139+Q139-R139)</x:f>
        <x:v>0</x:v>
      </x:c>
      <x:c r="U139" s="62" t="n">
        <x:f>MAX(0,-(T138+P139)-MAX(0,'17_Gia_dinh_mo_hinh'!$R$6-S138))</x:f>
        <x:v>0</x:v>
      </x:c>
      <x:c r="V139" s="61" t="str">
        <x:f>IF(B139&lt;'17_Gia_dinh_mo_hinh'!$F$6+D139,"Trước mở bán",IF(B139&lt;'17_Gia_dinh_mo_hinh'!$H$6+D139,"Bán hàng/thi công",IF(G139&gt;0,"Ghi nhận/bàn giao","Hậu bàn giao")))</x:f>
        <x:v>Bán hàng/thi công</x:v>
      </x:c>
    </x:row>
    <x:row r="140">
      <x:c r="A140" s="54" t="str">
        <x:v>DA03</x:v>
      </x:c>
      <x:c r="B140" s="54" t="n">
        <x:v>17</x:v>
      </x:c>
      <x:c r="C140" s="60" t="n">
        <x:f>EDATE('17_Gia_dinh_mo_hinh'!$C$6,B140-1)</x:f>
        <x:v>46722</x:v>
      </x:c>
      <x:c r="D140" s="61" t="n">
        <x:f>ROUNDUP('17_Gia_dinh_mo_hinh'!$E$6/30,0)</x:f>
        <x:v>1</x:v>
      </x:c>
      <x:c r="E140" s="62" t="n">
        <x:f>IF(AND(B140&gt;='17_Gia_dinh_mo_hinh'!$F$6+D140,B140&lt;'17_Gia_dinh_mo_hinh'!$F$6+D140+'17_Gia_dinh_mo_hinh'!$G$6),'17_Gia_dinh_mo_hinh'!$L$6*(1-'17_Gia_dinh_mo_hinh'!$M$6)/'17_Gia_dinh_mo_hinh'!$G$6,0)</x:f>
        <x:v>355.2</x:v>
      </x:c>
      <x:c r="F140" s="62" t="n">
        <x:f>0.70*E140+0.30*E139</x:f>
        <x:v>355.2</x:v>
      </x:c>
      <x:c r="G140" s="62" t="n">
        <x:f>IF(AND(B140&gt;='17_Gia_dinh_mo_hinh'!$H$6+D140,B140&lt;'17_Gia_dinh_mo_hinh'!$H$6+D140+'17_Gia_dinh_mo_hinh'!$I$6),'17_Gia_dinh_mo_hinh'!$L$6*(1-'17_Gia_dinh_mo_hinh'!$M$6)/'17_Gia_dinh_mo_hinh'!$I$6,0)</x:f>
        <x:v>0</x:v>
      </x:c>
      <x:c r="H140" s="62" t="n">
        <x:f>G140*(1-'17_Gia_dinh_mo_hinh'!$N$6)</x:f>
        <x:v>0</x:v>
      </x:c>
      <x:c r="I140" s="62" t="n">
        <x:f>G140*'17_Gia_dinh_mo_hinh'!$O$6</x:f>
        <x:v>0</x:v>
      </x:c>
      <x:c r="J140" s="62" t="n">
        <x:f>G140*'17_Gia_dinh_mo_hinh'!$P$6</x:f>
        <x:v>0</x:v>
      </x:c>
      <x:c r="K140" s="62" t="n">
        <x:f>IF(B140&lt;='17_Gia_dinh_mo_hinh'!$J$6,'17_Gia_dinh_mo_hinh'!$K$6*(1-MIN(0.95,'17_Gia_dinh_mo_hinh'!$M$6*0.75))/'17_Gia_dinh_mo_hinh'!$J$6,0)</x:f>
        <x:v>258.06666666666666</x:v>
      </x:c>
      <x:c r="L140" s="62" t="n">
        <x:f>S139*'17_Gia_dinh_mo_hinh'!$Q$6/12</x:f>
        <x:v>25.05127450481538</x:v>
      </x:c>
      <x:c r="M140" s="62" t="n">
        <x:f>G140-H140-I140-J140-L140</x:f>
        <x:v>-25.05127450481538</x:v>
      </x:c>
      <x:c r="N140" s="62" t="n">
        <x:f>MAX(0,M140*'17_Gia_dinh_mo_hinh'!$S$6)</x:f>
        <x:v>0</x:v>
      </x:c>
      <x:c r="O140" s="62" t="n">
        <x:f>M140-N140</x:f>
        <x:v>-25.05127450481538</x:v>
      </x:c>
      <x:c r="P140" s="62" t="n">
        <x:f>F140-K140-I140-J140-N140-L140</x:f>
        <x:v>72.08205882851794</x:v>
      </x:c>
      <x:c r="Q140" s="62" t="n">
        <x:f>MIN(MAX(0,-(T139+P140)),MAX(0,'17_Gia_dinh_mo_hinh'!$R$6-S139))</x:f>
        <x:v>0</x:v>
      </x:c>
      <x:c r="R140" s="62" t="n">
        <x:f>MIN(MAX(0,T139+P140+Q140),S139+Q140)</x:f>
        <x:v>72.08205882851794</x:v>
      </x:c>
      <x:c r="S140" s="62" t="n">
        <x:f>S139+Q140-R140</x:f>
        <x:v>3092.289457569215</x:v>
      </x:c>
      <x:c r="T140" s="62" t="n">
        <x:f>MAX(0,T139+P140+Q140-R140)</x:f>
        <x:v>0</x:v>
      </x:c>
      <x:c r="U140" s="62" t="n">
        <x:f>MAX(0,-(T139+P140)-MAX(0,'17_Gia_dinh_mo_hinh'!$R$6-S139))</x:f>
        <x:v>0</x:v>
      </x:c>
      <x:c r="V140" s="61" t="str">
        <x:f>IF(B140&lt;'17_Gia_dinh_mo_hinh'!$F$6+D140,"Trước mở bán",IF(B140&lt;'17_Gia_dinh_mo_hinh'!$H$6+D140,"Bán hàng/thi công",IF(G140&gt;0,"Ghi nhận/bàn giao","Hậu bàn giao")))</x:f>
        <x:v>Bán hàng/thi công</x:v>
      </x:c>
    </x:row>
    <x:row r="141">
      <x:c r="A141" s="54" t="str">
        <x:v>DA03</x:v>
      </x:c>
      <x:c r="B141" s="54" t="n">
        <x:v>18</x:v>
      </x:c>
      <x:c r="C141" s="60" t="n">
        <x:f>EDATE('17_Gia_dinh_mo_hinh'!$C$6,B141-1)</x:f>
        <x:v>46753</x:v>
      </x:c>
      <x:c r="D141" s="61" t="n">
        <x:f>ROUNDUP('17_Gia_dinh_mo_hinh'!$E$6/30,0)</x:f>
        <x:v>1</x:v>
      </x:c>
      <x:c r="E141" s="62" t="n">
        <x:f>IF(AND(B141&gt;='17_Gia_dinh_mo_hinh'!$F$6+D141,B141&lt;'17_Gia_dinh_mo_hinh'!$F$6+D141+'17_Gia_dinh_mo_hinh'!$G$6),'17_Gia_dinh_mo_hinh'!$L$6*(1-'17_Gia_dinh_mo_hinh'!$M$6)/'17_Gia_dinh_mo_hinh'!$G$6,0)</x:f>
        <x:v>355.2</x:v>
      </x:c>
      <x:c r="F141" s="62" t="n">
        <x:f>0.70*E141+0.30*E140</x:f>
        <x:v>355.2</x:v>
      </x:c>
      <x:c r="G141" s="62" t="n">
        <x:f>IF(AND(B141&gt;='17_Gia_dinh_mo_hinh'!$H$6+D141,B141&lt;'17_Gia_dinh_mo_hinh'!$H$6+D141+'17_Gia_dinh_mo_hinh'!$I$6),'17_Gia_dinh_mo_hinh'!$L$6*(1-'17_Gia_dinh_mo_hinh'!$M$6)/'17_Gia_dinh_mo_hinh'!$I$6,0)</x:f>
        <x:v>0</x:v>
      </x:c>
      <x:c r="H141" s="62" t="n">
        <x:f>G141*(1-'17_Gia_dinh_mo_hinh'!$N$6)</x:f>
        <x:v>0</x:v>
      </x:c>
      <x:c r="I141" s="62" t="n">
        <x:f>G141*'17_Gia_dinh_mo_hinh'!$O$6</x:f>
        <x:v>0</x:v>
      </x:c>
      <x:c r="J141" s="62" t="n">
        <x:f>G141*'17_Gia_dinh_mo_hinh'!$P$6</x:f>
        <x:v>0</x:v>
      </x:c>
      <x:c r="K141" s="62" t="n">
        <x:f>IF(B141&lt;='17_Gia_dinh_mo_hinh'!$J$6,'17_Gia_dinh_mo_hinh'!$K$6*(1-MIN(0.95,'17_Gia_dinh_mo_hinh'!$M$6*0.75))/'17_Gia_dinh_mo_hinh'!$J$6,0)</x:f>
        <x:v>258.06666666666666</x:v>
      </x:c>
      <x:c r="L141" s="62" t="n">
        <x:f>S140*'17_Gia_dinh_mo_hinh'!$Q$6/12</x:f>
        <x:v>24.48062487242295</x:v>
      </x:c>
      <x:c r="M141" s="62" t="n">
        <x:f>G141-H141-I141-J141-L141</x:f>
        <x:v>-24.48062487242295</x:v>
      </x:c>
      <x:c r="N141" s="62" t="n">
        <x:f>MAX(0,M141*'17_Gia_dinh_mo_hinh'!$S$6)</x:f>
        <x:v>0</x:v>
      </x:c>
      <x:c r="O141" s="62" t="n">
        <x:f>M141-N141</x:f>
        <x:v>-24.48062487242295</x:v>
      </x:c>
      <x:c r="P141" s="62" t="n">
        <x:f>F141-K141-I141-J141-N141-L141</x:f>
        <x:v>72.65270846091038</x:v>
      </x:c>
      <x:c r="Q141" s="62" t="n">
        <x:f>MIN(MAX(0,-(T140+P141)),MAX(0,'17_Gia_dinh_mo_hinh'!$R$6-S140))</x:f>
        <x:v>0</x:v>
      </x:c>
      <x:c r="R141" s="62" t="n">
        <x:f>MIN(MAX(0,T140+P141+Q141),S140+Q141)</x:f>
        <x:v>72.65270846091038</x:v>
      </x:c>
      <x:c r="S141" s="62" t="n">
        <x:f>S140+Q141-R141</x:f>
        <x:v>3019.6367491083047</x:v>
      </x:c>
      <x:c r="T141" s="62" t="n">
        <x:f>MAX(0,T140+P141+Q141-R141)</x:f>
        <x:v>0</x:v>
      </x:c>
      <x:c r="U141" s="62" t="n">
        <x:f>MAX(0,-(T140+P141)-MAX(0,'17_Gia_dinh_mo_hinh'!$R$6-S140))</x:f>
        <x:v>0</x:v>
      </x:c>
      <x:c r="V141" s="61" t="str">
        <x:f>IF(B141&lt;'17_Gia_dinh_mo_hinh'!$F$6+D141,"Trước mở bán",IF(B141&lt;'17_Gia_dinh_mo_hinh'!$H$6+D141,"Bán hàng/thi công",IF(G141&gt;0,"Ghi nhận/bàn giao","Hậu bàn giao")))</x:f>
        <x:v>Bán hàng/thi công</x:v>
      </x:c>
    </x:row>
    <x:row r="142">
      <x:c r="A142" s="54" t="str">
        <x:v>DA03</x:v>
      </x:c>
      <x:c r="B142" s="54" t="n">
        <x:v>19</x:v>
      </x:c>
      <x:c r="C142" s="60" t="n">
        <x:f>EDATE('17_Gia_dinh_mo_hinh'!$C$6,B142-1)</x:f>
        <x:v>46784</x:v>
      </x:c>
      <x:c r="D142" s="61" t="n">
        <x:f>ROUNDUP('17_Gia_dinh_mo_hinh'!$E$6/30,0)</x:f>
        <x:v>1</x:v>
      </x:c>
      <x:c r="E142" s="62" t="n">
        <x:f>IF(AND(B142&gt;='17_Gia_dinh_mo_hinh'!$F$6+D142,B142&lt;'17_Gia_dinh_mo_hinh'!$F$6+D142+'17_Gia_dinh_mo_hinh'!$G$6),'17_Gia_dinh_mo_hinh'!$L$6*(1-'17_Gia_dinh_mo_hinh'!$M$6)/'17_Gia_dinh_mo_hinh'!$G$6,0)</x:f>
        <x:v>355.2</x:v>
      </x:c>
      <x:c r="F142" s="62" t="n">
        <x:f>0.70*E142+0.30*E141</x:f>
        <x:v>355.2</x:v>
      </x:c>
      <x:c r="G142" s="62" t="n">
        <x:f>IF(AND(B142&gt;='17_Gia_dinh_mo_hinh'!$H$6+D142,B142&lt;'17_Gia_dinh_mo_hinh'!$H$6+D142+'17_Gia_dinh_mo_hinh'!$I$6),'17_Gia_dinh_mo_hinh'!$L$6*(1-'17_Gia_dinh_mo_hinh'!$M$6)/'17_Gia_dinh_mo_hinh'!$I$6,0)</x:f>
        <x:v>0</x:v>
      </x:c>
      <x:c r="H142" s="62" t="n">
        <x:f>G142*(1-'17_Gia_dinh_mo_hinh'!$N$6)</x:f>
        <x:v>0</x:v>
      </x:c>
      <x:c r="I142" s="62" t="n">
        <x:f>G142*'17_Gia_dinh_mo_hinh'!$O$6</x:f>
        <x:v>0</x:v>
      </x:c>
      <x:c r="J142" s="62" t="n">
        <x:f>G142*'17_Gia_dinh_mo_hinh'!$P$6</x:f>
        <x:v>0</x:v>
      </x:c>
      <x:c r="K142" s="62" t="n">
        <x:f>IF(B142&lt;='17_Gia_dinh_mo_hinh'!$J$6,'17_Gia_dinh_mo_hinh'!$K$6*(1-MIN(0.95,'17_Gia_dinh_mo_hinh'!$M$6*0.75))/'17_Gia_dinh_mo_hinh'!$J$6,0)</x:f>
        <x:v>258.06666666666666</x:v>
      </x:c>
      <x:c r="L142" s="62" t="n">
        <x:f>S141*'17_Gia_dinh_mo_hinh'!$Q$6/12</x:f>
        <x:v>23.905457597107414</x:v>
      </x:c>
      <x:c r="M142" s="62" t="n">
        <x:f>G142-H142-I142-J142-L142</x:f>
        <x:v>-23.905457597107414</x:v>
      </x:c>
      <x:c r="N142" s="62" t="n">
        <x:f>MAX(0,M142*'17_Gia_dinh_mo_hinh'!$S$6)</x:f>
        <x:v>0</x:v>
      </x:c>
      <x:c r="O142" s="62" t="n">
        <x:f>M142-N142</x:f>
        <x:v>-23.905457597107414</x:v>
      </x:c>
      <x:c r="P142" s="62" t="n">
        <x:f>F142-K142-I142-J142-N142-L142</x:f>
        <x:v>73.22787573622591</x:v>
      </x:c>
      <x:c r="Q142" s="62" t="n">
        <x:f>MIN(MAX(0,-(T141+P142)),MAX(0,'17_Gia_dinh_mo_hinh'!$R$6-S141))</x:f>
        <x:v>0</x:v>
      </x:c>
      <x:c r="R142" s="62" t="n">
        <x:f>MIN(MAX(0,T141+P142+Q142),S141+Q142)</x:f>
        <x:v>73.22787573622591</x:v>
      </x:c>
      <x:c r="S142" s="62" t="n">
        <x:f>S141+Q142-R142</x:f>
        <x:v>2946.4088733720787</x:v>
      </x:c>
      <x:c r="T142" s="62" t="n">
        <x:f>MAX(0,T141+P142+Q142-R142)</x:f>
        <x:v>0</x:v>
      </x:c>
      <x:c r="U142" s="62" t="n">
        <x:f>MAX(0,-(T141+P142)-MAX(0,'17_Gia_dinh_mo_hinh'!$R$6-S141))</x:f>
        <x:v>0</x:v>
      </x:c>
      <x:c r="V142" s="61" t="str">
        <x:f>IF(B142&lt;'17_Gia_dinh_mo_hinh'!$F$6+D142,"Trước mở bán",IF(B142&lt;'17_Gia_dinh_mo_hinh'!$H$6+D142,"Bán hàng/thi công",IF(G142&gt;0,"Ghi nhận/bàn giao","Hậu bàn giao")))</x:f>
        <x:v>Bán hàng/thi công</x:v>
      </x:c>
    </x:row>
    <x:row r="143">
      <x:c r="A143" s="54" t="str">
        <x:v>DA03</x:v>
      </x:c>
      <x:c r="B143" s="54" t="n">
        <x:v>20</x:v>
      </x:c>
      <x:c r="C143" s="60" t="n">
        <x:f>EDATE('17_Gia_dinh_mo_hinh'!$C$6,B143-1)</x:f>
        <x:v>46813</x:v>
      </x:c>
      <x:c r="D143" s="61" t="n">
        <x:f>ROUNDUP('17_Gia_dinh_mo_hinh'!$E$6/30,0)</x:f>
        <x:v>1</x:v>
      </x:c>
      <x:c r="E143" s="62" t="n">
        <x:f>IF(AND(B143&gt;='17_Gia_dinh_mo_hinh'!$F$6+D143,B143&lt;'17_Gia_dinh_mo_hinh'!$F$6+D143+'17_Gia_dinh_mo_hinh'!$G$6),'17_Gia_dinh_mo_hinh'!$L$6*(1-'17_Gia_dinh_mo_hinh'!$M$6)/'17_Gia_dinh_mo_hinh'!$G$6,0)</x:f>
        <x:v>355.2</x:v>
      </x:c>
      <x:c r="F143" s="62" t="n">
        <x:f>0.70*E143+0.30*E142</x:f>
        <x:v>355.2</x:v>
      </x:c>
      <x:c r="G143" s="62" t="n">
        <x:f>IF(AND(B143&gt;='17_Gia_dinh_mo_hinh'!$H$6+D143,B143&lt;'17_Gia_dinh_mo_hinh'!$H$6+D143+'17_Gia_dinh_mo_hinh'!$I$6),'17_Gia_dinh_mo_hinh'!$L$6*(1-'17_Gia_dinh_mo_hinh'!$M$6)/'17_Gia_dinh_mo_hinh'!$I$6,0)</x:f>
        <x:v>0</x:v>
      </x:c>
      <x:c r="H143" s="62" t="n">
        <x:f>G143*(1-'17_Gia_dinh_mo_hinh'!$N$6)</x:f>
        <x:v>0</x:v>
      </x:c>
      <x:c r="I143" s="62" t="n">
        <x:f>G143*'17_Gia_dinh_mo_hinh'!$O$6</x:f>
        <x:v>0</x:v>
      </x:c>
      <x:c r="J143" s="62" t="n">
        <x:f>G143*'17_Gia_dinh_mo_hinh'!$P$6</x:f>
        <x:v>0</x:v>
      </x:c>
      <x:c r="K143" s="62" t="n">
        <x:f>IF(B143&lt;='17_Gia_dinh_mo_hinh'!$J$6,'17_Gia_dinh_mo_hinh'!$K$6*(1-MIN(0.95,'17_Gia_dinh_mo_hinh'!$M$6*0.75))/'17_Gia_dinh_mo_hinh'!$J$6,0)</x:f>
        <x:v>258.06666666666666</x:v>
      </x:c>
      <x:c r="L143" s="62" t="n">
        <x:f>S142*'17_Gia_dinh_mo_hinh'!$Q$6/12</x:f>
        <x:v>23.32573691419562</x:v>
      </x:c>
      <x:c r="M143" s="62" t="n">
        <x:f>G143-H143-I143-J143-L143</x:f>
        <x:v>-23.32573691419562</x:v>
      </x:c>
      <x:c r="N143" s="62" t="n">
        <x:f>MAX(0,M143*'17_Gia_dinh_mo_hinh'!$S$6)</x:f>
        <x:v>0</x:v>
      </x:c>
      <x:c r="O143" s="62" t="n">
        <x:f>M143-N143</x:f>
        <x:v>-23.32573691419562</x:v>
      </x:c>
      <x:c r="P143" s="62" t="n">
        <x:f>F143-K143-I143-J143-N143-L143</x:f>
        <x:v>73.80759641913771</x:v>
      </x:c>
      <x:c r="Q143" s="62" t="n">
        <x:f>MIN(MAX(0,-(T142+P143)),MAX(0,'17_Gia_dinh_mo_hinh'!$R$6-S142))</x:f>
        <x:v>0</x:v>
      </x:c>
      <x:c r="R143" s="62" t="n">
        <x:f>MIN(MAX(0,T142+P143+Q143),S142+Q143)</x:f>
        <x:v>73.80759641913771</x:v>
      </x:c>
      <x:c r="S143" s="62" t="n">
        <x:f>S142+Q143-R143</x:f>
        <x:v>2872.601276952941</x:v>
      </x:c>
      <x:c r="T143" s="62" t="n">
        <x:f>MAX(0,T142+P143+Q143-R143)</x:f>
        <x:v>0</x:v>
      </x:c>
      <x:c r="U143" s="62" t="n">
        <x:f>MAX(0,-(T142+P143)-MAX(0,'17_Gia_dinh_mo_hinh'!$R$6-S142))</x:f>
        <x:v>0</x:v>
      </x:c>
      <x:c r="V143" s="61" t="str">
        <x:f>IF(B143&lt;'17_Gia_dinh_mo_hinh'!$F$6+D143,"Trước mở bán",IF(B143&lt;'17_Gia_dinh_mo_hinh'!$H$6+D143,"Bán hàng/thi công",IF(G143&gt;0,"Ghi nhận/bàn giao","Hậu bàn giao")))</x:f>
        <x:v>Bán hàng/thi công</x:v>
      </x:c>
    </x:row>
    <x:row r="144">
      <x:c r="A144" s="54" t="str">
        <x:v>DA03</x:v>
      </x:c>
      <x:c r="B144" s="54" t="n">
        <x:v>21</x:v>
      </x:c>
      <x:c r="C144" s="60" t="n">
        <x:f>EDATE('17_Gia_dinh_mo_hinh'!$C$6,B144-1)</x:f>
        <x:v>46844</x:v>
      </x:c>
      <x:c r="D144" s="61" t="n">
        <x:f>ROUNDUP('17_Gia_dinh_mo_hinh'!$E$6/30,0)</x:f>
        <x:v>1</x:v>
      </x:c>
      <x:c r="E144" s="62" t="n">
        <x:f>IF(AND(B144&gt;='17_Gia_dinh_mo_hinh'!$F$6+D144,B144&lt;'17_Gia_dinh_mo_hinh'!$F$6+D144+'17_Gia_dinh_mo_hinh'!$G$6),'17_Gia_dinh_mo_hinh'!$L$6*(1-'17_Gia_dinh_mo_hinh'!$M$6)/'17_Gia_dinh_mo_hinh'!$G$6,0)</x:f>
        <x:v>355.2</x:v>
      </x:c>
      <x:c r="F144" s="62" t="n">
        <x:f>0.70*E144+0.30*E143</x:f>
        <x:v>355.2</x:v>
      </x:c>
      <x:c r="G144" s="62" t="n">
        <x:f>IF(AND(B144&gt;='17_Gia_dinh_mo_hinh'!$H$6+D144,B144&lt;'17_Gia_dinh_mo_hinh'!$H$6+D144+'17_Gia_dinh_mo_hinh'!$I$6),'17_Gia_dinh_mo_hinh'!$L$6*(1-'17_Gia_dinh_mo_hinh'!$M$6)/'17_Gia_dinh_mo_hinh'!$I$6,0)</x:f>
        <x:v>532.8</x:v>
      </x:c>
      <x:c r="H144" s="62" t="n">
        <x:f>G144*(1-'17_Gia_dinh_mo_hinh'!$N$6)</x:f>
        <x:v>372.9599999999999</x:v>
      </x:c>
      <x:c r="I144" s="62" t="n">
        <x:f>G144*'17_Gia_dinh_mo_hinh'!$O$6</x:f>
        <x:v>18.648</x:v>
      </x:c>
      <x:c r="J144" s="62" t="n">
        <x:f>G144*'17_Gia_dinh_mo_hinh'!$P$6</x:f>
        <x:v>11.721599999999999</x:v>
      </x:c>
      <x:c r="K144" s="62" t="n">
        <x:f>IF(B144&lt;='17_Gia_dinh_mo_hinh'!$J$6,'17_Gia_dinh_mo_hinh'!$K$6*(1-MIN(0.95,'17_Gia_dinh_mo_hinh'!$M$6*0.75))/'17_Gia_dinh_mo_hinh'!$J$6,0)</x:f>
        <x:v>258.06666666666666</x:v>
      </x:c>
      <x:c r="L144" s="62" t="n">
        <x:f>S143*'17_Gia_dinh_mo_hinh'!$Q$6/12</x:f>
        <x:v>22.741426775877454</x:v>
      </x:c>
      <x:c r="M144" s="62" t="n">
        <x:f>G144-H144-I144-J144-L144</x:f>
        <x:v>106.72897322412258</x:v>
      </x:c>
      <x:c r="N144" s="62" t="n">
        <x:f>MAX(0,M144*'17_Gia_dinh_mo_hinh'!$S$6)</x:f>
        <x:v>21.34579464482452</x:v>
      </x:c>
      <x:c r="O144" s="62" t="n">
        <x:f>M144-N144</x:f>
        <x:v>85.38317857929806</x:v>
      </x:c>
      <x:c r="P144" s="62" t="n">
        <x:f>F144-K144-I144-J144-N144-L144</x:f>
        <x:v>22.67651191263136</x:v>
      </x:c>
      <x:c r="Q144" s="62" t="n">
        <x:f>MIN(MAX(0,-(T143+P144)),MAX(0,'17_Gia_dinh_mo_hinh'!$R$6-S143))</x:f>
        <x:v>0</x:v>
      </x:c>
      <x:c r="R144" s="62" t="n">
        <x:f>MIN(MAX(0,T143+P144+Q144),S143+Q144)</x:f>
        <x:v>22.67651191263136</x:v>
      </x:c>
      <x:c r="S144" s="62" t="n">
        <x:f>S143+Q144-R144</x:f>
        <x:v>2849.92476504031</x:v>
      </x:c>
      <x:c r="T144" s="62" t="n">
        <x:f>MAX(0,T143+P144+Q144-R144)</x:f>
        <x:v>0</x:v>
      </x:c>
      <x:c r="U144" s="62" t="n">
        <x:f>MAX(0,-(T143+P144)-MAX(0,'17_Gia_dinh_mo_hinh'!$R$6-S143))</x:f>
        <x:v>0</x:v>
      </x:c>
      <x:c r="V144" s="61" t="str">
        <x:f>IF(B144&lt;'17_Gia_dinh_mo_hinh'!$F$6+D144,"Trước mở bán",IF(B144&lt;'17_Gia_dinh_mo_hinh'!$H$6+D144,"Bán hàng/thi công",IF(G144&gt;0,"Ghi nhận/bàn giao","Hậu bàn giao")))</x:f>
        <x:v>Ghi nhận/bàn giao</x:v>
      </x:c>
    </x:row>
    <x:row r="145">
      <x:c r="A145" s="54" t="str">
        <x:v>DA03</x:v>
      </x:c>
      <x:c r="B145" s="54" t="n">
        <x:v>22</x:v>
      </x:c>
      <x:c r="C145" s="60" t="n">
        <x:f>EDATE('17_Gia_dinh_mo_hinh'!$C$6,B145-1)</x:f>
        <x:v>46874</x:v>
      </x:c>
      <x:c r="D145" s="61" t="n">
        <x:f>ROUNDUP('17_Gia_dinh_mo_hinh'!$E$6/30,0)</x:f>
        <x:v>1</x:v>
      </x:c>
      <x:c r="E145" s="62" t="n">
        <x:f>IF(AND(B145&gt;='17_Gia_dinh_mo_hinh'!$F$6+D145,B145&lt;'17_Gia_dinh_mo_hinh'!$F$6+D145+'17_Gia_dinh_mo_hinh'!$G$6),'17_Gia_dinh_mo_hinh'!$L$6*(1-'17_Gia_dinh_mo_hinh'!$M$6)/'17_Gia_dinh_mo_hinh'!$G$6,0)</x:f>
        <x:v>355.2</x:v>
      </x:c>
      <x:c r="F145" s="62" t="n">
        <x:f>0.70*E145+0.30*E144</x:f>
        <x:v>355.2</x:v>
      </x:c>
      <x:c r="G145" s="62" t="n">
        <x:f>IF(AND(B145&gt;='17_Gia_dinh_mo_hinh'!$H$6+D145,B145&lt;'17_Gia_dinh_mo_hinh'!$H$6+D145+'17_Gia_dinh_mo_hinh'!$I$6),'17_Gia_dinh_mo_hinh'!$L$6*(1-'17_Gia_dinh_mo_hinh'!$M$6)/'17_Gia_dinh_mo_hinh'!$I$6,0)</x:f>
        <x:v>532.8</x:v>
      </x:c>
      <x:c r="H145" s="62" t="n">
        <x:f>G145*(1-'17_Gia_dinh_mo_hinh'!$N$6)</x:f>
        <x:v>372.9599999999999</x:v>
      </x:c>
      <x:c r="I145" s="62" t="n">
        <x:f>G145*'17_Gia_dinh_mo_hinh'!$O$6</x:f>
        <x:v>18.648</x:v>
      </x:c>
      <x:c r="J145" s="62" t="n">
        <x:f>G145*'17_Gia_dinh_mo_hinh'!$P$6</x:f>
        <x:v>11.721599999999999</x:v>
      </x:c>
      <x:c r="K145" s="62" t="n">
        <x:f>IF(B145&lt;='17_Gia_dinh_mo_hinh'!$J$6,'17_Gia_dinh_mo_hinh'!$K$6*(1-MIN(0.95,'17_Gia_dinh_mo_hinh'!$M$6*0.75))/'17_Gia_dinh_mo_hinh'!$J$6,0)</x:f>
        <x:v>258.06666666666666</x:v>
      </x:c>
      <x:c r="L145" s="62" t="n">
        <x:f>S144*'17_Gia_dinh_mo_hinh'!$Q$6/12</x:f>
        <x:v>22.561904389902452</x:v>
      </x:c>
      <x:c r="M145" s="62" t="n">
        <x:f>G145-H145-I145-J145-L145</x:f>
        <x:v>106.90849561009759</x:v>
      </x:c>
      <x:c r="N145" s="62" t="n">
        <x:f>MAX(0,M145*'17_Gia_dinh_mo_hinh'!$S$6)</x:f>
        <x:v>21.38169912201952</x:v>
      </x:c>
      <x:c r="O145" s="62" t="n">
        <x:f>M145-N145</x:f>
        <x:v>85.52679648807808</x:v>
      </x:c>
      <x:c r="P145" s="62" t="n">
        <x:f>F145-K145-I145-J145-N145-L145</x:f>
        <x:v>22.820129821411363</x:v>
      </x:c>
      <x:c r="Q145" s="62" t="n">
        <x:f>MIN(MAX(0,-(T144+P145)),MAX(0,'17_Gia_dinh_mo_hinh'!$R$6-S144))</x:f>
        <x:v>0</x:v>
      </x:c>
      <x:c r="R145" s="62" t="n">
        <x:f>MIN(MAX(0,T144+P145+Q145),S144+Q145)</x:f>
        <x:v>22.820129821411363</x:v>
      </x:c>
      <x:c r="S145" s="62" t="n">
        <x:f>S144+Q145-R145</x:f>
        <x:v>2827.1046352188987</x:v>
      </x:c>
      <x:c r="T145" s="62" t="n">
        <x:f>MAX(0,T144+P145+Q145-R145)</x:f>
        <x:v>0</x:v>
      </x:c>
      <x:c r="U145" s="62" t="n">
        <x:f>MAX(0,-(T144+P145)-MAX(0,'17_Gia_dinh_mo_hinh'!$R$6-S144))</x:f>
        <x:v>0</x:v>
      </x:c>
      <x:c r="V145" s="61" t="str">
        <x:f>IF(B145&lt;'17_Gia_dinh_mo_hinh'!$F$6+D145,"Trước mở bán",IF(B145&lt;'17_Gia_dinh_mo_hinh'!$H$6+D145,"Bán hàng/thi công",IF(G145&gt;0,"Ghi nhận/bàn giao","Hậu bàn giao")))</x:f>
        <x:v>Ghi nhận/bàn giao</x:v>
      </x:c>
    </x:row>
    <x:row r="146">
      <x:c r="A146" s="54" t="str">
        <x:v>DA03</x:v>
      </x:c>
      <x:c r="B146" s="54" t="n">
        <x:v>23</x:v>
      </x:c>
      <x:c r="C146" s="60" t="n">
        <x:f>EDATE('17_Gia_dinh_mo_hinh'!$C$6,B146-1)</x:f>
        <x:v>46905</x:v>
      </x:c>
      <x:c r="D146" s="61" t="n">
        <x:f>ROUNDUP('17_Gia_dinh_mo_hinh'!$E$6/30,0)</x:f>
        <x:v>1</x:v>
      </x:c>
      <x:c r="E146" s="62" t="n">
        <x:f>IF(AND(B146&gt;='17_Gia_dinh_mo_hinh'!$F$6+D146,B146&lt;'17_Gia_dinh_mo_hinh'!$F$6+D146+'17_Gia_dinh_mo_hinh'!$G$6),'17_Gia_dinh_mo_hinh'!$L$6*(1-'17_Gia_dinh_mo_hinh'!$M$6)/'17_Gia_dinh_mo_hinh'!$G$6,0)</x:f>
        <x:v>355.2</x:v>
      </x:c>
      <x:c r="F146" s="62" t="n">
        <x:f>0.70*E146+0.30*E145</x:f>
        <x:v>355.2</x:v>
      </x:c>
      <x:c r="G146" s="62" t="n">
        <x:f>IF(AND(B146&gt;='17_Gia_dinh_mo_hinh'!$H$6+D146,B146&lt;'17_Gia_dinh_mo_hinh'!$H$6+D146+'17_Gia_dinh_mo_hinh'!$I$6),'17_Gia_dinh_mo_hinh'!$L$6*(1-'17_Gia_dinh_mo_hinh'!$M$6)/'17_Gia_dinh_mo_hinh'!$I$6,0)</x:f>
        <x:v>532.8</x:v>
      </x:c>
      <x:c r="H146" s="62" t="n">
        <x:f>G146*(1-'17_Gia_dinh_mo_hinh'!$N$6)</x:f>
        <x:v>372.9599999999999</x:v>
      </x:c>
      <x:c r="I146" s="62" t="n">
        <x:f>G146*'17_Gia_dinh_mo_hinh'!$O$6</x:f>
        <x:v>18.648</x:v>
      </x:c>
      <x:c r="J146" s="62" t="n">
        <x:f>G146*'17_Gia_dinh_mo_hinh'!$P$6</x:f>
        <x:v>11.721599999999999</x:v>
      </x:c>
      <x:c r="K146" s="62" t="n">
        <x:f>IF(B146&lt;='17_Gia_dinh_mo_hinh'!$J$6,'17_Gia_dinh_mo_hinh'!$K$6*(1-MIN(0.95,'17_Gia_dinh_mo_hinh'!$M$6*0.75))/'17_Gia_dinh_mo_hinh'!$J$6,0)</x:f>
        <x:v>258.06666666666666</x:v>
      </x:c>
      <x:c r="L146" s="62" t="n">
        <x:f>S145*'17_Gia_dinh_mo_hinh'!$Q$6/12</x:f>
        <x:v>22.38124502881628</x:v>
      </x:c>
      <x:c r="M146" s="62" t="n">
        <x:f>G146-H146-I146-J146-L146</x:f>
        <x:v>107.08915497118376</x:v>
      </x:c>
      <x:c r="N146" s="62" t="n">
        <x:f>MAX(0,M146*'17_Gia_dinh_mo_hinh'!$S$6)</x:f>
        <x:v>21.417830994236752</x:v>
      </x:c>
      <x:c r="O146" s="62" t="n">
        <x:f>M146-N146</x:f>
        <x:v>85.67132397694701</x:v>
      </x:c>
      <x:c r="P146" s="62" t="n">
        <x:f>F146-K146-I146-J146-N146-L146</x:f>
        <x:v>22.9646573102803</x:v>
      </x:c>
      <x:c r="Q146" s="62" t="n">
        <x:f>MIN(MAX(0,-(T145+P146)),MAX(0,'17_Gia_dinh_mo_hinh'!$R$6-S145))</x:f>
        <x:v>0</x:v>
      </x:c>
      <x:c r="R146" s="62" t="n">
        <x:f>MIN(MAX(0,T145+P146+Q146),S145+Q146)</x:f>
        <x:v>22.9646573102803</x:v>
      </x:c>
      <x:c r="S146" s="62" t="n">
        <x:f>S145+Q146-R146</x:f>
        <x:v>2804.139977908618</x:v>
      </x:c>
      <x:c r="T146" s="62" t="n">
        <x:f>MAX(0,T145+P146+Q146-R146)</x:f>
        <x:v>0</x:v>
      </x:c>
      <x:c r="U146" s="62" t="n">
        <x:f>MAX(0,-(T145+P146)-MAX(0,'17_Gia_dinh_mo_hinh'!$R$6-S145))</x:f>
        <x:v>0</x:v>
      </x:c>
      <x:c r="V146" s="61" t="str">
        <x:f>IF(B146&lt;'17_Gia_dinh_mo_hinh'!$F$6+D146,"Trước mở bán",IF(B146&lt;'17_Gia_dinh_mo_hinh'!$H$6+D146,"Bán hàng/thi công",IF(G146&gt;0,"Ghi nhận/bàn giao","Hậu bàn giao")))</x:f>
        <x:v>Ghi nhận/bàn giao</x:v>
      </x:c>
    </x:row>
    <x:row r="147">
      <x:c r="A147" s="54" t="str">
        <x:v>DA03</x:v>
      </x:c>
      <x:c r="B147" s="54" t="n">
        <x:v>24</x:v>
      </x:c>
      <x:c r="C147" s="60" t="n">
        <x:f>EDATE('17_Gia_dinh_mo_hinh'!$C$6,B147-1)</x:f>
        <x:v>46935</x:v>
      </x:c>
      <x:c r="D147" s="61" t="n">
        <x:f>ROUNDUP('17_Gia_dinh_mo_hinh'!$E$6/30,0)</x:f>
        <x:v>1</x:v>
      </x:c>
      <x:c r="E147" s="62" t="n">
        <x:f>IF(AND(B147&gt;='17_Gia_dinh_mo_hinh'!$F$6+D147,B147&lt;'17_Gia_dinh_mo_hinh'!$F$6+D147+'17_Gia_dinh_mo_hinh'!$G$6),'17_Gia_dinh_mo_hinh'!$L$6*(1-'17_Gia_dinh_mo_hinh'!$M$6)/'17_Gia_dinh_mo_hinh'!$G$6,0)</x:f>
        <x:v>355.2</x:v>
      </x:c>
      <x:c r="F147" s="62" t="n">
        <x:f>0.70*E147+0.30*E146</x:f>
        <x:v>355.2</x:v>
      </x:c>
      <x:c r="G147" s="62" t="n">
        <x:f>IF(AND(B147&gt;='17_Gia_dinh_mo_hinh'!$H$6+D147,B147&lt;'17_Gia_dinh_mo_hinh'!$H$6+D147+'17_Gia_dinh_mo_hinh'!$I$6),'17_Gia_dinh_mo_hinh'!$L$6*(1-'17_Gia_dinh_mo_hinh'!$M$6)/'17_Gia_dinh_mo_hinh'!$I$6,0)</x:f>
        <x:v>532.8</x:v>
      </x:c>
      <x:c r="H147" s="62" t="n">
        <x:f>G147*(1-'17_Gia_dinh_mo_hinh'!$N$6)</x:f>
        <x:v>372.9599999999999</x:v>
      </x:c>
      <x:c r="I147" s="62" t="n">
        <x:f>G147*'17_Gia_dinh_mo_hinh'!$O$6</x:f>
        <x:v>18.648</x:v>
      </x:c>
      <x:c r="J147" s="62" t="n">
        <x:f>G147*'17_Gia_dinh_mo_hinh'!$P$6</x:f>
        <x:v>11.721599999999999</x:v>
      </x:c>
      <x:c r="K147" s="62" t="n">
        <x:f>IF(B147&lt;='17_Gia_dinh_mo_hinh'!$J$6,'17_Gia_dinh_mo_hinh'!$K$6*(1-MIN(0.95,'17_Gia_dinh_mo_hinh'!$M$6*0.75))/'17_Gia_dinh_mo_hinh'!$J$6,0)</x:f>
        <x:v>258.06666666666666</x:v>
      </x:c>
      <x:c r="L147" s="62" t="n">
        <x:f>S146*'17_Gia_dinh_mo_hinh'!$Q$6/12</x:f>
        <x:v>22.199441491776565</x:v>
      </x:c>
      <x:c r="M147" s="62" t="n">
        <x:f>G147-H147-I147-J147-L147</x:f>
        <x:v>107.27095850822347</x:v>
      </x:c>
      <x:c r="N147" s="62" t="n">
        <x:f>MAX(0,M147*'17_Gia_dinh_mo_hinh'!$S$6)</x:f>
        <x:v>21.454191701644696</x:v>
      </x:c>
      <x:c r="O147" s="62" t="n">
        <x:f>M147-N147</x:f>
        <x:v>85.81676680657878</x:v>
      </x:c>
      <x:c r="P147" s="62" t="n">
        <x:f>F147-K147-I147-J147-N147-L147</x:f>
        <x:v>23.110100139912074</x:v>
      </x:c>
      <x:c r="Q147" s="62" t="n">
        <x:f>MIN(MAX(0,-(T146+P147)),MAX(0,'17_Gia_dinh_mo_hinh'!$R$6-S146))</x:f>
        <x:v>0</x:v>
      </x:c>
      <x:c r="R147" s="62" t="n">
        <x:f>MIN(MAX(0,T146+P147+Q147),S146+Q147)</x:f>
        <x:v>23.110100139912074</x:v>
      </x:c>
      <x:c r="S147" s="62" t="n">
        <x:f>S146+Q147-R147</x:f>
        <x:v>2781.0298777687062</x:v>
      </x:c>
      <x:c r="T147" s="62" t="n">
        <x:f>MAX(0,T146+P147+Q147-R147)</x:f>
        <x:v>0</x:v>
      </x:c>
      <x:c r="U147" s="62" t="n">
        <x:f>MAX(0,-(T146+P147)-MAX(0,'17_Gia_dinh_mo_hinh'!$R$6-S146))</x:f>
        <x:v>0</x:v>
      </x:c>
      <x:c r="V147" s="61" t="str">
        <x:f>IF(B147&lt;'17_Gia_dinh_mo_hinh'!$F$6+D147,"Trước mở bán",IF(B147&lt;'17_Gia_dinh_mo_hinh'!$H$6+D147,"Bán hàng/thi công",IF(G147&gt;0,"Ghi nhận/bàn giao","Hậu bàn giao")))</x:f>
        <x:v>Ghi nhận/bàn giao</x:v>
      </x:c>
    </x:row>
    <x:row r="148">
      <x:c r="A148" s="54" t="str">
        <x:v>DA03</x:v>
      </x:c>
      <x:c r="B148" s="54" t="n">
        <x:v>25</x:v>
      </x:c>
      <x:c r="C148" s="60" t="n">
        <x:f>EDATE('17_Gia_dinh_mo_hinh'!$C$6,B148-1)</x:f>
        <x:v>46966</x:v>
      </x:c>
      <x:c r="D148" s="61" t="n">
        <x:f>ROUNDUP('17_Gia_dinh_mo_hinh'!$E$6/30,0)</x:f>
        <x:v>1</x:v>
      </x:c>
      <x:c r="E148" s="62" t="n">
        <x:f>IF(AND(B148&gt;='17_Gia_dinh_mo_hinh'!$F$6+D148,B148&lt;'17_Gia_dinh_mo_hinh'!$F$6+D148+'17_Gia_dinh_mo_hinh'!$G$6),'17_Gia_dinh_mo_hinh'!$L$6*(1-'17_Gia_dinh_mo_hinh'!$M$6)/'17_Gia_dinh_mo_hinh'!$G$6,0)</x:f>
        <x:v>355.2</x:v>
      </x:c>
      <x:c r="F148" s="62" t="n">
        <x:f>0.70*E148+0.30*E147</x:f>
        <x:v>355.2</x:v>
      </x:c>
      <x:c r="G148" s="62" t="n">
        <x:f>IF(AND(B148&gt;='17_Gia_dinh_mo_hinh'!$H$6+D148,B148&lt;'17_Gia_dinh_mo_hinh'!$H$6+D148+'17_Gia_dinh_mo_hinh'!$I$6),'17_Gia_dinh_mo_hinh'!$L$6*(1-'17_Gia_dinh_mo_hinh'!$M$6)/'17_Gia_dinh_mo_hinh'!$I$6,0)</x:f>
        <x:v>532.8</x:v>
      </x:c>
      <x:c r="H148" s="62" t="n">
        <x:f>G148*(1-'17_Gia_dinh_mo_hinh'!$N$6)</x:f>
        <x:v>372.9599999999999</x:v>
      </x:c>
      <x:c r="I148" s="62" t="n">
        <x:f>G148*'17_Gia_dinh_mo_hinh'!$O$6</x:f>
        <x:v>18.648</x:v>
      </x:c>
      <x:c r="J148" s="62" t="n">
        <x:f>G148*'17_Gia_dinh_mo_hinh'!$P$6</x:f>
        <x:v>11.721599999999999</x:v>
      </x:c>
      <x:c r="K148" s="62" t="n">
        <x:f>IF(B148&lt;='17_Gia_dinh_mo_hinh'!$J$6,'17_Gia_dinh_mo_hinh'!$K$6*(1-MIN(0.95,'17_Gia_dinh_mo_hinh'!$M$6*0.75))/'17_Gia_dinh_mo_hinh'!$J$6,0)</x:f>
        <x:v>258.06666666666666</x:v>
      </x:c>
      <x:c r="L148" s="62" t="n">
        <x:f>S147*'17_Gia_dinh_mo_hinh'!$Q$6/12</x:f>
        <x:v>22.01648653233559</x:v>
      </x:c>
      <x:c r="M148" s="62" t="n">
        <x:f>G148-H148-I148-J148-L148</x:f>
        <x:v>107.45391346766445</x:v>
      </x:c>
      <x:c r="N148" s="62" t="n">
        <x:f>MAX(0,M148*'17_Gia_dinh_mo_hinh'!$S$6)</x:f>
        <x:v>21.490782693532893</x:v>
      </x:c>
      <x:c r="O148" s="62" t="n">
        <x:f>M148-N148</x:f>
        <x:v>85.96313077413156</x:v>
      </x:c>
      <x:c r="P148" s="62" t="n">
        <x:f>F148-K148-I148-J148-N148-L148</x:f>
        <x:v>23.25646410746485</x:v>
      </x:c>
      <x:c r="Q148" s="62" t="n">
        <x:f>MIN(MAX(0,-(T147+P148)),MAX(0,'17_Gia_dinh_mo_hinh'!$R$6-S147))</x:f>
        <x:v>0</x:v>
      </x:c>
      <x:c r="R148" s="62" t="n">
        <x:f>MIN(MAX(0,T147+P148+Q148),S147+Q148)</x:f>
        <x:v>23.25646410746485</x:v>
      </x:c>
      <x:c r="S148" s="62" t="n">
        <x:f>S147+Q148-R148</x:f>
        <x:v>2757.773413661241</x:v>
      </x:c>
      <x:c r="T148" s="62" t="n">
        <x:f>MAX(0,T147+P148+Q148-R148)</x:f>
        <x:v>0</x:v>
      </x:c>
      <x:c r="U148" s="62" t="n">
        <x:f>MAX(0,-(T147+P148)-MAX(0,'17_Gia_dinh_mo_hinh'!$R$6-S147))</x:f>
        <x:v>0</x:v>
      </x:c>
      <x:c r="V148" s="61" t="str">
        <x:f>IF(B148&lt;'17_Gia_dinh_mo_hinh'!$F$6+D148,"Trước mở bán",IF(B148&lt;'17_Gia_dinh_mo_hinh'!$H$6+D148,"Bán hàng/thi công",IF(G148&gt;0,"Ghi nhận/bàn giao","Hậu bàn giao")))</x:f>
        <x:v>Ghi nhận/bàn giao</x:v>
      </x:c>
    </x:row>
    <x:row r="149">
      <x:c r="A149" s="54" t="str">
        <x:v>DA03</x:v>
      </x:c>
      <x:c r="B149" s="54" t="n">
        <x:v>26</x:v>
      </x:c>
      <x:c r="C149" s="60" t="n">
        <x:f>EDATE('17_Gia_dinh_mo_hinh'!$C$6,B149-1)</x:f>
        <x:v>46997</x:v>
      </x:c>
      <x:c r="D149" s="61" t="n">
        <x:f>ROUNDUP('17_Gia_dinh_mo_hinh'!$E$6/30,0)</x:f>
        <x:v>1</x:v>
      </x:c>
      <x:c r="E149" s="62" t="n">
        <x:f>IF(AND(B149&gt;='17_Gia_dinh_mo_hinh'!$F$6+D149,B149&lt;'17_Gia_dinh_mo_hinh'!$F$6+D149+'17_Gia_dinh_mo_hinh'!$G$6),'17_Gia_dinh_mo_hinh'!$L$6*(1-'17_Gia_dinh_mo_hinh'!$M$6)/'17_Gia_dinh_mo_hinh'!$G$6,0)</x:f>
        <x:v>355.2</x:v>
      </x:c>
      <x:c r="F149" s="62" t="n">
        <x:f>0.70*E149+0.30*E148</x:f>
        <x:v>355.2</x:v>
      </x:c>
      <x:c r="G149" s="62" t="n">
        <x:f>IF(AND(B149&gt;='17_Gia_dinh_mo_hinh'!$H$6+D149,B149&lt;'17_Gia_dinh_mo_hinh'!$H$6+D149+'17_Gia_dinh_mo_hinh'!$I$6),'17_Gia_dinh_mo_hinh'!$L$6*(1-'17_Gia_dinh_mo_hinh'!$M$6)/'17_Gia_dinh_mo_hinh'!$I$6,0)</x:f>
        <x:v>532.8</x:v>
      </x:c>
      <x:c r="H149" s="62" t="n">
        <x:f>G149*(1-'17_Gia_dinh_mo_hinh'!$N$6)</x:f>
        <x:v>372.9599999999999</x:v>
      </x:c>
      <x:c r="I149" s="62" t="n">
        <x:f>G149*'17_Gia_dinh_mo_hinh'!$O$6</x:f>
        <x:v>18.648</x:v>
      </x:c>
      <x:c r="J149" s="62" t="n">
        <x:f>G149*'17_Gia_dinh_mo_hinh'!$P$6</x:f>
        <x:v>11.721599999999999</x:v>
      </x:c>
      <x:c r="K149" s="62" t="n">
        <x:f>IF(B149&lt;='17_Gia_dinh_mo_hinh'!$J$6,'17_Gia_dinh_mo_hinh'!$K$6*(1-MIN(0.95,'17_Gia_dinh_mo_hinh'!$M$6*0.75))/'17_Gia_dinh_mo_hinh'!$J$6,0)</x:f>
        <x:v>258.06666666666666</x:v>
      </x:c>
      <x:c r="L149" s="62" t="n">
        <x:f>S148*'17_Gia_dinh_mo_hinh'!$Q$6/12</x:f>
        <x:v>21.83237285815149</x:v>
      </x:c>
      <x:c r="M149" s="62" t="n">
        <x:f>G149-H149-I149-J149-L149</x:f>
        <x:v>107.63802714184855</x:v>
      </x:c>
      <x:c r="N149" s="62" t="n">
        <x:f>MAX(0,M149*'17_Gia_dinh_mo_hinh'!$S$6)</x:f>
        <x:v>21.52760542836971</x:v>
      </x:c>
      <x:c r="O149" s="62" t="n">
        <x:f>M149-N149</x:f>
        <x:v>86.11042171347884</x:v>
      </x:c>
      <x:c r="P149" s="62" t="n">
        <x:f>F149-K149-I149-J149-N149-L149</x:f>
        <x:v>23.403755046812133</x:v>
      </x:c>
      <x:c r="Q149" s="62" t="n">
        <x:f>MIN(MAX(0,-(T148+P149)),MAX(0,'17_Gia_dinh_mo_hinh'!$R$6-S148))</x:f>
        <x:v>0</x:v>
      </x:c>
      <x:c r="R149" s="62" t="n">
        <x:f>MIN(MAX(0,T148+P149+Q149),S148+Q149)</x:f>
        <x:v>23.403755046812133</x:v>
      </x:c>
      <x:c r="S149" s="62" t="n">
        <x:f>S148+Q149-R149</x:f>
        <x:v>2734.369658614429</x:v>
      </x:c>
      <x:c r="T149" s="62" t="n">
        <x:f>MAX(0,T148+P149+Q149-R149)</x:f>
        <x:v>0</x:v>
      </x:c>
      <x:c r="U149" s="62" t="n">
        <x:f>MAX(0,-(T148+P149)-MAX(0,'17_Gia_dinh_mo_hinh'!$R$6-S148))</x:f>
        <x:v>0</x:v>
      </x:c>
      <x:c r="V149" s="61" t="str">
        <x:f>IF(B149&lt;'17_Gia_dinh_mo_hinh'!$F$6+D149,"Trước mở bán",IF(B149&lt;'17_Gia_dinh_mo_hinh'!$H$6+D149,"Bán hàng/thi công",IF(G149&gt;0,"Ghi nhận/bàn giao","Hậu bàn giao")))</x:f>
        <x:v>Ghi nhận/bàn giao</x:v>
      </x:c>
    </x:row>
    <x:row r="150">
      <x:c r="A150" s="54" t="str">
        <x:v>DA03</x:v>
      </x:c>
      <x:c r="B150" s="54" t="n">
        <x:v>27</x:v>
      </x:c>
      <x:c r="C150" s="60" t="n">
        <x:f>EDATE('17_Gia_dinh_mo_hinh'!$C$6,B150-1)</x:f>
        <x:v>47027</x:v>
      </x:c>
      <x:c r="D150" s="61" t="n">
        <x:f>ROUNDUP('17_Gia_dinh_mo_hinh'!$E$6/30,0)</x:f>
        <x:v>1</x:v>
      </x:c>
      <x:c r="E150" s="62" t="n">
        <x:f>IF(AND(B150&gt;='17_Gia_dinh_mo_hinh'!$F$6+D150,B150&lt;'17_Gia_dinh_mo_hinh'!$F$6+D150+'17_Gia_dinh_mo_hinh'!$G$6),'17_Gia_dinh_mo_hinh'!$L$6*(1-'17_Gia_dinh_mo_hinh'!$M$6)/'17_Gia_dinh_mo_hinh'!$G$6,0)</x:f>
        <x:v>355.2</x:v>
      </x:c>
      <x:c r="F150" s="62" t="n">
        <x:f>0.70*E150+0.30*E149</x:f>
        <x:v>355.2</x:v>
      </x:c>
      <x:c r="G150" s="62" t="n">
        <x:f>IF(AND(B150&gt;='17_Gia_dinh_mo_hinh'!$H$6+D150,B150&lt;'17_Gia_dinh_mo_hinh'!$H$6+D150+'17_Gia_dinh_mo_hinh'!$I$6),'17_Gia_dinh_mo_hinh'!$L$6*(1-'17_Gia_dinh_mo_hinh'!$M$6)/'17_Gia_dinh_mo_hinh'!$I$6,0)</x:f>
        <x:v>532.8</x:v>
      </x:c>
      <x:c r="H150" s="62" t="n">
        <x:f>G150*(1-'17_Gia_dinh_mo_hinh'!$N$6)</x:f>
        <x:v>372.9599999999999</x:v>
      </x:c>
      <x:c r="I150" s="62" t="n">
        <x:f>G150*'17_Gia_dinh_mo_hinh'!$O$6</x:f>
        <x:v>18.648</x:v>
      </x:c>
      <x:c r="J150" s="62" t="n">
        <x:f>G150*'17_Gia_dinh_mo_hinh'!$P$6</x:f>
        <x:v>11.721599999999999</x:v>
      </x:c>
      <x:c r="K150" s="62" t="n">
        <x:f>IF(B150&lt;='17_Gia_dinh_mo_hinh'!$J$6,'17_Gia_dinh_mo_hinh'!$K$6*(1-MIN(0.95,'17_Gia_dinh_mo_hinh'!$M$6*0.75))/'17_Gia_dinh_mo_hinh'!$J$6,0)</x:f>
        <x:v>258.06666666666666</x:v>
      </x:c>
      <x:c r="L150" s="62" t="n">
        <x:f>S149*'17_Gia_dinh_mo_hinh'!$Q$6/12</x:f>
        <x:v>21.647093130697566</x:v>
      </x:c>
      <x:c r="M150" s="62" t="n">
        <x:f>G150-H150-I150-J150-L150</x:f>
        <x:v>107.82330686930247</x:v>
      </x:c>
      <x:c r="N150" s="62" t="n">
        <x:f>MAX(0,M150*'17_Gia_dinh_mo_hinh'!$S$6)</x:f>
        <x:v>21.564661373860496</x:v>
      </x:c>
      <x:c r="O150" s="62" t="n">
        <x:f>M150-N150</x:f>
        <x:v>86.25864549544198</x:v>
      </x:c>
      <x:c r="P150" s="62" t="n">
        <x:f>F150-K150-I150-J150-N150-L150</x:f>
        <x:v>23.551978828775272</x:v>
      </x:c>
      <x:c r="Q150" s="62" t="n">
        <x:f>MIN(MAX(0,-(T149+P150)),MAX(0,'17_Gia_dinh_mo_hinh'!$R$6-S149))</x:f>
        <x:v>0</x:v>
      </x:c>
      <x:c r="R150" s="62" t="n">
        <x:f>MIN(MAX(0,T149+P150+Q150),S149+Q150)</x:f>
        <x:v>23.551978828775272</x:v>
      </x:c>
      <x:c r="S150" s="62" t="n">
        <x:f>S149+Q150-R150</x:f>
        <x:v>2710.817679785654</x:v>
      </x:c>
      <x:c r="T150" s="62" t="n">
        <x:f>MAX(0,T149+P150+Q150-R150)</x:f>
        <x:v>0</x:v>
      </x:c>
      <x:c r="U150" s="62" t="n">
        <x:f>MAX(0,-(T149+P150)-MAX(0,'17_Gia_dinh_mo_hinh'!$R$6-S149))</x:f>
        <x:v>0</x:v>
      </x:c>
      <x:c r="V150" s="61" t="str">
        <x:f>IF(B150&lt;'17_Gia_dinh_mo_hinh'!$F$6+D150,"Trước mở bán",IF(B150&lt;'17_Gia_dinh_mo_hinh'!$H$6+D150,"Bán hàng/thi công",IF(G150&gt;0,"Ghi nhận/bàn giao","Hậu bàn giao")))</x:f>
        <x:v>Ghi nhận/bàn giao</x:v>
      </x:c>
    </x:row>
    <x:row r="151">
      <x:c r="A151" s="54" t="str">
        <x:v>DA03</x:v>
      </x:c>
      <x:c r="B151" s="54" t="n">
        <x:v>28</x:v>
      </x:c>
      <x:c r="C151" s="60" t="n">
        <x:f>EDATE('17_Gia_dinh_mo_hinh'!$C$6,B151-1)</x:f>
        <x:v>47058</x:v>
      </x:c>
      <x:c r="D151" s="61" t="n">
        <x:f>ROUNDUP('17_Gia_dinh_mo_hinh'!$E$6/30,0)</x:f>
        <x:v>1</x:v>
      </x:c>
      <x:c r="E151" s="62" t="n">
        <x:f>IF(AND(B151&gt;='17_Gia_dinh_mo_hinh'!$F$6+D151,B151&lt;'17_Gia_dinh_mo_hinh'!$F$6+D151+'17_Gia_dinh_mo_hinh'!$G$6),'17_Gia_dinh_mo_hinh'!$L$6*(1-'17_Gia_dinh_mo_hinh'!$M$6)/'17_Gia_dinh_mo_hinh'!$G$6,0)</x:f>
        <x:v>355.2</x:v>
      </x:c>
      <x:c r="F151" s="62" t="n">
        <x:f>0.70*E151+0.30*E150</x:f>
        <x:v>355.2</x:v>
      </x:c>
      <x:c r="G151" s="62" t="n">
        <x:f>IF(AND(B151&gt;='17_Gia_dinh_mo_hinh'!$H$6+D151,B151&lt;'17_Gia_dinh_mo_hinh'!$H$6+D151+'17_Gia_dinh_mo_hinh'!$I$6),'17_Gia_dinh_mo_hinh'!$L$6*(1-'17_Gia_dinh_mo_hinh'!$M$6)/'17_Gia_dinh_mo_hinh'!$I$6,0)</x:f>
        <x:v>532.8</x:v>
      </x:c>
      <x:c r="H151" s="62" t="n">
        <x:f>G151*(1-'17_Gia_dinh_mo_hinh'!$N$6)</x:f>
        <x:v>372.9599999999999</x:v>
      </x:c>
      <x:c r="I151" s="62" t="n">
        <x:f>G151*'17_Gia_dinh_mo_hinh'!$O$6</x:f>
        <x:v>18.648</x:v>
      </x:c>
      <x:c r="J151" s="62" t="n">
        <x:f>G151*'17_Gia_dinh_mo_hinh'!$P$6</x:f>
        <x:v>11.721599999999999</x:v>
      </x:c>
      <x:c r="K151" s="62" t="n">
        <x:f>IF(B151&lt;='17_Gia_dinh_mo_hinh'!$J$6,'17_Gia_dinh_mo_hinh'!$K$6*(1-MIN(0.95,'17_Gia_dinh_mo_hinh'!$M$6*0.75))/'17_Gia_dinh_mo_hinh'!$J$6,0)</x:f>
        <x:v>258.06666666666666</x:v>
      </x:c>
      <x:c r="L151" s="62" t="n">
        <x:f>S150*'17_Gia_dinh_mo_hinh'!$Q$6/12</x:f>
        <x:v>21.46063996496976</x:v>
      </x:c>
      <x:c r="M151" s="62" t="n">
        <x:f>G151-H151-I151-J151-L151</x:f>
        <x:v>108.00976003503028</x:v>
      </x:c>
      <x:c r="N151" s="62" t="n">
        <x:f>MAX(0,M151*'17_Gia_dinh_mo_hinh'!$S$6)</x:f>
        <x:v>21.60195200700606</x:v>
      </x:c>
      <x:c r="O151" s="62" t="n">
        <x:f>M151-N151</x:f>
        <x:v>86.40780802802422</x:v>
      </x:c>
      <x:c r="P151" s="62" t="n">
        <x:f>F151-K151-I151-J151-N151-L151</x:f>
        <x:v>23.70114136135751</x:v>
      </x:c>
      <x:c r="Q151" s="62" t="n">
        <x:f>MIN(MAX(0,-(T150+P151)),MAX(0,'17_Gia_dinh_mo_hinh'!$R$6-S150))</x:f>
        <x:v>0</x:v>
      </x:c>
      <x:c r="R151" s="62" t="n">
        <x:f>MIN(MAX(0,T150+P151+Q151),S150+Q151)</x:f>
        <x:v>23.70114136135751</x:v>
      </x:c>
      <x:c r="S151" s="62" t="n">
        <x:f>S150+Q151-R151</x:f>
        <x:v>2687.1165384242963</x:v>
      </x:c>
      <x:c r="T151" s="62" t="n">
        <x:f>MAX(0,T150+P151+Q151-R151)</x:f>
        <x:v>0</x:v>
      </x:c>
      <x:c r="U151" s="62" t="n">
        <x:f>MAX(0,-(T150+P151)-MAX(0,'17_Gia_dinh_mo_hinh'!$R$6-S150))</x:f>
        <x:v>0</x:v>
      </x:c>
      <x:c r="V151" s="61" t="str">
        <x:f>IF(B151&lt;'17_Gia_dinh_mo_hinh'!$F$6+D151,"Trước mở bán",IF(B151&lt;'17_Gia_dinh_mo_hinh'!$H$6+D151,"Bán hàng/thi công",IF(G151&gt;0,"Ghi nhận/bàn giao","Hậu bàn giao")))</x:f>
        <x:v>Ghi nhận/bàn giao</x:v>
      </x:c>
    </x:row>
    <x:row r="152">
      <x:c r="A152" s="54" t="str">
        <x:v>DA03</x:v>
      </x:c>
      <x:c r="B152" s="54" t="n">
        <x:v>29</x:v>
      </x:c>
      <x:c r="C152" s="60" t="n">
        <x:f>EDATE('17_Gia_dinh_mo_hinh'!$C$6,B152-1)</x:f>
        <x:v>47088</x:v>
      </x:c>
      <x:c r="D152" s="61" t="n">
        <x:f>ROUNDUP('17_Gia_dinh_mo_hinh'!$E$6/30,0)</x:f>
        <x:v>1</x:v>
      </x:c>
      <x:c r="E152" s="62" t="n">
        <x:f>IF(AND(B152&gt;='17_Gia_dinh_mo_hinh'!$F$6+D152,B152&lt;'17_Gia_dinh_mo_hinh'!$F$6+D152+'17_Gia_dinh_mo_hinh'!$G$6),'17_Gia_dinh_mo_hinh'!$L$6*(1-'17_Gia_dinh_mo_hinh'!$M$6)/'17_Gia_dinh_mo_hinh'!$G$6,0)</x:f>
        <x:v>355.2</x:v>
      </x:c>
      <x:c r="F152" s="62" t="n">
        <x:f>0.70*E152+0.30*E151</x:f>
        <x:v>355.2</x:v>
      </x:c>
      <x:c r="G152" s="62" t="n">
        <x:f>IF(AND(B152&gt;='17_Gia_dinh_mo_hinh'!$H$6+D152,B152&lt;'17_Gia_dinh_mo_hinh'!$H$6+D152+'17_Gia_dinh_mo_hinh'!$I$6),'17_Gia_dinh_mo_hinh'!$L$6*(1-'17_Gia_dinh_mo_hinh'!$M$6)/'17_Gia_dinh_mo_hinh'!$I$6,0)</x:f>
        <x:v>532.8</x:v>
      </x:c>
      <x:c r="H152" s="62" t="n">
        <x:f>G152*(1-'17_Gia_dinh_mo_hinh'!$N$6)</x:f>
        <x:v>372.9599999999999</x:v>
      </x:c>
      <x:c r="I152" s="62" t="n">
        <x:f>G152*'17_Gia_dinh_mo_hinh'!$O$6</x:f>
        <x:v>18.648</x:v>
      </x:c>
      <x:c r="J152" s="62" t="n">
        <x:f>G152*'17_Gia_dinh_mo_hinh'!$P$6</x:f>
        <x:v>11.721599999999999</x:v>
      </x:c>
      <x:c r="K152" s="62" t="n">
        <x:f>IF(B152&lt;='17_Gia_dinh_mo_hinh'!$J$6,'17_Gia_dinh_mo_hinh'!$K$6*(1-MIN(0.95,'17_Gia_dinh_mo_hinh'!$M$6*0.75))/'17_Gia_dinh_mo_hinh'!$J$6,0)</x:f>
        <x:v>258.06666666666666</x:v>
      </x:c>
      <x:c r="L152" s="62" t="n">
        <x:f>S151*'17_Gia_dinh_mo_hinh'!$Q$6/12</x:f>
        <x:v>21.273005929192347</x:v>
      </x:c>
      <x:c r="M152" s="62" t="n">
        <x:f>G152-H152-I152-J152-L152</x:f>
        <x:v>108.19739407080769</x:v>
      </x:c>
      <x:c r="N152" s="62" t="n">
        <x:f>MAX(0,M152*'17_Gia_dinh_mo_hinh'!$S$6)</x:f>
        <x:v>21.63947881416154</x:v>
      </x:c>
      <x:c r="O152" s="62" t="n">
        <x:f>M152-N152</x:f>
        <x:v>86.55791525664615</x:v>
      </x:c>
      <x:c r="P152" s="62" t="n">
        <x:f>F152-K152-I152-J152-N152-L152</x:f>
        <x:v>23.851248589979452</x:v>
      </x:c>
      <x:c r="Q152" s="62" t="n">
        <x:f>MIN(MAX(0,-(T151+P152)),MAX(0,'17_Gia_dinh_mo_hinh'!$R$6-S151))</x:f>
        <x:v>0</x:v>
      </x:c>
      <x:c r="R152" s="62" t="n">
        <x:f>MIN(MAX(0,T151+P152+Q152),S151+Q152)</x:f>
        <x:v>23.851248589979452</x:v>
      </x:c>
      <x:c r="S152" s="62" t="n">
        <x:f>S151+Q152-R152</x:f>
        <x:v>2663.2652898343167</x:v>
      </x:c>
      <x:c r="T152" s="62" t="n">
        <x:f>MAX(0,T151+P152+Q152-R152)</x:f>
        <x:v>0</x:v>
      </x:c>
      <x:c r="U152" s="62" t="n">
        <x:f>MAX(0,-(T151+P152)-MAX(0,'17_Gia_dinh_mo_hinh'!$R$6-S151))</x:f>
        <x:v>0</x:v>
      </x:c>
      <x:c r="V152" s="61" t="str">
        <x:f>IF(B152&lt;'17_Gia_dinh_mo_hinh'!$F$6+D152,"Trước mở bán",IF(B152&lt;'17_Gia_dinh_mo_hinh'!$H$6+D152,"Bán hàng/thi công",IF(G152&gt;0,"Ghi nhận/bàn giao","Hậu bàn giao")))</x:f>
        <x:v>Ghi nhận/bàn giao</x:v>
      </x:c>
    </x:row>
    <x:row r="153">
      <x:c r="A153" s="54" t="str">
        <x:v>DA03</x:v>
      </x:c>
      <x:c r="B153" s="54" t="n">
        <x:v>30</x:v>
      </x:c>
      <x:c r="C153" s="60" t="n">
        <x:f>EDATE('17_Gia_dinh_mo_hinh'!$C$6,B153-1)</x:f>
        <x:v>47119</x:v>
      </x:c>
      <x:c r="D153" s="61" t="n">
        <x:f>ROUNDUP('17_Gia_dinh_mo_hinh'!$E$6/30,0)</x:f>
        <x:v>1</x:v>
      </x:c>
      <x:c r="E153" s="62" t="n">
        <x:f>IF(AND(B153&gt;='17_Gia_dinh_mo_hinh'!$F$6+D153,B153&lt;'17_Gia_dinh_mo_hinh'!$F$6+D153+'17_Gia_dinh_mo_hinh'!$G$6),'17_Gia_dinh_mo_hinh'!$L$6*(1-'17_Gia_dinh_mo_hinh'!$M$6)/'17_Gia_dinh_mo_hinh'!$G$6,0)</x:f>
        <x:v>355.2</x:v>
      </x:c>
      <x:c r="F153" s="62" t="n">
        <x:f>0.70*E153+0.30*E152</x:f>
        <x:v>355.2</x:v>
      </x:c>
      <x:c r="G153" s="62" t="n">
        <x:f>IF(AND(B153&gt;='17_Gia_dinh_mo_hinh'!$H$6+D153,B153&lt;'17_Gia_dinh_mo_hinh'!$H$6+D153+'17_Gia_dinh_mo_hinh'!$I$6),'17_Gia_dinh_mo_hinh'!$L$6*(1-'17_Gia_dinh_mo_hinh'!$M$6)/'17_Gia_dinh_mo_hinh'!$I$6,0)</x:f>
        <x:v>532.8</x:v>
      </x:c>
      <x:c r="H153" s="62" t="n">
        <x:f>G153*(1-'17_Gia_dinh_mo_hinh'!$N$6)</x:f>
        <x:v>372.9599999999999</x:v>
      </x:c>
      <x:c r="I153" s="62" t="n">
        <x:f>G153*'17_Gia_dinh_mo_hinh'!$O$6</x:f>
        <x:v>18.648</x:v>
      </x:c>
      <x:c r="J153" s="62" t="n">
        <x:f>G153*'17_Gia_dinh_mo_hinh'!$P$6</x:f>
        <x:v>11.721599999999999</x:v>
      </x:c>
      <x:c r="K153" s="62" t="n">
        <x:f>IF(B153&lt;='17_Gia_dinh_mo_hinh'!$J$6,'17_Gia_dinh_mo_hinh'!$K$6*(1-MIN(0.95,'17_Gia_dinh_mo_hinh'!$M$6*0.75))/'17_Gia_dinh_mo_hinh'!$J$6,0)</x:f>
        <x:v>258.06666666666666</x:v>
      </x:c>
      <x:c r="L153" s="62" t="n">
        <x:f>S152*'17_Gia_dinh_mo_hinh'!$Q$6/12</x:f>
        <x:v>21.084183544521675</x:v>
      </x:c>
      <x:c r="M153" s="62" t="n">
        <x:f>G153-H153-I153-J153-L153</x:f>
        <x:v>108.38621645547836</x:v>
      </x:c>
      <x:c r="N153" s="62" t="n">
        <x:f>MAX(0,M153*'17_Gia_dinh_mo_hinh'!$S$6)</x:f>
        <x:v>21.677243291095674</x:v>
      </x:c>
      <x:c r="O153" s="62" t="n">
        <x:f>M153-N153</x:f>
        <x:v>86.70897316438268</x:v>
      </x:c>
      <x:c r="P153" s="62" t="n">
        <x:f>F153-K153-I153-J153-N153-L153</x:f>
        <x:v>24.00230649771598</x:v>
      </x:c>
      <x:c r="Q153" s="62" t="n">
        <x:f>MIN(MAX(0,-(T152+P153)),MAX(0,'17_Gia_dinh_mo_hinh'!$R$6-S152))</x:f>
        <x:v>0</x:v>
      </x:c>
      <x:c r="R153" s="62" t="n">
        <x:f>MIN(MAX(0,T152+P153+Q153),S152+Q153)</x:f>
        <x:v>24.00230649771598</x:v>
      </x:c>
      <x:c r="S153" s="62" t="n">
        <x:f>S152+Q153-R153</x:f>
        <x:v>2639.262983336601</x:v>
      </x:c>
      <x:c r="T153" s="62" t="n">
        <x:f>MAX(0,T152+P153+Q153-R153)</x:f>
        <x:v>0</x:v>
      </x:c>
      <x:c r="U153" s="62" t="n">
        <x:f>MAX(0,-(T152+P153)-MAX(0,'17_Gia_dinh_mo_hinh'!$R$6-S152))</x:f>
        <x:v>0</x:v>
      </x:c>
      <x:c r="V153" s="61" t="str">
        <x:f>IF(B153&lt;'17_Gia_dinh_mo_hinh'!$F$6+D153,"Trước mở bán",IF(B153&lt;'17_Gia_dinh_mo_hinh'!$H$6+D153,"Bán hàng/thi công",IF(G153&gt;0,"Ghi nhận/bàn giao","Hậu bàn giao")))</x:f>
        <x:v>Ghi nhận/bàn giao</x:v>
      </x:c>
    </x:row>
    <x:row r="154">
      <x:c r="A154" s="54" t="str">
        <x:v>DA03</x:v>
      </x:c>
      <x:c r="B154" s="54" t="n">
        <x:v>31</x:v>
      </x:c>
      <x:c r="C154" s="60" t="n">
        <x:f>EDATE('17_Gia_dinh_mo_hinh'!$C$6,B154-1)</x:f>
        <x:v>47150</x:v>
      </x:c>
      <x:c r="D154" s="61" t="n">
        <x:f>ROUNDUP('17_Gia_dinh_mo_hinh'!$E$6/30,0)</x:f>
        <x:v>1</x:v>
      </x:c>
      <x:c r="E154" s="62" t="n">
        <x:f>IF(AND(B154&gt;='17_Gia_dinh_mo_hinh'!$F$6+D154,B154&lt;'17_Gia_dinh_mo_hinh'!$F$6+D154+'17_Gia_dinh_mo_hinh'!$G$6),'17_Gia_dinh_mo_hinh'!$L$6*(1-'17_Gia_dinh_mo_hinh'!$M$6)/'17_Gia_dinh_mo_hinh'!$G$6,0)</x:f>
        <x:v>355.2</x:v>
      </x:c>
      <x:c r="F154" s="62" t="n">
        <x:f>0.70*E154+0.30*E153</x:f>
        <x:v>355.2</x:v>
      </x:c>
      <x:c r="G154" s="62" t="n">
        <x:f>IF(AND(B154&gt;='17_Gia_dinh_mo_hinh'!$H$6+D154,B154&lt;'17_Gia_dinh_mo_hinh'!$H$6+D154+'17_Gia_dinh_mo_hinh'!$I$6),'17_Gia_dinh_mo_hinh'!$L$6*(1-'17_Gia_dinh_mo_hinh'!$M$6)/'17_Gia_dinh_mo_hinh'!$I$6,0)</x:f>
        <x:v>532.8</x:v>
      </x:c>
      <x:c r="H154" s="62" t="n">
        <x:f>G154*(1-'17_Gia_dinh_mo_hinh'!$N$6)</x:f>
        <x:v>372.9599999999999</x:v>
      </x:c>
      <x:c r="I154" s="62" t="n">
        <x:f>G154*'17_Gia_dinh_mo_hinh'!$O$6</x:f>
        <x:v>18.648</x:v>
      </x:c>
      <x:c r="J154" s="62" t="n">
        <x:f>G154*'17_Gia_dinh_mo_hinh'!$P$6</x:f>
        <x:v>11.721599999999999</x:v>
      </x:c>
      <x:c r="K154" s="62" t="n">
        <x:f>IF(B154&lt;='17_Gia_dinh_mo_hinh'!$J$6,'17_Gia_dinh_mo_hinh'!$K$6*(1-MIN(0.95,'17_Gia_dinh_mo_hinh'!$M$6*0.75))/'17_Gia_dinh_mo_hinh'!$J$6,0)</x:f>
        <x:v>0</x:v>
      </x:c>
      <x:c r="L154" s="62" t="n">
        <x:f>S153*'17_Gia_dinh_mo_hinh'!$Q$6/12</x:f>
        <x:v>20.89416528474809</x:v>
      </x:c>
      <x:c r="M154" s="62" t="n">
        <x:f>G154-H154-I154-J154-L154</x:f>
        <x:v>108.57623471525196</x:v>
      </x:c>
      <x:c r="N154" s="62" t="n">
        <x:f>MAX(0,M154*'17_Gia_dinh_mo_hinh'!$S$6)</x:f>
        <x:v>21.715246943050392</x:v>
      </x:c>
      <x:c r="O154" s="62" t="n">
        <x:f>M154-N154</x:f>
        <x:v>86.86098777220157</x:v>
      </x:c>
      <x:c r="P154" s="62" t="n">
        <x:f>F154-K154-I154-J154-N154-L154</x:f>
        <x:v>282.22098777220145</x:v>
      </x:c>
      <x:c r="Q154" s="62" t="n">
        <x:f>MIN(MAX(0,-(T153+P154)),MAX(0,'17_Gia_dinh_mo_hinh'!$R$6-S153))</x:f>
        <x:v>0</x:v>
      </x:c>
      <x:c r="R154" s="62" t="n">
        <x:f>MIN(MAX(0,T153+P154+Q154),S153+Q154)</x:f>
        <x:v>282.22098777220145</x:v>
      </x:c>
      <x:c r="S154" s="62" t="n">
        <x:f>S153+Q154-R154</x:f>
        <x:v>2357.0419955643993</x:v>
      </x:c>
      <x:c r="T154" s="62" t="n">
        <x:f>MAX(0,T153+P154+Q154-R154)</x:f>
        <x:v>0</x:v>
      </x:c>
      <x:c r="U154" s="62" t="n">
        <x:f>MAX(0,-(T153+P154)-MAX(0,'17_Gia_dinh_mo_hinh'!$R$6-S153))</x:f>
        <x:v>0</x:v>
      </x:c>
      <x:c r="V154" s="61" t="str">
        <x:f>IF(B154&lt;'17_Gia_dinh_mo_hinh'!$F$6+D154,"Trước mở bán",IF(B154&lt;'17_Gia_dinh_mo_hinh'!$H$6+D154,"Bán hàng/thi công",IF(G154&gt;0,"Ghi nhận/bàn giao","Hậu bàn giao")))</x:f>
        <x:v>Ghi nhận/bàn giao</x:v>
      </x:c>
    </x:row>
    <x:row r="155">
      <x:c r="A155" s="54" t="str">
        <x:v>DA03</x:v>
      </x:c>
      <x:c r="B155" s="54" t="n">
        <x:v>32</x:v>
      </x:c>
      <x:c r="C155" s="60" t="n">
        <x:f>EDATE('17_Gia_dinh_mo_hinh'!$C$6,B155-1)</x:f>
        <x:v>47178</x:v>
      </x:c>
      <x:c r="D155" s="61" t="n">
        <x:f>ROUNDUP('17_Gia_dinh_mo_hinh'!$E$6/30,0)</x:f>
        <x:v>1</x:v>
      </x:c>
      <x:c r="E155" s="62" t="n">
        <x:f>IF(AND(B155&gt;='17_Gia_dinh_mo_hinh'!$F$6+D155,B155&lt;'17_Gia_dinh_mo_hinh'!$F$6+D155+'17_Gia_dinh_mo_hinh'!$G$6),'17_Gia_dinh_mo_hinh'!$L$6*(1-'17_Gia_dinh_mo_hinh'!$M$6)/'17_Gia_dinh_mo_hinh'!$G$6,0)</x:f>
        <x:v>355.2</x:v>
      </x:c>
      <x:c r="F155" s="62" t="n">
        <x:f>0.70*E155+0.30*E154</x:f>
        <x:v>355.2</x:v>
      </x:c>
      <x:c r="G155" s="62" t="n">
        <x:f>IF(AND(B155&gt;='17_Gia_dinh_mo_hinh'!$H$6+D155,B155&lt;'17_Gia_dinh_mo_hinh'!$H$6+D155+'17_Gia_dinh_mo_hinh'!$I$6),'17_Gia_dinh_mo_hinh'!$L$6*(1-'17_Gia_dinh_mo_hinh'!$M$6)/'17_Gia_dinh_mo_hinh'!$I$6,0)</x:f>
        <x:v>532.8</x:v>
      </x:c>
      <x:c r="H155" s="62" t="n">
        <x:f>G155*(1-'17_Gia_dinh_mo_hinh'!$N$6)</x:f>
        <x:v>372.9599999999999</x:v>
      </x:c>
      <x:c r="I155" s="62" t="n">
        <x:f>G155*'17_Gia_dinh_mo_hinh'!$O$6</x:f>
        <x:v>18.648</x:v>
      </x:c>
      <x:c r="J155" s="62" t="n">
        <x:f>G155*'17_Gia_dinh_mo_hinh'!$P$6</x:f>
        <x:v>11.721599999999999</x:v>
      </x:c>
      <x:c r="K155" s="62" t="n">
        <x:f>IF(B155&lt;='17_Gia_dinh_mo_hinh'!$J$6,'17_Gia_dinh_mo_hinh'!$K$6*(1-MIN(0.95,'17_Gia_dinh_mo_hinh'!$M$6*0.75))/'17_Gia_dinh_mo_hinh'!$J$6,0)</x:f>
        <x:v>0</x:v>
      </x:c>
      <x:c r="L155" s="62" t="n">
        <x:f>S154*'17_Gia_dinh_mo_hinh'!$Q$6/12</x:f>
        <x:v>18.65991579821816</x:v>
      </x:c>
      <x:c r="M155" s="62" t="n">
        <x:f>G155-H155-I155-J155-L155</x:f>
        <x:v>110.81048420178188</x:v>
      </x:c>
      <x:c r="N155" s="62" t="n">
        <x:f>MAX(0,M155*'17_Gia_dinh_mo_hinh'!$S$6)</x:f>
        <x:v>22.162096840356377</x:v>
      </x:c>
      <x:c r="O155" s="62" t="n">
        <x:f>M155-N155</x:f>
        <x:v>88.6483873614255</x:v>
      </x:c>
      <x:c r="P155" s="62" t="n">
        <x:f>F155-K155-I155-J155-N155-L155</x:f>
        <x:v>284.00838736142543</x:v>
      </x:c>
      <x:c r="Q155" s="62" t="n">
        <x:f>MIN(MAX(0,-(T154+P155)),MAX(0,'17_Gia_dinh_mo_hinh'!$R$6-S154))</x:f>
        <x:v>0</x:v>
      </x:c>
      <x:c r="R155" s="62" t="n">
        <x:f>MIN(MAX(0,T154+P155+Q155),S154+Q155)</x:f>
        <x:v>284.00838736142543</x:v>
      </x:c>
      <x:c r="S155" s="62" t="n">
        <x:f>S154+Q155-R155</x:f>
        <x:v>2073.033608202974</x:v>
      </x:c>
      <x:c r="T155" s="62" t="n">
        <x:f>MAX(0,T154+P155+Q155-R155)</x:f>
        <x:v>0</x:v>
      </x:c>
      <x:c r="U155" s="62" t="n">
        <x:f>MAX(0,-(T154+P155)-MAX(0,'17_Gia_dinh_mo_hinh'!$R$6-S154))</x:f>
        <x:v>0</x:v>
      </x:c>
      <x:c r="V155" s="61" t="str">
        <x:f>IF(B155&lt;'17_Gia_dinh_mo_hinh'!$F$6+D155,"Trước mở bán",IF(B155&lt;'17_Gia_dinh_mo_hinh'!$H$6+D155,"Bán hàng/thi công",IF(G155&gt;0,"Ghi nhận/bàn giao","Hậu bàn giao")))</x:f>
        <x:v>Ghi nhận/bàn giao</x:v>
      </x:c>
    </x:row>
    <x:row r="156">
      <x:c r="A156" s="54" t="str">
        <x:v>DA03</x:v>
      </x:c>
      <x:c r="B156" s="54" t="n">
        <x:v>33</x:v>
      </x:c>
      <x:c r="C156" s="60" t="n">
        <x:f>EDATE('17_Gia_dinh_mo_hinh'!$C$6,B156-1)</x:f>
        <x:v>47209</x:v>
      </x:c>
      <x:c r="D156" s="61" t="n">
        <x:f>ROUNDUP('17_Gia_dinh_mo_hinh'!$E$6/30,0)</x:f>
        <x:v>1</x:v>
      </x:c>
      <x:c r="E156" s="62" t="n">
        <x:f>IF(AND(B156&gt;='17_Gia_dinh_mo_hinh'!$F$6+D156,B156&lt;'17_Gia_dinh_mo_hinh'!$F$6+D156+'17_Gia_dinh_mo_hinh'!$G$6),'17_Gia_dinh_mo_hinh'!$L$6*(1-'17_Gia_dinh_mo_hinh'!$M$6)/'17_Gia_dinh_mo_hinh'!$G$6,0)</x:f>
        <x:v>355.2</x:v>
      </x:c>
      <x:c r="F156" s="62" t="n">
        <x:f>0.70*E156+0.30*E155</x:f>
        <x:v>355.2</x:v>
      </x:c>
      <x:c r="G156" s="62" t="n">
        <x:f>IF(AND(B156&gt;='17_Gia_dinh_mo_hinh'!$H$6+D156,B156&lt;'17_Gia_dinh_mo_hinh'!$H$6+D156+'17_Gia_dinh_mo_hinh'!$I$6),'17_Gia_dinh_mo_hinh'!$L$6*(1-'17_Gia_dinh_mo_hinh'!$M$6)/'17_Gia_dinh_mo_hinh'!$I$6,0)</x:f>
        <x:v>532.8</x:v>
      </x:c>
      <x:c r="H156" s="62" t="n">
        <x:f>G156*(1-'17_Gia_dinh_mo_hinh'!$N$6)</x:f>
        <x:v>372.9599999999999</x:v>
      </x:c>
      <x:c r="I156" s="62" t="n">
        <x:f>G156*'17_Gia_dinh_mo_hinh'!$O$6</x:f>
        <x:v>18.648</x:v>
      </x:c>
      <x:c r="J156" s="62" t="n">
        <x:f>G156*'17_Gia_dinh_mo_hinh'!$P$6</x:f>
        <x:v>11.721599999999999</x:v>
      </x:c>
      <x:c r="K156" s="62" t="n">
        <x:f>IF(B156&lt;='17_Gia_dinh_mo_hinh'!$J$6,'17_Gia_dinh_mo_hinh'!$K$6*(1-MIN(0.95,'17_Gia_dinh_mo_hinh'!$M$6*0.75))/'17_Gia_dinh_mo_hinh'!$J$6,0)</x:f>
        <x:v>0</x:v>
      </x:c>
      <x:c r="L156" s="62" t="n">
        <x:f>S155*'17_Gia_dinh_mo_hinh'!$Q$6/12</x:f>
        <x:v>16.411516064940212</x:v>
      </x:c>
      <x:c r="M156" s="62" t="n">
        <x:f>G156-H156-I156-J156-L156</x:f>
        <x:v>113.05888393505982</x:v>
      </x:c>
      <x:c r="N156" s="62" t="n">
        <x:f>MAX(0,M156*'17_Gia_dinh_mo_hinh'!$S$6)</x:f>
        <x:v>22.611776787011966</x:v>
      </x:c>
      <x:c r="O156" s="62" t="n">
        <x:f>M156-N156</x:f>
        <x:v>90.44710714804786</x:v>
      </x:c>
      <x:c r="P156" s="62" t="n">
        <x:f>F156-K156-I156-J156-N156-L156</x:f>
        <x:v>285.80710714804775</x:v>
      </x:c>
      <x:c r="Q156" s="62" t="n">
        <x:f>MIN(MAX(0,-(T155+P156)),MAX(0,'17_Gia_dinh_mo_hinh'!$R$6-S155))</x:f>
        <x:v>0</x:v>
      </x:c>
      <x:c r="R156" s="62" t="n">
        <x:f>MIN(MAX(0,T155+P156+Q156),S155+Q156)</x:f>
        <x:v>285.80710714804775</x:v>
      </x:c>
      <x:c r="S156" s="62" t="n">
        <x:f>S155+Q156-R156</x:f>
        <x:v>1787.2265010549263</x:v>
      </x:c>
      <x:c r="T156" s="62" t="n">
        <x:f>MAX(0,T155+P156+Q156-R156)</x:f>
        <x:v>0</x:v>
      </x:c>
      <x:c r="U156" s="62" t="n">
        <x:f>MAX(0,-(T155+P156)-MAX(0,'17_Gia_dinh_mo_hinh'!$R$6-S155))</x:f>
        <x:v>0</x:v>
      </x:c>
      <x:c r="V156" s="61" t="str">
        <x:f>IF(B156&lt;'17_Gia_dinh_mo_hinh'!$F$6+D156,"Trước mở bán",IF(B156&lt;'17_Gia_dinh_mo_hinh'!$H$6+D156,"Bán hàng/thi công",IF(G156&gt;0,"Ghi nhận/bàn giao","Hậu bàn giao")))</x:f>
        <x:v>Ghi nhận/bàn giao</x:v>
      </x:c>
    </x:row>
    <x:row r="157">
      <x:c r="A157" s="54" t="str">
        <x:v>DA03</x:v>
      </x:c>
      <x:c r="B157" s="54" t="n">
        <x:v>34</x:v>
      </x:c>
      <x:c r="C157" s="60" t="n">
        <x:f>EDATE('17_Gia_dinh_mo_hinh'!$C$6,B157-1)</x:f>
        <x:v>47239</x:v>
      </x:c>
      <x:c r="D157" s="61" t="n">
        <x:f>ROUNDUP('17_Gia_dinh_mo_hinh'!$E$6/30,0)</x:f>
        <x:v>1</x:v>
      </x:c>
      <x:c r="E157" s="62" t="n">
        <x:f>IF(AND(B157&gt;='17_Gia_dinh_mo_hinh'!$F$6+D157,B157&lt;'17_Gia_dinh_mo_hinh'!$F$6+D157+'17_Gia_dinh_mo_hinh'!$G$6),'17_Gia_dinh_mo_hinh'!$L$6*(1-'17_Gia_dinh_mo_hinh'!$M$6)/'17_Gia_dinh_mo_hinh'!$G$6,0)</x:f>
        <x:v>0</x:v>
      </x:c>
      <x:c r="F157" s="62" t="n">
        <x:f>0.70*E157+0.30*E156</x:f>
        <x:v>106.55999999999999</x:v>
      </x:c>
      <x:c r="G157" s="62" t="n">
        <x:f>IF(AND(B157&gt;='17_Gia_dinh_mo_hinh'!$H$6+D157,B157&lt;'17_Gia_dinh_mo_hinh'!$H$6+D157+'17_Gia_dinh_mo_hinh'!$I$6),'17_Gia_dinh_mo_hinh'!$L$6*(1-'17_Gia_dinh_mo_hinh'!$M$6)/'17_Gia_dinh_mo_hinh'!$I$6,0)</x:f>
        <x:v>532.8</x:v>
      </x:c>
      <x:c r="H157" s="62" t="n">
        <x:f>G157*(1-'17_Gia_dinh_mo_hinh'!$N$6)</x:f>
        <x:v>372.9599999999999</x:v>
      </x:c>
      <x:c r="I157" s="62" t="n">
        <x:f>G157*'17_Gia_dinh_mo_hinh'!$O$6</x:f>
        <x:v>18.648</x:v>
      </x:c>
      <x:c r="J157" s="62" t="n">
        <x:f>G157*'17_Gia_dinh_mo_hinh'!$P$6</x:f>
        <x:v>11.721599999999999</x:v>
      </x:c>
      <x:c r="K157" s="62" t="n">
        <x:f>IF(B157&lt;='17_Gia_dinh_mo_hinh'!$J$6,'17_Gia_dinh_mo_hinh'!$K$6*(1-MIN(0.95,'17_Gia_dinh_mo_hinh'!$M$6*0.75))/'17_Gia_dinh_mo_hinh'!$J$6,0)</x:f>
        <x:v>0</x:v>
      </x:c>
      <x:c r="L157" s="62" t="n">
        <x:f>S156*'17_Gia_dinh_mo_hinh'!$Q$6/12</x:f>
        <x:v>14.148876466684833</x:v>
      </x:c>
      <x:c r="M157" s="62" t="n">
        <x:f>G157-H157-I157-J157-L157</x:f>
        <x:v>115.3215235333152</x:v>
      </x:c>
      <x:c r="N157" s="62" t="n">
        <x:f>MAX(0,M157*'17_Gia_dinh_mo_hinh'!$S$6)</x:f>
        <x:v>23.06430470666304</x:v>
      </x:c>
      <x:c r="O157" s="62" t="n">
        <x:f>M157-N157</x:f>
        <x:v>92.25721882665216</x:v>
      </x:c>
      <x:c r="P157" s="62" t="n">
        <x:f>F157-K157-I157-J157-N157-L157</x:f>
        <x:v>38.97721882665213</x:v>
      </x:c>
      <x:c r="Q157" s="62" t="n">
        <x:f>MIN(MAX(0,-(T156+P157)),MAX(0,'17_Gia_dinh_mo_hinh'!$R$6-S156))</x:f>
        <x:v>0</x:v>
      </x:c>
      <x:c r="R157" s="62" t="n">
        <x:f>MIN(MAX(0,T156+P157+Q157),S156+Q157)</x:f>
        <x:v>38.97721882665213</x:v>
      </x:c>
      <x:c r="S157" s="62" t="n">
        <x:f>S156+Q157-R157</x:f>
        <x:v>1748.249282228274</x:v>
      </x:c>
      <x:c r="T157" s="62" t="n">
        <x:f>MAX(0,T156+P157+Q157-R157)</x:f>
        <x:v>0</x:v>
      </x:c>
      <x:c r="U157" s="62" t="n">
        <x:f>MAX(0,-(T156+P157)-MAX(0,'17_Gia_dinh_mo_hinh'!$R$6-S156))</x:f>
        <x:v>0</x:v>
      </x:c>
      <x:c r="V157" s="61" t="str">
        <x:f>IF(B157&lt;'17_Gia_dinh_mo_hinh'!$F$6+D157,"Trước mở bán",IF(B157&lt;'17_Gia_dinh_mo_hinh'!$H$6+D157,"Bán hàng/thi công",IF(G157&gt;0,"Ghi nhận/bàn giao","Hậu bàn giao")))</x:f>
        <x:v>Ghi nhận/bàn giao</x:v>
      </x:c>
    </x:row>
    <x:row r="158">
      <x:c r="A158" s="54" t="str">
        <x:v>DA03</x:v>
      </x:c>
      <x:c r="B158" s="54" t="n">
        <x:v>35</x:v>
      </x:c>
      <x:c r="C158" s="60" t="n">
        <x:f>EDATE('17_Gia_dinh_mo_hinh'!$C$6,B158-1)</x:f>
        <x:v>47270</x:v>
      </x:c>
      <x:c r="D158" s="61" t="n">
        <x:f>ROUNDUP('17_Gia_dinh_mo_hinh'!$E$6/30,0)</x:f>
        <x:v>1</x:v>
      </x:c>
      <x:c r="E158" s="62" t="n">
        <x:f>IF(AND(B158&gt;='17_Gia_dinh_mo_hinh'!$F$6+D158,B158&lt;'17_Gia_dinh_mo_hinh'!$F$6+D158+'17_Gia_dinh_mo_hinh'!$G$6),'17_Gia_dinh_mo_hinh'!$L$6*(1-'17_Gia_dinh_mo_hinh'!$M$6)/'17_Gia_dinh_mo_hinh'!$G$6,0)</x:f>
        <x:v>0</x:v>
      </x:c>
      <x:c r="F158" s="62" t="n">
        <x:f>0.70*E158+0.30*E157</x:f>
        <x:v>0</x:v>
      </x:c>
      <x:c r="G158" s="62" t="n">
        <x:f>IF(AND(B158&gt;='17_Gia_dinh_mo_hinh'!$H$6+D158,B158&lt;'17_Gia_dinh_mo_hinh'!$H$6+D158+'17_Gia_dinh_mo_hinh'!$I$6),'17_Gia_dinh_mo_hinh'!$L$6*(1-'17_Gia_dinh_mo_hinh'!$M$6)/'17_Gia_dinh_mo_hinh'!$I$6,0)</x:f>
        <x:v>532.8</x:v>
      </x:c>
      <x:c r="H158" s="62" t="n">
        <x:f>G158*(1-'17_Gia_dinh_mo_hinh'!$N$6)</x:f>
        <x:v>372.9599999999999</x:v>
      </x:c>
      <x:c r="I158" s="62" t="n">
        <x:f>G158*'17_Gia_dinh_mo_hinh'!$O$6</x:f>
        <x:v>18.648</x:v>
      </x:c>
      <x:c r="J158" s="62" t="n">
        <x:f>G158*'17_Gia_dinh_mo_hinh'!$P$6</x:f>
        <x:v>11.721599999999999</x:v>
      </x:c>
      <x:c r="K158" s="62" t="n">
        <x:f>IF(B158&lt;='17_Gia_dinh_mo_hinh'!$J$6,'17_Gia_dinh_mo_hinh'!$K$6*(1-MIN(0.95,'17_Gia_dinh_mo_hinh'!$M$6*0.75))/'17_Gia_dinh_mo_hinh'!$J$6,0)</x:f>
        <x:v>0</x:v>
      </x:c>
      <x:c r="L158" s="62" t="n">
        <x:f>S157*'17_Gia_dinh_mo_hinh'!$Q$6/12</x:f>
        <x:v>13.840306817640503</x:v>
      </x:c>
      <x:c r="M158" s="62" t="n">
        <x:f>G158-H158-I158-J158-L158</x:f>
        <x:v>115.63009318235953</x:v>
      </x:c>
      <x:c r="N158" s="62" t="n">
        <x:f>MAX(0,M158*'17_Gia_dinh_mo_hinh'!$S$6)</x:f>
        <x:v>23.12601863647191</x:v>
      </x:c>
      <x:c r="O158" s="62" t="n">
        <x:f>M158-N158</x:f>
        <x:v>92.50407454588762</x:v>
      </x:c>
      <x:c r="P158" s="62" t="n">
        <x:f>F158-K158-I158-J158-N158-L158</x:f>
        <x:v>-67.33592545411241</x:v>
      </x:c>
      <x:c r="Q158" s="62" t="n">
        <x:f>MIN(MAX(0,-(T157+P158)),MAX(0,'17_Gia_dinh_mo_hinh'!$R$6-S157))</x:f>
        <x:v>67.33592545411241</x:v>
      </x:c>
      <x:c r="R158" s="62" t="n">
        <x:f>MIN(MAX(0,T157+P158+Q158),S157+Q158)</x:f>
        <x:v>0</x:v>
      </x:c>
      <x:c r="S158" s="62" t="n">
        <x:f>S157+Q158-R158</x:f>
        <x:v>1815.5852076823865</x:v>
      </x:c>
      <x:c r="T158" s="62" t="n">
        <x:f>MAX(0,T157+P158+Q158-R158)</x:f>
        <x:v>0</x:v>
      </x:c>
      <x:c r="U158" s="62" t="n">
        <x:f>MAX(0,-(T157+P158)-MAX(0,'17_Gia_dinh_mo_hinh'!$R$6-S157))</x:f>
        <x:v>0</x:v>
      </x:c>
      <x:c r="V158" s="61" t="str">
        <x:f>IF(B158&lt;'17_Gia_dinh_mo_hinh'!$F$6+D158,"Trước mở bán",IF(B158&lt;'17_Gia_dinh_mo_hinh'!$H$6+D158,"Bán hàng/thi công",IF(G158&gt;0,"Ghi nhận/bàn giao","Hậu bàn giao")))</x:f>
        <x:v>Ghi nhận/bàn giao</x:v>
      </x:c>
    </x:row>
    <x:row r="159">
      <x:c r="A159" s="54" t="str">
        <x:v>DA03</x:v>
      </x:c>
      <x:c r="B159" s="54" t="n">
        <x:v>36</x:v>
      </x:c>
      <x:c r="C159" s="60" t="n">
        <x:f>EDATE('17_Gia_dinh_mo_hinh'!$C$6,B159-1)</x:f>
        <x:v>47300</x:v>
      </x:c>
      <x:c r="D159" s="61" t="n">
        <x:f>ROUNDUP('17_Gia_dinh_mo_hinh'!$E$6/30,0)</x:f>
        <x:v>1</x:v>
      </x:c>
      <x:c r="E159" s="62" t="n">
        <x:f>IF(AND(B159&gt;='17_Gia_dinh_mo_hinh'!$F$6+D159,B159&lt;'17_Gia_dinh_mo_hinh'!$F$6+D159+'17_Gia_dinh_mo_hinh'!$G$6),'17_Gia_dinh_mo_hinh'!$L$6*(1-'17_Gia_dinh_mo_hinh'!$M$6)/'17_Gia_dinh_mo_hinh'!$G$6,0)</x:f>
        <x:v>0</x:v>
      </x:c>
      <x:c r="F159" s="62" t="n">
        <x:f>0.70*E159+0.30*E158</x:f>
        <x:v>0</x:v>
      </x:c>
      <x:c r="G159" s="62" t="n">
        <x:f>IF(AND(B159&gt;='17_Gia_dinh_mo_hinh'!$H$6+D159,B159&lt;'17_Gia_dinh_mo_hinh'!$H$6+D159+'17_Gia_dinh_mo_hinh'!$I$6),'17_Gia_dinh_mo_hinh'!$L$6*(1-'17_Gia_dinh_mo_hinh'!$M$6)/'17_Gia_dinh_mo_hinh'!$I$6,0)</x:f>
        <x:v>532.8</x:v>
      </x:c>
      <x:c r="H159" s="62" t="n">
        <x:f>G159*(1-'17_Gia_dinh_mo_hinh'!$N$6)</x:f>
        <x:v>372.9599999999999</x:v>
      </x:c>
      <x:c r="I159" s="62" t="n">
        <x:f>G159*'17_Gia_dinh_mo_hinh'!$O$6</x:f>
        <x:v>18.648</x:v>
      </x:c>
      <x:c r="J159" s="62" t="n">
        <x:f>G159*'17_Gia_dinh_mo_hinh'!$P$6</x:f>
        <x:v>11.721599999999999</x:v>
      </x:c>
      <x:c r="K159" s="62" t="n">
        <x:f>IF(B159&lt;='17_Gia_dinh_mo_hinh'!$J$6,'17_Gia_dinh_mo_hinh'!$K$6*(1-MIN(0.95,'17_Gia_dinh_mo_hinh'!$M$6*0.75))/'17_Gia_dinh_mo_hinh'!$J$6,0)</x:f>
        <x:v>0</x:v>
      </x:c>
      <x:c r="L159" s="62" t="n">
        <x:f>S158*'17_Gia_dinh_mo_hinh'!$Q$6/12</x:f>
        <x:v>14.373382894152227</x:v>
      </x:c>
      <x:c r="M159" s="62" t="n">
        <x:f>G159-H159-I159-J159-L159</x:f>
        <x:v>115.09701710584781</x:v>
      </x:c>
      <x:c r="N159" s="62" t="n">
        <x:f>MAX(0,M159*'17_Gia_dinh_mo_hinh'!$S$6)</x:f>
        <x:v>23.019403421169564</x:v>
      </x:c>
      <x:c r="O159" s="62" t="n">
        <x:f>M159-N159</x:f>
        <x:v>92.07761368467825</x:v>
      </x:c>
      <x:c r="P159" s="62" t="n">
        <x:f>F159-K159-I159-J159-N159-L159</x:f>
        <x:v>-67.76238631532179</x:v>
      </x:c>
      <x:c r="Q159" s="62" t="n">
        <x:f>MIN(MAX(0,-(T158+P159)),MAX(0,'17_Gia_dinh_mo_hinh'!$R$6-S158))</x:f>
        <x:v>67.76238631532179</x:v>
      </x:c>
      <x:c r="R159" s="62" t="n">
        <x:f>MIN(MAX(0,T158+P159+Q159),S158+Q159)</x:f>
        <x:v>0</x:v>
      </x:c>
      <x:c r="S159" s="62" t="n">
        <x:f>S158+Q159-R159</x:f>
        <x:v>1883.3475939977081</x:v>
      </x:c>
      <x:c r="T159" s="62" t="n">
        <x:f>MAX(0,T158+P159+Q159-R159)</x:f>
        <x:v>0</x:v>
      </x:c>
      <x:c r="U159" s="62" t="n">
        <x:f>MAX(0,-(T158+P159)-MAX(0,'17_Gia_dinh_mo_hinh'!$R$6-S158))</x:f>
        <x:v>0</x:v>
      </x:c>
      <x:c r="V159" s="61" t="str">
        <x:f>IF(B159&lt;'17_Gia_dinh_mo_hinh'!$F$6+D159,"Trước mở bán",IF(B159&lt;'17_Gia_dinh_mo_hinh'!$H$6+D159,"Bán hàng/thi công",IF(G159&gt;0,"Ghi nhận/bàn giao","Hậu bàn giao")))</x:f>
        <x:v>Ghi nhận/bàn giao</x:v>
      </x:c>
    </x:row>
    <x:row r="160">
      <x:c r="A160" s="54" t="str">
        <x:v>DA03</x:v>
      </x:c>
      <x:c r="B160" s="54" t="n">
        <x:v>37</x:v>
      </x:c>
      <x:c r="C160" s="60" t="n">
        <x:f>EDATE('17_Gia_dinh_mo_hinh'!$C$6,B160-1)</x:f>
        <x:v>47331</x:v>
      </x:c>
      <x:c r="D160" s="61" t="n">
        <x:f>ROUNDUP('17_Gia_dinh_mo_hinh'!$E$6/30,0)</x:f>
        <x:v>1</x:v>
      </x:c>
      <x:c r="E160" s="62" t="n">
        <x:f>IF(AND(B160&gt;='17_Gia_dinh_mo_hinh'!$F$6+D160,B160&lt;'17_Gia_dinh_mo_hinh'!$F$6+D160+'17_Gia_dinh_mo_hinh'!$G$6),'17_Gia_dinh_mo_hinh'!$L$6*(1-'17_Gia_dinh_mo_hinh'!$M$6)/'17_Gia_dinh_mo_hinh'!$G$6,0)</x:f>
        <x:v>0</x:v>
      </x:c>
      <x:c r="F160" s="62" t="n">
        <x:f>0.70*E160+0.30*E159</x:f>
        <x:v>0</x:v>
      </x:c>
      <x:c r="G160" s="62" t="n">
        <x:f>IF(AND(B160&gt;='17_Gia_dinh_mo_hinh'!$H$6+D160,B160&lt;'17_Gia_dinh_mo_hinh'!$H$6+D160+'17_Gia_dinh_mo_hinh'!$I$6),'17_Gia_dinh_mo_hinh'!$L$6*(1-'17_Gia_dinh_mo_hinh'!$M$6)/'17_Gia_dinh_mo_hinh'!$I$6,0)</x:f>
        <x:v>532.8</x:v>
      </x:c>
      <x:c r="H160" s="62" t="n">
        <x:f>G160*(1-'17_Gia_dinh_mo_hinh'!$N$6)</x:f>
        <x:v>372.9599999999999</x:v>
      </x:c>
      <x:c r="I160" s="62" t="n">
        <x:f>G160*'17_Gia_dinh_mo_hinh'!$O$6</x:f>
        <x:v>18.648</x:v>
      </x:c>
      <x:c r="J160" s="62" t="n">
        <x:f>G160*'17_Gia_dinh_mo_hinh'!$P$6</x:f>
        <x:v>11.721599999999999</x:v>
      </x:c>
      <x:c r="K160" s="62" t="n">
        <x:f>IF(B160&lt;='17_Gia_dinh_mo_hinh'!$J$6,'17_Gia_dinh_mo_hinh'!$K$6*(1-MIN(0.95,'17_Gia_dinh_mo_hinh'!$M$6*0.75))/'17_Gia_dinh_mo_hinh'!$J$6,0)</x:f>
        <x:v>0</x:v>
      </x:c>
      <x:c r="L160" s="62" t="n">
        <x:f>S159*'17_Gia_dinh_mo_hinh'!$Q$6/12</x:f>
        <x:v>14.909835119148523</x:v>
      </x:c>
      <x:c r="M160" s="62" t="n">
        <x:f>G160-H160-I160-J160-L160</x:f>
        <x:v>114.56056488085152</x:v>
      </x:c>
      <x:c r="N160" s="62" t="n">
        <x:f>MAX(0,M160*'17_Gia_dinh_mo_hinh'!$S$6)</x:f>
        <x:v>22.912112976170306</x:v>
      </x:c>
      <x:c r="O160" s="62" t="n">
        <x:f>M160-N160</x:f>
        <x:v>91.64845190468121</x:v>
      </x:c>
      <x:c r="P160" s="62" t="n">
        <x:f>F160-K160-I160-J160-N160-L160</x:f>
        <x:v>-68.19154809531882</x:v>
      </x:c>
      <x:c r="Q160" s="62" t="n">
        <x:f>MIN(MAX(0,-(T159+P160)),MAX(0,'17_Gia_dinh_mo_hinh'!$R$6-S159))</x:f>
        <x:v>68.19154809531882</x:v>
      </x:c>
      <x:c r="R160" s="62" t="n">
        <x:f>MIN(MAX(0,T159+P160+Q160),S159+Q160)</x:f>
        <x:v>0</x:v>
      </x:c>
      <x:c r="S160" s="62" t="n">
        <x:f>S159+Q160-R160</x:f>
        <x:v>1951.539142093027</x:v>
      </x:c>
      <x:c r="T160" s="62" t="n">
        <x:f>MAX(0,T159+P160+Q160-R160)</x:f>
        <x:v>0</x:v>
      </x:c>
      <x:c r="U160" s="62" t="n">
        <x:f>MAX(0,-(T159+P160)-MAX(0,'17_Gia_dinh_mo_hinh'!$R$6-S159))</x:f>
        <x:v>0</x:v>
      </x:c>
      <x:c r="V160" s="61" t="str">
        <x:f>IF(B160&lt;'17_Gia_dinh_mo_hinh'!$F$6+D160,"Trước mở bán",IF(B160&lt;'17_Gia_dinh_mo_hinh'!$H$6+D160,"Bán hàng/thi công",IF(G160&gt;0,"Ghi nhận/bàn giao","Hậu bàn giao")))</x:f>
        <x:v>Ghi nhận/bàn giao</x:v>
      </x:c>
    </x:row>
    <x:row r="161">
      <x:c r="A161" s="54" t="str">
        <x:v>DA03</x:v>
      </x:c>
      <x:c r="B161" s="54" t="n">
        <x:v>38</x:v>
      </x:c>
      <x:c r="C161" s="60" t="n">
        <x:f>EDATE('17_Gia_dinh_mo_hinh'!$C$6,B161-1)</x:f>
        <x:v>47362</x:v>
      </x:c>
      <x:c r="D161" s="61" t="n">
        <x:f>ROUNDUP('17_Gia_dinh_mo_hinh'!$E$6/30,0)</x:f>
        <x:v>1</x:v>
      </x:c>
      <x:c r="E161" s="62" t="n">
        <x:f>IF(AND(B161&gt;='17_Gia_dinh_mo_hinh'!$F$6+D161,B161&lt;'17_Gia_dinh_mo_hinh'!$F$6+D161+'17_Gia_dinh_mo_hinh'!$G$6),'17_Gia_dinh_mo_hinh'!$L$6*(1-'17_Gia_dinh_mo_hinh'!$M$6)/'17_Gia_dinh_mo_hinh'!$G$6,0)</x:f>
        <x:v>0</x:v>
      </x:c>
      <x:c r="F161" s="62" t="n">
        <x:f>0.70*E161+0.30*E160</x:f>
        <x:v>0</x:v>
      </x:c>
      <x:c r="G161" s="62" t="n">
        <x:f>IF(AND(B161&gt;='17_Gia_dinh_mo_hinh'!$H$6+D161,B161&lt;'17_Gia_dinh_mo_hinh'!$H$6+D161+'17_Gia_dinh_mo_hinh'!$I$6),'17_Gia_dinh_mo_hinh'!$L$6*(1-'17_Gia_dinh_mo_hinh'!$M$6)/'17_Gia_dinh_mo_hinh'!$I$6,0)</x:f>
        <x:v>532.8</x:v>
      </x:c>
      <x:c r="H161" s="62" t="n">
        <x:f>G161*(1-'17_Gia_dinh_mo_hinh'!$N$6)</x:f>
        <x:v>372.9599999999999</x:v>
      </x:c>
      <x:c r="I161" s="62" t="n">
        <x:f>G161*'17_Gia_dinh_mo_hinh'!$O$6</x:f>
        <x:v>18.648</x:v>
      </x:c>
      <x:c r="J161" s="62" t="n">
        <x:f>G161*'17_Gia_dinh_mo_hinh'!$P$6</x:f>
        <x:v>11.721599999999999</x:v>
      </x:c>
      <x:c r="K161" s="62" t="n">
        <x:f>IF(B161&lt;='17_Gia_dinh_mo_hinh'!$J$6,'17_Gia_dinh_mo_hinh'!$K$6*(1-MIN(0.95,'17_Gia_dinh_mo_hinh'!$M$6*0.75))/'17_Gia_dinh_mo_hinh'!$J$6,0)</x:f>
        <x:v>0</x:v>
      </x:c>
      <x:c r="L161" s="62" t="n">
        <x:f>S160*'17_Gia_dinh_mo_hinh'!$Q$6/12</x:f>
        <x:v>15.449684874903133</x:v>
      </x:c>
      <x:c r="M161" s="62" t="n">
        <x:f>G161-H161-I161-J161-L161</x:f>
        <x:v>114.02071512509691</x:v>
      </x:c>
      <x:c r="N161" s="62" t="n">
        <x:f>MAX(0,M161*'17_Gia_dinh_mo_hinh'!$S$6)</x:f>
        <x:v>22.804143025019386</x:v>
      </x:c>
      <x:c r="O161" s="62" t="n">
        <x:f>M161-N161</x:f>
        <x:v>91.21657210007753</x:v>
      </x:c>
      <x:c r="P161" s="62" t="n">
        <x:f>F161-K161-I161-J161-N161-L161</x:f>
        <x:v>-68.62342789992252</x:v>
      </x:c>
      <x:c r="Q161" s="62" t="n">
        <x:f>MIN(MAX(0,-(T160+P161)),MAX(0,'17_Gia_dinh_mo_hinh'!$R$6-S160))</x:f>
        <x:v>68.62342789992252</x:v>
      </x:c>
      <x:c r="R161" s="62" t="n">
        <x:f>MIN(MAX(0,T160+P161+Q161),S160+Q161)</x:f>
        <x:v>0</x:v>
      </x:c>
      <x:c r="S161" s="62" t="n">
        <x:f>S160+Q161-R161</x:f>
        <x:v>2020.1625699929496</x:v>
      </x:c>
      <x:c r="T161" s="62" t="n">
        <x:f>MAX(0,T160+P161+Q161-R161)</x:f>
        <x:v>0</x:v>
      </x:c>
      <x:c r="U161" s="62" t="n">
        <x:f>MAX(0,-(T160+P161)-MAX(0,'17_Gia_dinh_mo_hinh'!$R$6-S160))</x:f>
        <x:v>0</x:v>
      </x:c>
      <x:c r="V161" s="61" t="str">
        <x:f>IF(B161&lt;'17_Gia_dinh_mo_hinh'!$F$6+D161,"Trước mở bán",IF(B161&lt;'17_Gia_dinh_mo_hinh'!$H$6+D161,"Bán hàng/thi công",IF(G161&gt;0,"Ghi nhận/bàn giao","Hậu bàn giao")))</x:f>
        <x:v>Ghi nhận/bàn giao</x:v>
      </x:c>
    </x:row>
    <x:row r="162">
      <x:c r="A162" s="54" t="str">
        <x:v>DA03</x:v>
      </x:c>
      <x:c r="B162" s="54" t="n">
        <x:v>39</x:v>
      </x:c>
      <x:c r="C162" s="60" t="n">
        <x:f>EDATE('17_Gia_dinh_mo_hinh'!$C$6,B162-1)</x:f>
        <x:v>47392</x:v>
      </x:c>
      <x:c r="D162" s="61" t="n">
        <x:f>ROUNDUP('17_Gia_dinh_mo_hinh'!$E$6/30,0)</x:f>
        <x:v>1</x:v>
      </x:c>
      <x:c r="E162" s="62" t="n">
        <x:f>IF(AND(B162&gt;='17_Gia_dinh_mo_hinh'!$F$6+D162,B162&lt;'17_Gia_dinh_mo_hinh'!$F$6+D162+'17_Gia_dinh_mo_hinh'!$G$6),'17_Gia_dinh_mo_hinh'!$L$6*(1-'17_Gia_dinh_mo_hinh'!$M$6)/'17_Gia_dinh_mo_hinh'!$G$6,0)</x:f>
        <x:v>0</x:v>
      </x:c>
      <x:c r="F162" s="62" t="n">
        <x:f>0.70*E162+0.30*E161</x:f>
        <x:v>0</x:v>
      </x:c>
      <x:c r="G162" s="62" t="n">
        <x:f>IF(AND(B162&gt;='17_Gia_dinh_mo_hinh'!$H$6+D162,B162&lt;'17_Gia_dinh_mo_hinh'!$H$6+D162+'17_Gia_dinh_mo_hinh'!$I$6),'17_Gia_dinh_mo_hinh'!$L$6*(1-'17_Gia_dinh_mo_hinh'!$M$6)/'17_Gia_dinh_mo_hinh'!$I$6,0)</x:f>
        <x:v>532.8</x:v>
      </x:c>
      <x:c r="H162" s="62" t="n">
        <x:f>G162*(1-'17_Gia_dinh_mo_hinh'!$N$6)</x:f>
        <x:v>372.9599999999999</x:v>
      </x:c>
      <x:c r="I162" s="62" t="n">
        <x:f>G162*'17_Gia_dinh_mo_hinh'!$O$6</x:f>
        <x:v>18.648</x:v>
      </x:c>
      <x:c r="J162" s="62" t="n">
        <x:f>G162*'17_Gia_dinh_mo_hinh'!$P$6</x:f>
        <x:v>11.721599999999999</x:v>
      </x:c>
      <x:c r="K162" s="62" t="n">
        <x:f>IF(B162&lt;='17_Gia_dinh_mo_hinh'!$J$6,'17_Gia_dinh_mo_hinh'!$K$6*(1-MIN(0.95,'17_Gia_dinh_mo_hinh'!$M$6*0.75))/'17_Gia_dinh_mo_hinh'!$J$6,0)</x:f>
        <x:v>0</x:v>
      </x:c>
      <x:c r="L162" s="62" t="n">
        <x:f>S161*'17_Gia_dinh_mo_hinh'!$Q$6/12</x:f>
        <x:v>15.99295367911085</x:v>
      </x:c>
      <x:c r="M162" s="62" t="n">
        <x:f>G162-H162-I162-J162-L162</x:f>
        <x:v>113.47744632088919</x:v>
      </x:c>
      <x:c r="N162" s="62" t="n">
        <x:f>MAX(0,M162*'17_Gia_dinh_mo_hinh'!$S$6)</x:f>
        <x:v>22.695489264177837</x:v>
      </x:c>
      <x:c r="O162" s="62" t="n">
        <x:f>M162-N162</x:f>
        <x:v>90.78195705671135</x:v>
      </x:c>
      <x:c r="P162" s="62" t="n">
        <x:f>F162-K162-I162-J162-N162-L162</x:f>
        <x:v>-69.05804294328868</x:v>
      </x:c>
      <x:c r="Q162" s="62" t="n">
        <x:f>MIN(MAX(0,-(T161+P162)),MAX(0,'17_Gia_dinh_mo_hinh'!$R$6-S161))</x:f>
        <x:v>69.05804294328868</x:v>
      </x:c>
      <x:c r="R162" s="62" t="n">
        <x:f>MIN(MAX(0,T161+P162+Q162),S161+Q162)</x:f>
        <x:v>0</x:v>
      </x:c>
      <x:c r="S162" s="62" t="n">
        <x:f>S161+Q162-R162</x:f>
        <x:v>2089.2206129362385</x:v>
      </x:c>
      <x:c r="T162" s="62" t="n">
        <x:f>MAX(0,T161+P162+Q162-R162)</x:f>
        <x:v>0</x:v>
      </x:c>
      <x:c r="U162" s="62" t="n">
        <x:f>MAX(0,-(T161+P162)-MAX(0,'17_Gia_dinh_mo_hinh'!$R$6-S161))</x:f>
        <x:v>0</x:v>
      </x:c>
      <x:c r="V162" s="61" t="str">
        <x:f>IF(B162&lt;'17_Gia_dinh_mo_hinh'!$F$6+D162,"Trước mở bán",IF(B162&lt;'17_Gia_dinh_mo_hinh'!$H$6+D162,"Bán hàng/thi công",IF(G162&gt;0,"Ghi nhận/bàn giao","Hậu bàn giao")))</x:f>
        <x:v>Ghi nhận/bàn giao</x:v>
      </x:c>
    </x:row>
    <x:row r="163">
      <x:c r="A163" s="54" t="str">
        <x:v>DA03</x:v>
      </x:c>
      <x:c r="B163" s="54" t="n">
        <x:v>40</x:v>
      </x:c>
      <x:c r="C163" s="60" t="n">
        <x:f>EDATE('17_Gia_dinh_mo_hinh'!$C$6,B163-1)</x:f>
        <x:v>47423</x:v>
      </x:c>
      <x:c r="D163" s="61" t="n">
        <x:f>ROUNDUP('17_Gia_dinh_mo_hinh'!$E$6/30,0)</x:f>
        <x:v>1</x:v>
      </x:c>
      <x:c r="E163" s="62" t="n">
        <x:f>IF(AND(B163&gt;='17_Gia_dinh_mo_hinh'!$F$6+D163,B163&lt;'17_Gia_dinh_mo_hinh'!$F$6+D163+'17_Gia_dinh_mo_hinh'!$G$6),'17_Gia_dinh_mo_hinh'!$L$6*(1-'17_Gia_dinh_mo_hinh'!$M$6)/'17_Gia_dinh_mo_hinh'!$G$6,0)</x:f>
        <x:v>0</x:v>
      </x:c>
      <x:c r="F163" s="62" t="n">
        <x:f>0.70*E163+0.30*E162</x:f>
        <x:v>0</x:v>
      </x:c>
      <x:c r="G163" s="62" t="n">
        <x:f>IF(AND(B163&gt;='17_Gia_dinh_mo_hinh'!$H$6+D163,B163&lt;'17_Gia_dinh_mo_hinh'!$H$6+D163+'17_Gia_dinh_mo_hinh'!$I$6),'17_Gia_dinh_mo_hinh'!$L$6*(1-'17_Gia_dinh_mo_hinh'!$M$6)/'17_Gia_dinh_mo_hinh'!$I$6,0)</x:f>
        <x:v>532.8</x:v>
      </x:c>
      <x:c r="H163" s="62" t="n">
        <x:f>G163*(1-'17_Gia_dinh_mo_hinh'!$N$6)</x:f>
        <x:v>372.9599999999999</x:v>
      </x:c>
      <x:c r="I163" s="62" t="n">
        <x:f>G163*'17_Gia_dinh_mo_hinh'!$O$6</x:f>
        <x:v>18.648</x:v>
      </x:c>
      <x:c r="J163" s="62" t="n">
        <x:f>G163*'17_Gia_dinh_mo_hinh'!$P$6</x:f>
        <x:v>11.721599999999999</x:v>
      </x:c>
      <x:c r="K163" s="62" t="n">
        <x:f>IF(B163&lt;='17_Gia_dinh_mo_hinh'!$J$6,'17_Gia_dinh_mo_hinh'!$K$6*(1-MIN(0.95,'17_Gia_dinh_mo_hinh'!$M$6*0.75))/'17_Gia_dinh_mo_hinh'!$J$6,0)</x:f>
        <x:v>0</x:v>
      </x:c>
      <x:c r="L163" s="62" t="n">
        <x:f>S162*'17_Gia_dinh_mo_hinh'!$Q$6/12</x:f>
        <x:v>16.539663185745223</x:v>
      </x:c>
      <x:c r="M163" s="62" t="n">
        <x:f>G163-H163-I163-J163-L163</x:f>
        <x:v>112.93073681425481</x:v>
      </x:c>
      <x:c r="N163" s="62" t="n">
        <x:f>MAX(0,M163*'17_Gia_dinh_mo_hinh'!$S$6)</x:f>
        <x:v>22.586147362850966</x:v>
      </x:c>
      <x:c r="O163" s="62" t="n">
        <x:f>M163-N163</x:f>
        <x:v>90.34458945140385</x:v>
      </x:c>
      <x:c r="P163" s="62" t="n">
        <x:f>F163-K163-I163-J163-N163-L163</x:f>
        <x:v>-69.49541054859618</x:v>
      </x:c>
      <x:c r="Q163" s="62" t="n">
        <x:f>MIN(MAX(0,-(T162+P163)),MAX(0,'17_Gia_dinh_mo_hinh'!$R$6-S162))</x:f>
        <x:v>69.49541054859618</x:v>
      </x:c>
      <x:c r="R163" s="62" t="n">
        <x:f>MIN(MAX(0,T162+P163+Q163),S162+Q163)</x:f>
        <x:v>0</x:v>
      </x:c>
      <x:c r="S163" s="62" t="n">
        <x:f>S162+Q163-R163</x:f>
        <x:v>2158.7160234848347</x:v>
      </x:c>
      <x:c r="T163" s="62" t="n">
        <x:f>MAX(0,T162+P163+Q163-R163)</x:f>
        <x:v>0</x:v>
      </x:c>
      <x:c r="U163" s="62" t="n">
        <x:f>MAX(0,-(T162+P163)-MAX(0,'17_Gia_dinh_mo_hinh'!$R$6-S162))</x:f>
        <x:v>0</x:v>
      </x:c>
      <x:c r="V163" s="61" t="str">
        <x:f>IF(B163&lt;'17_Gia_dinh_mo_hinh'!$F$6+D163,"Trước mở bán",IF(B163&lt;'17_Gia_dinh_mo_hinh'!$H$6+D163,"Bán hàng/thi công",IF(G163&gt;0,"Ghi nhận/bàn giao","Hậu bàn giao")))</x:f>
        <x:v>Ghi nhận/bàn giao</x:v>
      </x:c>
    </x:row>
    <x:row r="164">
      <x:c r="A164" s="54" t="str">
        <x:v>DA03</x:v>
      </x:c>
      <x:c r="B164" s="54" t="n">
        <x:v>41</x:v>
      </x:c>
      <x:c r="C164" s="60" t="n">
        <x:f>EDATE('17_Gia_dinh_mo_hinh'!$C$6,B164-1)</x:f>
        <x:v>47453</x:v>
      </x:c>
      <x:c r="D164" s="61" t="n">
        <x:f>ROUNDUP('17_Gia_dinh_mo_hinh'!$E$6/30,0)</x:f>
        <x:v>1</x:v>
      </x:c>
      <x:c r="E164" s="62" t="n">
        <x:f>IF(AND(B164&gt;='17_Gia_dinh_mo_hinh'!$F$6+D164,B164&lt;'17_Gia_dinh_mo_hinh'!$F$6+D164+'17_Gia_dinh_mo_hinh'!$G$6),'17_Gia_dinh_mo_hinh'!$L$6*(1-'17_Gia_dinh_mo_hinh'!$M$6)/'17_Gia_dinh_mo_hinh'!$G$6,0)</x:f>
        <x:v>0</x:v>
      </x:c>
      <x:c r="F164" s="62" t="n">
        <x:f>0.70*E164+0.30*E163</x:f>
        <x:v>0</x:v>
      </x:c>
      <x:c r="G164" s="62" t="n">
        <x:f>IF(AND(B164&gt;='17_Gia_dinh_mo_hinh'!$H$6+D164,B164&lt;'17_Gia_dinh_mo_hinh'!$H$6+D164+'17_Gia_dinh_mo_hinh'!$I$6),'17_Gia_dinh_mo_hinh'!$L$6*(1-'17_Gia_dinh_mo_hinh'!$M$6)/'17_Gia_dinh_mo_hinh'!$I$6,0)</x:f>
        <x:v>0</x:v>
      </x:c>
      <x:c r="H164" s="62" t="n">
        <x:f>G164*(1-'17_Gia_dinh_mo_hinh'!$N$6)</x:f>
        <x:v>0</x:v>
      </x:c>
      <x:c r="I164" s="62" t="n">
        <x:f>G164*'17_Gia_dinh_mo_hinh'!$O$6</x:f>
        <x:v>0</x:v>
      </x:c>
      <x:c r="J164" s="62" t="n">
        <x:f>G164*'17_Gia_dinh_mo_hinh'!$P$6</x:f>
        <x:v>0</x:v>
      </x:c>
      <x:c r="K164" s="62" t="n">
        <x:f>IF(B164&lt;='17_Gia_dinh_mo_hinh'!$J$6,'17_Gia_dinh_mo_hinh'!$K$6*(1-MIN(0.95,'17_Gia_dinh_mo_hinh'!$M$6*0.75))/'17_Gia_dinh_mo_hinh'!$J$6,0)</x:f>
        <x:v>0</x:v>
      </x:c>
      <x:c r="L164" s="62" t="n">
        <x:f>S163*'17_Gia_dinh_mo_hinh'!$Q$6/12</x:f>
        <x:v>17.089835185921608</x:v>
      </x:c>
      <x:c r="M164" s="62" t="n">
        <x:f>G164-H164-I164-J164-L164</x:f>
        <x:v>-17.089835185921608</x:v>
      </x:c>
      <x:c r="N164" s="62" t="n">
        <x:f>MAX(0,M164*'17_Gia_dinh_mo_hinh'!$S$6)</x:f>
        <x:v>0</x:v>
      </x:c>
      <x:c r="O164" s="62" t="n">
        <x:f>M164-N164</x:f>
        <x:v>-17.089835185921608</x:v>
      </x:c>
      <x:c r="P164" s="62" t="n">
        <x:f>F164-K164-I164-J164-N164-L164</x:f>
        <x:v>-17.089835185921608</x:v>
      </x:c>
      <x:c r="Q164" s="62" t="n">
        <x:f>MIN(MAX(0,-(T163+P164)),MAX(0,'17_Gia_dinh_mo_hinh'!$R$6-S163))</x:f>
        <x:v>17.089835185921608</x:v>
      </x:c>
      <x:c r="R164" s="62" t="n">
        <x:f>MIN(MAX(0,T163+P164+Q164),S163+Q164)</x:f>
        <x:v>0</x:v>
      </x:c>
      <x:c r="S164" s="62" t="n">
        <x:f>S163+Q164-R164</x:f>
        <x:v>2175.805858670756</x:v>
      </x:c>
      <x:c r="T164" s="62" t="n">
        <x:f>MAX(0,T163+P164+Q164-R164)</x:f>
        <x:v>0</x:v>
      </x:c>
      <x:c r="U164" s="62" t="n">
        <x:f>MAX(0,-(T163+P164)-MAX(0,'17_Gia_dinh_mo_hinh'!$R$6-S163))</x:f>
        <x:v>0</x:v>
      </x:c>
      <x:c r="V164" s="61" t="str">
        <x:f>IF(B164&lt;'17_Gia_dinh_mo_hinh'!$F$6+D164,"Trước mở bán",IF(B164&lt;'17_Gia_dinh_mo_hinh'!$H$6+D164,"Bán hàng/thi công",IF(G164&gt;0,"Ghi nhận/bàn giao","Hậu bàn giao")))</x:f>
        <x:v>Hậu bàn giao</x:v>
      </x:c>
    </x:row>
    <x:row r="165">
      <x:c r="A165" s="54" t="str">
        <x:v>DA03</x:v>
      </x:c>
      <x:c r="B165" s="54" t="n">
        <x:v>42</x:v>
      </x:c>
      <x:c r="C165" s="60" t="n">
        <x:f>EDATE('17_Gia_dinh_mo_hinh'!$C$6,B165-1)</x:f>
        <x:v>47484</x:v>
      </x:c>
      <x:c r="D165" s="61" t="n">
        <x:f>ROUNDUP('17_Gia_dinh_mo_hinh'!$E$6/30,0)</x:f>
        <x:v>1</x:v>
      </x:c>
      <x:c r="E165" s="62" t="n">
        <x:f>IF(AND(B165&gt;='17_Gia_dinh_mo_hinh'!$F$6+D165,B165&lt;'17_Gia_dinh_mo_hinh'!$F$6+D165+'17_Gia_dinh_mo_hinh'!$G$6),'17_Gia_dinh_mo_hinh'!$L$6*(1-'17_Gia_dinh_mo_hinh'!$M$6)/'17_Gia_dinh_mo_hinh'!$G$6,0)</x:f>
        <x:v>0</x:v>
      </x:c>
      <x:c r="F165" s="62" t="n">
        <x:f>0.70*E165+0.30*E164</x:f>
        <x:v>0</x:v>
      </x:c>
      <x:c r="G165" s="62" t="n">
        <x:f>IF(AND(B165&gt;='17_Gia_dinh_mo_hinh'!$H$6+D165,B165&lt;'17_Gia_dinh_mo_hinh'!$H$6+D165+'17_Gia_dinh_mo_hinh'!$I$6),'17_Gia_dinh_mo_hinh'!$L$6*(1-'17_Gia_dinh_mo_hinh'!$M$6)/'17_Gia_dinh_mo_hinh'!$I$6,0)</x:f>
        <x:v>0</x:v>
      </x:c>
      <x:c r="H165" s="62" t="n">
        <x:f>G165*(1-'17_Gia_dinh_mo_hinh'!$N$6)</x:f>
        <x:v>0</x:v>
      </x:c>
      <x:c r="I165" s="62" t="n">
        <x:f>G165*'17_Gia_dinh_mo_hinh'!$O$6</x:f>
        <x:v>0</x:v>
      </x:c>
      <x:c r="J165" s="62" t="n">
        <x:f>G165*'17_Gia_dinh_mo_hinh'!$P$6</x:f>
        <x:v>0</x:v>
      </x:c>
      <x:c r="K165" s="62" t="n">
        <x:f>IF(B165&lt;='17_Gia_dinh_mo_hinh'!$J$6,'17_Gia_dinh_mo_hinh'!$K$6*(1-MIN(0.95,'17_Gia_dinh_mo_hinh'!$M$6*0.75))/'17_Gia_dinh_mo_hinh'!$J$6,0)</x:f>
        <x:v>0</x:v>
      </x:c>
      <x:c r="L165" s="62" t="n">
        <x:f>S164*'17_Gia_dinh_mo_hinh'!$Q$6/12</x:f>
        <x:v>17.225129714476818</x:v>
      </x:c>
      <x:c r="M165" s="62" t="n">
        <x:f>G165-H165-I165-J165-L165</x:f>
        <x:v>-17.225129714476818</x:v>
      </x:c>
      <x:c r="N165" s="62" t="n">
        <x:f>MAX(0,M165*'17_Gia_dinh_mo_hinh'!$S$6)</x:f>
        <x:v>0</x:v>
      </x:c>
      <x:c r="O165" s="62" t="n">
        <x:f>M165-N165</x:f>
        <x:v>-17.225129714476818</x:v>
      </x:c>
      <x:c r="P165" s="62" t="n">
        <x:f>F165-K165-I165-J165-N165-L165</x:f>
        <x:v>-17.225129714476818</x:v>
      </x:c>
      <x:c r="Q165" s="62" t="n">
        <x:f>MIN(MAX(0,-(T164+P165)),MAX(0,'17_Gia_dinh_mo_hinh'!$R$6-S164))</x:f>
        <x:v>17.225129714476818</x:v>
      </x:c>
      <x:c r="R165" s="62" t="n">
        <x:f>MIN(MAX(0,T164+P165+Q165),S164+Q165)</x:f>
        <x:v>0</x:v>
      </x:c>
      <x:c r="S165" s="62" t="n">
        <x:f>S164+Q165-R165</x:f>
        <x:v>2193.030988385233</x:v>
      </x:c>
      <x:c r="T165" s="62" t="n">
        <x:f>MAX(0,T164+P165+Q165-R165)</x:f>
        <x:v>0</x:v>
      </x:c>
      <x:c r="U165" s="62" t="n">
        <x:f>MAX(0,-(T164+P165)-MAX(0,'17_Gia_dinh_mo_hinh'!$R$6-S164))</x:f>
        <x:v>0</x:v>
      </x:c>
      <x:c r="V165" s="61" t="str">
        <x:f>IF(B165&lt;'17_Gia_dinh_mo_hinh'!$F$6+D165,"Trước mở bán",IF(B165&lt;'17_Gia_dinh_mo_hinh'!$H$6+D165,"Bán hàng/thi công",IF(G165&gt;0,"Ghi nhận/bàn giao","Hậu bàn giao")))</x:f>
        <x:v>Hậu bàn giao</x:v>
      </x:c>
    </x:row>
    <x:row r="166">
      <x:c r="A166" s="54" t="str">
        <x:v>DA03</x:v>
      </x:c>
      <x:c r="B166" s="54" t="n">
        <x:v>43</x:v>
      </x:c>
      <x:c r="C166" s="60" t="n">
        <x:f>EDATE('17_Gia_dinh_mo_hinh'!$C$6,B166-1)</x:f>
        <x:v>47515</x:v>
      </x:c>
      <x:c r="D166" s="61" t="n">
        <x:f>ROUNDUP('17_Gia_dinh_mo_hinh'!$E$6/30,0)</x:f>
        <x:v>1</x:v>
      </x:c>
      <x:c r="E166" s="62" t="n">
        <x:f>IF(AND(B166&gt;='17_Gia_dinh_mo_hinh'!$F$6+D166,B166&lt;'17_Gia_dinh_mo_hinh'!$F$6+D166+'17_Gia_dinh_mo_hinh'!$G$6),'17_Gia_dinh_mo_hinh'!$L$6*(1-'17_Gia_dinh_mo_hinh'!$M$6)/'17_Gia_dinh_mo_hinh'!$G$6,0)</x:f>
        <x:v>0</x:v>
      </x:c>
      <x:c r="F166" s="62" t="n">
        <x:f>0.70*E166+0.30*E165</x:f>
        <x:v>0</x:v>
      </x:c>
      <x:c r="G166" s="62" t="n">
        <x:f>IF(AND(B166&gt;='17_Gia_dinh_mo_hinh'!$H$6+D166,B166&lt;'17_Gia_dinh_mo_hinh'!$H$6+D166+'17_Gia_dinh_mo_hinh'!$I$6),'17_Gia_dinh_mo_hinh'!$L$6*(1-'17_Gia_dinh_mo_hinh'!$M$6)/'17_Gia_dinh_mo_hinh'!$I$6,0)</x:f>
        <x:v>0</x:v>
      </x:c>
      <x:c r="H166" s="62" t="n">
        <x:f>G166*(1-'17_Gia_dinh_mo_hinh'!$N$6)</x:f>
        <x:v>0</x:v>
      </x:c>
      <x:c r="I166" s="62" t="n">
        <x:f>G166*'17_Gia_dinh_mo_hinh'!$O$6</x:f>
        <x:v>0</x:v>
      </x:c>
      <x:c r="J166" s="62" t="n">
        <x:f>G166*'17_Gia_dinh_mo_hinh'!$P$6</x:f>
        <x:v>0</x:v>
      </x:c>
      <x:c r="K166" s="62" t="n">
        <x:f>IF(B166&lt;='17_Gia_dinh_mo_hinh'!$J$6,'17_Gia_dinh_mo_hinh'!$K$6*(1-MIN(0.95,'17_Gia_dinh_mo_hinh'!$M$6*0.75))/'17_Gia_dinh_mo_hinh'!$J$6,0)</x:f>
        <x:v>0</x:v>
      </x:c>
      <x:c r="L166" s="62" t="n">
        <x:f>S165*'17_Gia_dinh_mo_hinh'!$Q$6/12</x:f>
        <x:v>17.361495324716426</x:v>
      </x:c>
      <x:c r="M166" s="62" t="n">
        <x:f>G166-H166-I166-J166-L166</x:f>
        <x:v>-17.361495324716426</x:v>
      </x:c>
      <x:c r="N166" s="62" t="n">
        <x:f>MAX(0,M166*'17_Gia_dinh_mo_hinh'!$S$6)</x:f>
        <x:v>0</x:v>
      </x:c>
      <x:c r="O166" s="62" t="n">
        <x:f>M166-N166</x:f>
        <x:v>-17.361495324716426</x:v>
      </x:c>
      <x:c r="P166" s="62" t="n">
        <x:f>F166-K166-I166-J166-N166-L166</x:f>
        <x:v>-17.361495324716426</x:v>
      </x:c>
      <x:c r="Q166" s="62" t="n">
        <x:f>MIN(MAX(0,-(T165+P166)),MAX(0,'17_Gia_dinh_mo_hinh'!$R$6-S165))</x:f>
        <x:v>17.361495324716426</x:v>
      </x:c>
      <x:c r="R166" s="62" t="n">
        <x:f>MIN(MAX(0,T165+P166+Q166),S165+Q166)</x:f>
        <x:v>0</x:v>
      </x:c>
      <x:c r="S166" s="62" t="n">
        <x:f>S165+Q166-R166</x:f>
        <x:v>2210.3924837099494</x:v>
      </x:c>
      <x:c r="T166" s="62" t="n">
        <x:f>MAX(0,T165+P166+Q166-R166)</x:f>
        <x:v>0</x:v>
      </x:c>
      <x:c r="U166" s="62" t="n">
        <x:f>MAX(0,-(T165+P166)-MAX(0,'17_Gia_dinh_mo_hinh'!$R$6-S165))</x:f>
        <x:v>0</x:v>
      </x:c>
      <x:c r="V166" s="61" t="str">
        <x:f>IF(B166&lt;'17_Gia_dinh_mo_hinh'!$F$6+D166,"Trước mở bán",IF(B166&lt;'17_Gia_dinh_mo_hinh'!$H$6+D166,"Bán hàng/thi công",IF(G166&gt;0,"Ghi nhận/bàn giao","Hậu bàn giao")))</x:f>
        <x:v>Hậu bàn giao</x:v>
      </x:c>
    </x:row>
    <x:row r="167">
      <x:c r="A167" s="54" t="str">
        <x:v>DA03</x:v>
      </x:c>
      <x:c r="B167" s="54" t="n">
        <x:v>44</x:v>
      </x:c>
      <x:c r="C167" s="60" t="n">
        <x:f>EDATE('17_Gia_dinh_mo_hinh'!$C$6,B167-1)</x:f>
        <x:v>47543</x:v>
      </x:c>
      <x:c r="D167" s="61" t="n">
        <x:f>ROUNDUP('17_Gia_dinh_mo_hinh'!$E$6/30,0)</x:f>
        <x:v>1</x:v>
      </x:c>
      <x:c r="E167" s="62" t="n">
        <x:f>IF(AND(B167&gt;='17_Gia_dinh_mo_hinh'!$F$6+D167,B167&lt;'17_Gia_dinh_mo_hinh'!$F$6+D167+'17_Gia_dinh_mo_hinh'!$G$6),'17_Gia_dinh_mo_hinh'!$L$6*(1-'17_Gia_dinh_mo_hinh'!$M$6)/'17_Gia_dinh_mo_hinh'!$G$6,0)</x:f>
        <x:v>0</x:v>
      </x:c>
      <x:c r="F167" s="62" t="n">
        <x:f>0.70*E167+0.30*E166</x:f>
        <x:v>0</x:v>
      </x:c>
      <x:c r="G167" s="62" t="n">
        <x:f>IF(AND(B167&gt;='17_Gia_dinh_mo_hinh'!$H$6+D167,B167&lt;'17_Gia_dinh_mo_hinh'!$H$6+D167+'17_Gia_dinh_mo_hinh'!$I$6),'17_Gia_dinh_mo_hinh'!$L$6*(1-'17_Gia_dinh_mo_hinh'!$M$6)/'17_Gia_dinh_mo_hinh'!$I$6,0)</x:f>
        <x:v>0</x:v>
      </x:c>
      <x:c r="H167" s="62" t="n">
        <x:f>G167*(1-'17_Gia_dinh_mo_hinh'!$N$6)</x:f>
        <x:v>0</x:v>
      </x:c>
      <x:c r="I167" s="62" t="n">
        <x:f>G167*'17_Gia_dinh_mo_hinh'!$O$6</x:f>
        <x:v>0</x:v>
      </x:c>
      <x:c r="J167" s="62" t="n">
        <x:f>G167*'17_Gia_dinh_mo_hinh'!$P$6</x:f>
        <x:v>0</x:v>
      </x:c>
      <x:c r="K167" s="62" t="n">
        <x:f>IF(B167&lt;='17_Gia_dinh_mo_hinh'!$J$6,'17_Gia_dinh_mo_hinh'!$K$6*(1-MIN(0.95,'17_Gia_dinh_mo_hinh'!$M$6*0.75))/'17_Gia_dinh_mo_hinh'!$J$6,0)</x:f>
        <x:v>0</x:v>
      </x:c>
      <x:c r="L167" s="62" t="n">
        <x:f>S166*'17_Gia_dinh_mo_hinh'!$Q$6/12</x:f>
        <x:v>17.4989404960371</x:v>
      </x:c>
      <x:c r="M167" s="62" t="n">
        <x:f>G167-H167-I167-J167-L167</x:f>
        <x:v>-17.4989404960371</x:v>
      </x:c>
      <x:c r="N167" s="62" t="n">
        <x:f>MAX(0,M167*'17_Gia_dinh_mo_hinh'!$S$6)</x:f>
        <x:v>0</x:v>
      </x:c>
      <x:c r="O167" s="62" t="n">
        <x:f>M167-N167</x:f>
        <x:v>-17.4989404960371</x:v>
      </x:c>
      <x:c r="P167" s="62" t="n">
        <x:f>F167-K167-I167-J167-N167-L167</x:f>
        <x:v>-17.4989404960371</x:v>
      </x:c>
      <x:c r="Q167" s="62" t="n">
        <x:f>MIN(MAX(0,-(T166+P167)),MAX(0,'17_Gia_dinh_mo_hinh'!$R$6-S166))</x:f>
        <x:v>17.4989404960371</x:v>
      </x:c>
      <x:c r="R167" s="62" t="n">
        <x:f>MIN(MAX(0,T166+P167+Q167),S166+Q167)</x:f>
        <x:v>0</x:v>
      </x:c>
      <x:c r="S167" s="62" t="n">
        <x:f>S166+Q167-R167</x:f>
        <x:v>2227.8914242059864</x:v>
      </x:c>
      <x:c r="T167" s="62" t="n">
        <x:f>MAX(0,T166+P167+Q167-R167)</x:f>
        <x:v>0</x:v>
      </x:c>
      <x:c r="U167" s="62" t="n">
        <x:f>MAX(0,-(T166+P167)-MAX(0,'17_Gia_dinh_mo_hinh'!$R$6-S166))</x:f>
        <x:v>0</x:v>
      </x:c>
      <x:c r="V167" s="61" t="str">
        <x:f>IF(B167&lt;'17_Gia_dinh_mo_hinh'!$F$6+D167,"Trước mở bán",IF(B167&lt;'17_Gia_dinh_mo_hinh'!$H$6+D167,"Bán hàng/thi công",IF(G167&gt;0,"Ghi nhận/bàn giao","Hậu bàn giao")))</x:f>
        <x:v>Hậu bàn giao</x:v>
      </x:c>
    </x:row>
    <x:row r="168">
      <x:c r="A168" s="54" t="str">
        <x:v>DA03</x:v>
      </x:c>
      <x:c r="B168" s="54" t="n">
        <x:v>45</x:v>
      </x:c>
      <x:c r="C168" s="60" t="n">
        <x:f>EDATE('17_Gia_dinh_mo_hinh'!$C$6,B168-1)</x:f>
        <x:v>47574</x:v>
      </x:c>
      <x:c r="D168" s="61" t="n">
        <x:f>ROUNDUP('17_Gia_dinh_mo_hinh'!$E$6/30,0)</x:f>
        <x:v>1</x:v>
      </x:c>
      <x:c r="E168" s="62" t="n">
        <x:f>IF(AND(B168&gt;='17_Gia_dinh_mo_hinh'!$F$6+D168,B168&lt;'17_Gia_dinh_mo_hinh'!$F$6+D168+'17_Gia_dinh_mo_hinh'!$G$6),'17_Gia_dinh_mo_hinh'!$L$6*(1-'17_Gia_dinh_mo_hinh'!$M$6)/'17_Gia_dinh_mo_hinh'!$G$6,0)</x:f>
        <x:v>0</x:v>
      </x:c>
      <x:c r="F168" s="62" t="n">
        <x:f>0.70*E168+0.30*E167</x:f>
        <x:v>0</x:v>
      </x:c>
      <x:c r="G168" s="62" t="n">
        <x:f>IF(AND(B168&gt;='17_Gia_dinh_mo_hinh'!$H$6+D168,B168&lt;'17_Gia_dinh_mo_hinh'!$H$6+D168+'17_Gia_dinh_mo_hinh'!$I$6),'17_Gia_dinh_mo_hinh'!$L$6*(1-'17_Gia_dinh_mo_hinh'!$M$6)/'17_Gia_dinh_mo_hinh'!$I$6,0)</x:f>
        <x:v>0</x:v>
      </x:c>
      <x:c r="H168" s="62" t="n">
        <x:f>G168*(1-'17_Gia_dinh_mo_hinh'!$N$6)</x:f>
        <x:v>0</x:v>
      </x:c>
      <x:c r="I168" s="62" t="n">
        <x:f>G168*'17_Gia_dinh_mo_hinh'!$O$6</x:f>
        <x:v>0</x:v>
      </x:c>
      <x:c r="J168" s="62" t="n">
        <x:f>G168*'17_Gia_dinh_mo_hinh'!$P$6</x:f>
        <x:v>0</x:v>
      </x:c>
      <x:c r="K168" s="62" t="n">
        <x:f>IF(B168&lt;='17_Gia_dinh_mo_hinh'!$J$6,'17_Gia_dinh_mo_hinh'!$K$6*(1-MIN(0.95,'17_Gia_dinh_mo_hinh'!$M$6*0.75))/'17_Gia_dinh_mo_hinh'!$J$6,0)</x:f>
        <x:v>0</x:v>
      </x:c>
      <x:c r="L168" s="62" t="n">
        <x:f>S167*'17_Gia_dinh_mo_hinh'!$Q$6/12</x:f>
        <x:v>17.63747377496406</x:v>
      </x:c>
      <x:c r="M168" s="62" t="n">
        <x:f>G168-H168-I168-J168-L168</x:f>
        <x:v>-17.63747377496406</x:v>
      </x:c>
      <x:c r="N168" s="62" t="n">
        <x:f>MAX(0,M168*'17_Gia_dinh_mo_hinh'!$S$6)</x:f>
        <x:v>0</x:v>
      </x:c>
      <x:c r="O168" s="62" t="n">
        <x:f>M168-N168</x:f>
        <x:v>-17.63747377496406</x:v>
      </x:c>
      <x:c r="P168" s="62" t="n">
        <x:f>F168-K168-I168-J168-N168-L168</x:f>
        <x:v>-17.63747377496406</x:v>
      </x:c>
      <x:c r="Q168" s="62" t="n">
        <x:f>MIN(MAX(0,-(T167+P168)),MAX(0,'17_Gia_dinh_mo_hinh'!$R$6-S167))</x:f>
        <x:v>17.63747377496406</x:v>
      </x:c>
      <x:c r="R168" s="62" t="n">
        <x:f>MIN(MAX(0,T167+P168+Q168),S167+Q168)</x:f>
        <x:v>0</x:v>
      </x:c>
      <x:c r="S168" s="62" t="n">
        <x:f>S167+Q168-R168</x:f>
        <x:v>2245.52889798095</x:v>
      </x:c>
      <x:c r="T168" s="62" t="n">
        <x:f>MAX(0,T167+P168+Q168-R168)</x:f>
        <x:v>0</x:v>
      </x:c>
      <x:c r="U168" s="62" t="n">
        <x:f>MAX(0,-(T167+P168)-MAX(0,'17_Gia_dinh_mo_hinh'!$R$6-S167))</x:f>
        <x:v>0</x:v>
      </x:c>
      <x:c r="V168" s="61" t="str">
        <x:f>IF(B168&lt;'17_Gia_dinh_mo_hinh'!$F$6+D168,"Trước mở bán",IF(B168&lt;'17_Gia_dinh_mo_hinh'!$H$6+D168,"Bán hàng/thi công",IF(G168&gt;0,"Ghi nhận/bàn giao","Hậu bàn giao")))</x:f>
        <x:v>Hậu bàn giao</x:v>
      </x:c>
    </x:row>
    <x:row r="169">
      <x:c r="A169" s="54" t="str">
        <x:v>DA03</x:v>
      </x:c>
      <x:c r="B169" s="54" t="n">
        <x:v>46</x:v>
      </x:c>
      <x:c r="C169" s="60" t="n">
        <x:f>EDATE('17_Gia_dinh_mo_hinh'!$C$6,B169-1)</x:f>
        <x:v>47604</x:v>
      </x:c>
      <x:c r="D169" s="61" t="n">
        <x:f>ROUNDUP('17_Gia_dinh_mo_hinh'!$E$6/30,0)</x:f>
        <x:v>1</x:v>
      </x:c>
      <x:c r="E169" s="62" t="n">
        <x:f>IF(AND(B169&gt;='17_Gia_dinh_mo_hinh'!$F$6+D169,B169&lt;'17_Gia_dinh_mo_hinh'!$F$6+D169+'17_Gia_dinh_mo_hinh'!$G$6),'17_Gia_dinh_mo_hinh'!$L$6*(1-'17_Gia_dinh_mo_hinh'!$M$6)/'17_Gia_dinh_mo_hinh'!$G$6,0)</x:f>
        <x:v>0</x:v>
      </x:c>
      <x:c r="F169" s="62" t="n">
        <x:f>0.70*E169+0.30*E168</x:f>
        <x:v>0</x:v>
      </x:c>
      <x:c r="G169" s="62" t="n">
        <x:f>IF(AND(B169&gt;='17_Gia_dinh_mo_hinh'!$H$6+D169,B169&lt;'17_Gia_dinh_mo_hinh'!$H$6+D169+'17_Gia_dinh_mo_hinh'!$I$6),'17_Gia_dinh_mo_hinh'!$L$6*(1-'17_Gia_dinh_mo_hinh'!$M$6)/'17_Gia_dinh_mo_hinh'!$I$6,0)</x:f>
        <x:v>0</x:v>
      </x:c>
      <x:c r="H169" s="62" t="n">
        <x:f>G169*(1-'17_Gia_dinh_mo_hinh'!$N$6)</x:f>
        <x:v>0</x:v>
      </x:c>
      <x:c r="I169" s="62" t="n">
        <x:f>G169*'17_Gia_dinh_mo_hinh'!$O$6</x:f>
        <x:v>0</x:v>
      </x:c>
      <x:c r="J169" s="62" t="n">
        <x:f>G169*'17_Gia_dinh_mo_hinh'!$P$6</x:f>
        <x:v>0</x:v>
      </x:c>
      <x:c r="K169" s="62" t="n">
        <x:f>IF(B169&lt;='17_Gia_dinh_mo_hinh'!$J$6,'17_Gia_dinh_mo_hinh'!$K$6*(1-MIN(0.95,'17_Gia_dinh_mo_hinh'!$M$6*0.75))/'17_Gia_dinh_mo_hinh'!$J$6,0)</x:f>
        <x:v>0</x:v>
      </x:c>
      <x:c r="L169" s="62" t="n">
        <x:f>S168*'17_Gia_dinh_mo_hinh'!$Q$6/12</x:f>
        <x:v>17.777103775682523</x:v>
      </x:c>
      <x:c r="M169" s="62" t="n">
        <x:f>G169-H169-I169-J169-L169</x:f>
        <x:v>-17.777103775682523</x:v>
      </x:c>
      <x:c r="N169" s="62" t="n">
        <x:f>MAX(0,M169*'17_Gia_dinh_mo_hinh'!$S$6)</x:f>
        <x:v>0</x:v>
      </x:c>
      <x:c r="O169" s="62" t="n">
        <x:f>M169-N169</x:f>
        <x:v>-17.777103775682523</x:v>
      </x:c>
      <x:c r="P169" s="62" t="n">
        <x:f>F169-K169-I169-J169-N169-L169</x:f>
        <x:v>-17.777103775682523</x:v>
      </x:c>
      <x:c r="Q169" s="62" t="n">
        <x:f>MIN(MAX(0,-(T168+P169)),MAX(0,'17_Gia_dinh_mo_hinh'!$R$6-S168))</x:f>
        <x:v>17.777103775682523</x:v>
      </x:c>
      <x:c r="R169" s="62" t="n">
        <x:f>MIN(MAX(0,T168+P169+Q169),S168+Q169)</x:f>
        <x:v>0</x:v>
      </x:c>
      <x:c r="S169" s="62" t="n">
        <x:f>S168+Q169-R169</x:f>
        <x:v>2263.3060017566327</x:v>
      </x:c>
      <x:c r="T169" s="62" t="n">
        <x:f>MAX(0,T168+P169+Q169-R169)</x:f>
        <x:v>0</x:v>
      </x:c>
      <x:c r="U169" s="62" t="n">
        <x:f>MAX(0,-(T168+P169)-MAX(0,'17_Gia_dinh_mo_hinh'!$R$6-S168))</x:f>
        <x:v>0</x:v>
      </x:c>
      <x:c r="V169" s="61" t="str">
        <x:f>IF(B169&lt;'17_Gia_dinh_mo_hinh'!$F$6+D169,"Trước mở bán",IF(B169&lt;'17_Gia_dinh_mo_hinh'!$H$6+D169,"Bán hàng/thi công",IF(G169&gt;0,"Ghi nhận/bàn giao","Hậu bàn giao")))</x:f>
        <x:v>Hậu bàn giao</x:v>
      </x:c>
    </x:row>
    <x:row r="170">
      <x:c r="A170" s="54" t="str">
        <x:v>DA03</x:v>
      </x:c>
      <x:c r="B170" s="54" t="n">
        <x:v>47</x:v>
      </x:c>
      <x:c r="C170" s="60" t="n">
        <x:f>EDATE('17_Gia_dinh_mo_hinh'!$C$6,B170-1)</x:f>
        <x:v>47635</x:v>
      </x:c>
      <x:c r="D170" s="61" t="n">
        <x:f>ROUNDUP('17_Gia_dinh_mo_hinh'!$E$6/30,0)</x:f>
        <x:v>1</x:v>
      </x:c>
      <x:c r="E170" s="62" t="n">
        <x:f>IF(AND(B170&gt;='17_Gia_dinh_mo_hinh'!$F$6+D170,B170&lt;'17_Gia_dinh_mo_hinh'!$F$6+D170+'17_Gia_dinh_mo_hinh'!$G$6),'17_Gia_dinh_mo_hinh'!$L$6*(1-'17_Gia_dinh_mo_hinh'!$M$6)/'17_Gia_dinh_mo_hinh'!$G$6,0)</x:f>
        <x:v>0</x:v>
      </x:c>
      <x:c r="F170" s="62" t="n">
        <x:f>0.70*E170+0.30*E169</x:f>
        <x:v>0</x:v>
      </x:c>
      <x:c r="G170" s="62" t="n">
        <x:f>IF(AND(B170&gt;='17_Gia_dinh_mo_hinh'!$H$6+D170,B170&lt;'17_Gia_dinh_mo_hinh'!$H$6+D170+'17_Gia_dinh_mo_hinh'!$I$6),'17_Gia_dinh_mo_hinh'!$L$6*(1-'17_Gia_dinh_mo_hinh'!$M$6)/'17_Gia_dinh_mo_hinh'!$I$6,0)</x:f>
        <x:v>0</x:v>
      </x:c>
      <x:c r="H170" s="62" t="n">
        <x:f>G170*(1-'17_Gia_dinh_mo_hinh'!$N$6)</x:f>
        <x:v>0</x:v>
      </x:c>
      <x:c r="I170" s="62" t="n">
        <x:f>G170*'17_Gia_dinh_mo_hinh'!$O$6</x:f>
        <x:v>0</x:v>
      </x:c>
      <x:c r="J170" s="62" t="n">
        <x:f>G170*'17_Gia_dinh_mo_hinh'!$P$6</x:f>
        <x:v>0</x:v>
      </x:c>
      <x:c r="K170" s="62" t="n">
        <x:f>IF(B170&lt;='17_Gia_dinh_mo_hinh'!$J$6,'17_Gia_dinh_mo_hinh'!$K$6*(1-MIN(0.95,'17_Gia_dinh_mo_hinh'!$M$6*0.75))/'17_Gia_dinh_mo_hinh'!$J$6,0)</x:f>
        <x:v>0</x:v>
      </x:c>
      <x:c r="L170" s="62" t="n">
        <x:f>S169*'17_Gia_dinh_mo_hinh'!$Q$6/12</x:f>
        <x:v>17.917839180573342</x:v>
      </x:c>
      <x:c r="M170" s="62" t="n">
        <x:f>G170-H170-I170-J170-L170</x:f>
        <x:v>-17.917839180573342</x:v>
      </x:c>
      <x:c r="N170" s="62" t="n">
        <x:f>MAX(0,M170*'17_Gia_dinh_mo_hinh'!$S$6)</x:f>
        <x:v>0</x:v>
      </x:c>
      <x:c r="O170" s="62" t="n">
        <x:f>M170-N170</x:f>
        <x:v>-17.917839180573342</x:v>
      </x:c>
      <x:c r="P170" s="62" t="n">
        <x:f>F170-K170-I170-J170-N170-L170</x:f>
        <x:v>-17.917839180573342</x:v>
      </x:c>
      <x:c r="Q170" s="62" t="n">
        <x:f>MIN(MAX(0,-(T169+P170)),MAX(0,'17_Gia_dinh_mo_hinh'!$R$6-S169))</x:f>
        <x:v>17.917839180573342</x:v>
      </x:c>
      <x:c r="R170" s="62" t="n">
        <x:f>MIN(MAX(0,T169+P170+Q170),S169+Q170)</x:f>
        <x:v>0</x:v>
      </x:c>
      <x:c r="S170" s="62" t="n">
        <x:f>S169+Q170-R170</x:f>
        <x:v>2281.223840937206</x:v>
      </x:c>
      <x:c r="T170" s="62" t="n">
        <x:f>MAX(0,T169+P170+Q170-R170)</x:f>
        <x:v>0</x:v>
      </x:c>
      <x:c r="U170" s="62" t="n">
        <x:f>MAX(0,-(T169+P170)-MAX(0,'17_Gia_dinh_mo_hinh'!$R$6-S169))</x:f>
        <x:v>0</x:v>
      </x:c>
      <x:c r="V170" s="61" t="str">
        <x:f>IF(B170&lt;'17_Gia_dinh_mo_hinh'!$F$6+D170,"Trước mở bán",IF(B170&lt;'17_Gia_dinh_mo_hinh'!$H$6+D170,"Bán hàng/thi công",IF(G170&gt;0,"Ghi nhận/bàn giao","Hậu bàn giao")))</x:f>
        <x:v>Hậu bàn giao</x:v>
      </x:c>
    </x:row>
    <x:row r="171">
      <x:c r="A171" s="54" t="str">
        <x:v>DA03</x:v>
      </x:c>
      <x:c r="B171" s="54" t="n">
        <x:v>48</x:v>
      </x:c>
      <x:c r="C171" s="60" t="n">
        <x:f>EDATE('17_Gia_dinh_mo_hinh'!$C$6,B171-1)</x:f>
        <x:v>47665</x:v>
      </x:c>
      <x:c r="D171" s="61" t="n">
        <x:f>ROUNDUP('17_Gia_dinh_mo_hinh'!$E$6/30,0)</x:f>
        <x:v>1</x:v>
      </x:c>
      <x:c r="E171" s="62" t="n">
        <x:f>IF(AND(B171&gt;='17_Gia_dinh_mo_hinh'!$F$6+D171,B171&lt;'17_Gia_dinh_mo_hinh'!$F$6+D171+'17_Gia_dinh_mo_hinh'!$G$6),'17_Gia_dinh_mo_hinh'!$L$6*(1-'17_Gia_dinh_mo_hinh'!$M$6)/'17_Gia_dinh_mo_hinh'!$G$6,0)</x:f>
        <x:v>0</x:v>
      </x:c>
      <x:c r="F171" s="62" t="n">
        <x:f>0.70*E171+0.30*E170</x:f>
        <x:v>0</x:v>
      </x:c>
      <x:c r="G171" s="62" t="n">
        <x:f>IF(AND(B171&gt;='17_Gia_dinh_mo_hinh'!$H$6+D171,B171&lt;'17_Gia_dinh_mo_hinh'!$H$6+D171+'17_Gia_dinh_mo_hinh'!$I$6),'17_Gia_dinh_mo_hinh'!$L$6*(1-'17_Gia_dinh_mo_hinh'!$M$6)/'17_Gia_dinh_mo_hinh'!$I$6,0)</x:f>
        <x:v>0</x:v>
      </x:c>
      <x:c r="H171" s="62" t="n">
        <x:f>G171*(1-'17_Gia_dinh_mo_hinh'!$N$6)</x:f>
        <x:v>0</x:v>
      </x:c>
      <x:c r="I171" s="62" t="n">
        <x:f>G171*'17_Gia_dinh_mo_hinh'!$O$6</x:f>
        <x:v>0</x:v>
      </x:c>
      <x:c r="J171" s="62" t="n">
        <x:f>G171*'17_Gia_dinh_mo_hinh'!$P$6</x:f>
        <x:v>0</x:v>
      </x:c>
      <x:c r="K171" s="62" t="n">
        <x:f>IF(B171&lt;='17_Gia_dinh_mo_hinh'!$J$6,'17_Gia_dinh_mo_hinh'!$K$6*(1-MIN(0.95,'17_Gia_dinh_mo_hinh'!$M$6*0.75))/'17_Gia_dinh_mo_hinh'!$J$6,0)</x:f>
        <x:v>0</x:v>
      </x:c>
      <x:c r="L171" s="62" t="n">
        <x:f>S170*'17_Gia_dinh_mo_hinh'!$Q$6/12</x:f>
        <x:v>18.059688740752883</x:v>
      </x:c>
      <x:c r="M171" s="62" t="n">
        <x:f>G171-H171-I171-J171-L171</x:f>
        <x:v>-18.059688740752883</x:v>
      </x:c>
      <x:c r="N171" s="62" t="n">
        <x:f>MAX(0,M171*'17_Gia_dinh_mo_hinh'!$S$6)</x:f>
        <x:v>0</x:v>
      </x:c>
      <x:c r="O171" s="62" t="n">
        <x:f>M171-N171</x:f>
        <x:v>-18.059688740752883</x:v>
      </x:c>
      <x:c r="P171" s="62" t="n">
        <x:f>F171-K171-I171-J171-N171-L171</x:f>
        <x:v>-18.059688740752883</x:v>
      </x:c>
      <x:c r="Q171" s="62" t="n">
        <x:f>MIN(MAX(0,-(T170+P171)),MAX(0,'17_Gia_dinh_mo_hinh'!$R$6-S170))</x:f>
        <x:v>18.059688740752883</x:v>
      </x:c>
      <x:c r="R171" s="62" t="n">
        <x:f>MIN(MAX(0,T170+P171+Q171),S170+Q171)</x:f>
        <x:v>0</x:v>
      </x:c>
      <x:c r="S171" s="62" t="n">
        <x:f>S170+Q171-R171</x:f>
        <x:v>2299.283529677959</x:v>
      </x:c>
      <x:c r="T171" s="62" t="n">
        <x:f>MAX(0,T170+P171+Q171-R171)</x:f>
        <x:v>0</x:v>
      </x:c>
      <x:c r="U171" s="62" t="n">
        <x:f>MAX(0,-(T170+P171)-MAX(0,'17_Gia_dinh_mo_hinh'!$R$6-S170))</x:f>
        <x:v>0</x:v>
      </x:c>
      <x:c r="V171" s="61" t="str">
        <x:f>IF(B171&lt;'17_Gia_dinh_mo_hinh'!$F$6+D171,"Trước mở bán",IF(B171&lt;'17_Gia_dinh_mo_hinh'!$H$6+D171,"Bán hàng/thi công",IF(G171&gt;0,"Ghi nhận/bàn giao","Hậu bàn giao")))</x:f>
        <x:v>Hậu bàn giao</x:v>
      </x:c>
    </x:row>
    <x:row r="172">
      <x:c r="A172" s="54" t="str">
        <x:v>DA03</x:v>
      </x:c>
      <x:c r="B172" s="54" t="n">
        <x:v>49</x:v>
      </x:c>
      <x:c r="C172" s="60" t="n">
        <x:f>EDATE('17_Gia_dinh_mo_hinh'!$C$6,B172-1)</x:f>
        <x:v>47696</x:v>
      </x:c>
      <x:c r="D172" s="61" t="n">
        <x:f>ROUNDUP('17_Gia_dinh_mo_hinh'!$E$6/30,0)</x:f>
        <x:v>1</x:v>
      </x:c>
      <x:c r="E172" s="62" t="n">
        <x:f>IF(AND(B172&gt;='17_Gia_dinh_mo_hinh'!$F$6+D172,B172&lt;'17_Gia_dinh_mo_hinh'!$F$6+D172+'17_Gia_dinh_mo_hinh'!$G$6),'17_Gia_dinh_mo_hinh'!$L$6*(1-'17_Gia_dinh_mo_hinh'!$M$6)/'17_Gia_dinh_mo_hinh'!$G$6,0)</x:f>
        <x:v>0</x:v>
      </x:c>
      <x:c r="F172" s="62" t="n">
        <x:f>0.70*E172+0.30*E171</x:f>
        <x:v>0</x:v>
      </x:c>
      <x:c r="G172" s="62" t="n">
        <x:f>IF(AND(B172&gt;='17_Gia_dinh_mo_hinh'!$H$6+D172,B172&lt;'17_Gia_dinh_mo_hinh'!$H$6+D172+'17_Gia_dinh_mo_hinh'!$I$6),'17_Gia_dinh_mo_hinh'!$L$6*(1-'17_Gia_dinh_mo_hinh'!$M$6)/'17_Gia_dinh_mo_hinh'!$I$6,0)</x:f>
        <x:v>0</x:v>
      </x:c>
      <x:c r="H172" s="62" t="n">
        <x:f>G172*(1-'17_Gia_dinh_mo_hinh'!$N$6)</x:f>
        <x:v>0</x:v>
      </x:c>
      <x:c r="I172" s="62" t="n">
        <x:f>G172*'17_Gia_dinh_mo_hinh'!$O$6</x:f>
        <x:v>0</x:v>
      </x:c>
      <x:c r="J172" s="62" t="n">
        <x:f>G172*'17_Gia_dinh_mo_hinh'!$P$6</x:f>
        <x:v>0</x:v>
      </x:c>
      <x:c r="K172" s="62" t="n">
        <x:f>IF(B172&lt;='17_Gia_dinh_mo_hinh'!$J$6,'17_Gia_dinh_mo_hinh'!$K$6*(1-MIN(0.95,'17_Gia_dinh_mo_hinh'!$M$6*0.75))/'17_Gia_dinh_mo_hinh'!$J$6,0)</x:f>
        <x:v>0</x:v>
      </x:c>
      <x:c r="L172" s="62" t="n">
        <x:f>S171*'17_Gia_dinh_mo_hinh'!$Q$6/12</x:f>
        <x:v>18.202661276617174</x:v>
      </x:c>
      <x:c r="M172" s="62" t="n">
        <x:f>G172-H172-I172-J172-L172</x:f>
        <x:v>-18.202661276617174</x:v>
      </x:c>
      <x:c r="N172" s="62" t="n">
        <x:f>MAX(0,M172*'17_Gia_dinh_mo_hinh'!$S$6)</x:f>
        <x:v>0</x:v>
      </x:c>
      <x:c r="O172" s="62" t="n">
        <x:f>M172-N172</x:f>
        <x:v>-18.202661276617174</x:v>
      </x:c>
      <x:c r="P172" s="62" t="n">
        <x:f>F172-K172-I172-J172-N172-L172</x:f>
        <x:v>-18.202661276617174</x:v>
      </x:c>
      <x:c r="Q172" s="62" t="n">
        <x:f>MIN(MAX(0,-(T171+P172)),MAX(0,'17_Gia_dinh_mo_hinh'!$R$6-S171))</x:f>
        <x:v>18.202661276617174</x:v>
      </x:c>
      <x:c r="R172" s="62" t="n">
        <x:f>MIN(MAX(0,T171+P172+Q172),S171+Q172)</x:f>
        <x:v>0</x:v>
      </x:c>
      <x:c r="S172" s="62" t="n">
        <x:f>S171+Q172-R172</x:f>
        <x:v>2317.486190954576</x:v>
      </x:c>
      <x:c r="T172" s="62" t="n">
        <x:f>MAX(0,T171+P172+Q172-R172)</x:f>
        <x:v>0</x:v>
      </x:c>
      <x:c r="U172" s="62" t="n">
        <x:f>MAX(0,-(T171+P172)-MAX(0,'17_Gia_dinh_mo_hinh'!$R$6-S171))</x:f>
        <x:v>0</x:v>
      </x:c>
      <x:c r="V172" s="61" t="str">
        <x:f>IF(B172&lt;'17_Gia_dinh_mo_hinh'!$F$6+D172,"Trước mở bán",IF(B172&lt;'17_Gia_dinh_mo_hinh'!$H$6+D172,"Bán hàng/thi công",IF(G172&gt;0,"Ghi nhận/bàn giao","Hậu bàn giao")))</x:f>
        <x:v>Hậu bàn giao</x:v>
      </x:c>
    </x:row>
    <x:row r="173">
      <x:c r="A173" s="54" t="str">
        <x:v>DA03</x:v>
      </x:c>
      <x:c r="B173" s="54" t="n">
        <x:v>50</x:v>
      </x:c>
      <x:c r="C173" s="60" t="n">
        <x:f>EDATE('17_Gia_dinh_mo_hinh'!$C$6,B173-1)</x:f>
        <x:v>47727</x:v>
      </x:c>
      <x:c r="D173" s="61" t="n">
        <x:f>ROUNDUP('17_Gia_dinh_mo_hinh'!$E$6/30,0)</x:f>
        <x:v>1</x:v>
      </x:c>
      <x:c r="E173" s="62" t="n">
        <x:f>IF(AND(B173&gt;='17_Gia_dinh_mo_hinh'!$F$6+D173,B173&lt;'17_Gia_dinh_mo_hinh'!$F$6+D173+'17_Gia_dinh_mo_hinh'!$G$6),'17_Gia_dinh_mo_hinh'!$L$6*(1-'17_Gia_dinh_mo_hinh'!$M$6)/'17_Gia_dinh_mo_hinh'!$G$6,0)</x:f>
        <x:v>0</x:v>
      </x:c>
      <x:c r="F173" s="62" t="n">
        <x:f>0.70*E173+0.30*E172</x:f>
        <x:v>0</x:v>
      </x:c>
      <x:c r="G173" s="62" t="n">
        <x:f>IF(AND(B173&gt;='17_Gia_dinh_mo_hinh'!$H$6+D173,B173&lt;'17_Gia_dinh_mo_hinh'!$H$6+D173+'17_Gia_dinh_mo_hinh'!$I$6),'17_Gia_dinh_mo_hinh'!$L$6*(1-'17_Gia_dinh_mo_hinh'!$M$6)/'17_Gia_dinh_mo_hinh'!$I$6,0)</x:f>
        <x:v>0</x:v>
      </x:c>
      <x:c r="H173" s="62" t="n">
        <x:f>G173*(1-'17_Gia_dinh_mo_hinh'!$N$6)</x:f>
        <x:v>0</x:v>
      </x:c>
      <x:c r="I173" s="62" t="n">
        <x:f>G173*'17_Gia_dinh_mo_hinh'!$O$6</x:f>
        <x:v>0</x:v>
      </x:c>
      <x:c r="J173" s="62" t="n">
        <x:f>G173*'17_Gia_dinh_mo_hinh'!$P$6</x:f>
        <x:v>0</x:v>
      </x:c>
      <x:c r="K173" s="62" t="n">
        <x:f>IF(B173&lt;='17_Gia_dinh_mo_hinh'!$J$6,'17_Gia_dinh_mo_hinh'!$K$6*(1-MIN(0.95,'17_Gia_dinh_mo_hinh'!$M$6*0.75))/'17_Gia_dinh_mo_hinh'!$J$6,0)</x:f>
        <x:v>0</x:v>
      </x:c>
      <x:c r="L173" s="62" t="n">
        <x:f>S172*'17_Gia_dinh_mo_hinh'!$Q$6/12</x:f>
        <x:v>18.346765678390394</x:v>
      </x:c>
      <x:c r="M173" s="62" t="n">
        <x:f>G173-H173-I173-J173-L173</x:f>
        <x:v>-18.346765678390394</x:v>
      </x:c>
      <x:c r="N173" s="62" t="n">
        <x:f>MAX(0,M173*'17_Gia_dinh_mo_hinh'!$S$6)</x:f>
        <x:v>0</x:v>
      </x:c>
      <x:c r="O173" s="62" t="n">
        <x:f>M173-N173</x:f>
        <x:v>-18.346765678390394</x:v>
      </x:c>
      <x:c r="P173" s="62" t="n">
        <x:f>F173-K173-I173-J173-N173-L173</x:f>
        <x:v>-18.346765678390394</x:v>
      </x:c>
      <x:c r="Q173" s="62" t="n">
        <x:f>MIN(MAX(0,-(T172+P173)),MAX(0,'17_Gia_dinh_mo_hinh'!$R$6-S172))</x:f>
        <x:v>18.346765678390394</x:v>
      </x:c>
      <x:c r="R173" s="62" t="n">
        <x:f>MIN(MAX(0,T172+P173+Q173),S172+Q173)</x:f>
        <x:v>0</x:v>
      </x:c>
      <x:c r="S173" s="62" t="n">
        <x:f>S172+Q173-R173</x:f>
        <x:v>2335.8329566329667</x:v>
      </x:c>
      <x:c r="T173" s="62" t="n">
        <x:f>MAX(0,T172+P173+Q173-R173)</x:f>
        <x:v>0</x:v>
      </x:c>
      <x:c r="U173" s="62" t="n">
        <x:f>MAX(0,-(T172+P173)-MAX(0,'17_Gia_dinh_mo_hinh'!$R$6-S172))</x:f>
        <x:v>0</x:v>
      </x:c>
      <x:c r="V173" s="61" t="str">
        <x:f>IF(B173&lt;'17_Gia_dinh_mo_hinh'!$F$6+D173,"Trước mở bán",IF(B173&lt;'17_Gia_dinh_mo_hinh'!$H$6+D173,"Bán hàng/thi công",IF(G173&gt;0,"Ghi nhận/bàn giao","Hậu bàn giao")))</x:f>
        <x:v>Hậu bàn giao</x:v>
      </x:c>
    </x:row>
    <x:row r="174">
      <x:c r="A174" s="54" t="str">
        <x:v>DA03</x:v>
      </x:c>
      <x:c r="B174" s="54" t="n">
        <x:v>51</x:v>
      </x:c>
      <x:c r="C174" s="60" t="n">
        <x:f>EDATE('17_Gia_dinh_mo_hinh'!$C$6,B174-1)</x:f>
        <x:v>47757</x:v>
      </x:c>
      <x:c r="D174" s="61" t="n">
        <x:f>ROUNDUP('17_Gia_dinh_mo_hinh'!$E$6/30,0)</x:f>
        <x:v>1</x:v>
      </x:c>
      <x:c r="E174" s="62" t="n">
        <x:f>IF(AND(B174&gt;='17_Gia_dinh_mo_hinh'!$F$6+D174,B174&lt;'17_Gia_dinh_mo_hinh'!$F$6+D174+'17_Gia_dinh_mo_hinh'!$G$6),'17_Gia_dinh_mo_hinh'!$L$6*(1-'17_Gia_dinh_mo_hinh'!$M$6)/'17_Gia_dinh_mo_hinh'!$G$6,0)</x:f>
        <x:v>0</x:v>
      </x:c>
      <x:c r="F174" s="62" t="n">
        <x:f>0.70*E174+0.30*E173</x:f>
        <x:v>0</x:v>
      </x:c>
      <x:c r="G174" s="62" t="n">
        <x:f>IF(AND(B174&gt;='17_Gia_dinh_mo_hinh'!$H$6+D174,B174&lt;'17_Gia_dinh_mo_hinh'!$H$6+D174+'17_Gia_dinh_mo_hinh'!$I$6),'17_Gia_dinh_mo_hinh'!$L$6*(1-'17_Gia_dinh_mo_hinh'!$M$6)/'17_Gia_dinh_mo_hinh'!$I$6,0)</x:f>
        <x:v>0</x:v>
      </x:c>
      <x:c r="H174" s="62" t="n">
        <x:f>G174*(1-'17_Gia_dinh_mo_hinh'!$N$6)</x:f>
        <x:v>0</x:v>
      </x:c>
      <x:c r="I174" s="62" t="n">
        <x:f>G174*'17_Gia_dinh_mo_hinh'!$O$6</x:f>
        <x:v>0</x:v>
      </x:c>
      <x:c r="J174" s="62" t="n">
        <x:f>G174*'17_Gia_dinh_mo_hinh'!$P$6</x:f>
        <x:v>0</x:v>
      </x:c>
      <x:c r="K174" s="62" t="n">
        <x:f>IF(B174&lt;='17_Gia_dinh_mo_hinh'!$J$6,'17_Gia_dinh_mo_hinh'!$K$6*(1-MIN(0.95,'17_Gia_dinh_mo_hinh'!$M$6*0.75))/'17_Gia_dinh_mo_hinh'!$J$6,0)</x:f>
        <x:v>0</x:v>
      </x:c>
      <x:c r="L174" s="62" t="n">
        <x:f>S173*'17_Gia_dinh_mo_hinh'!$Q$6/12</x:f>
        <x:v>18.492010906677653</x:v>
      </x:c>
      <x:c r="M174" s="62" t="n">
        <x:f>G174-H174-I174-J174-L174</x:f>
        <x:v>-18.492010906677653</x:v>
      </x:c>
      <x:c r="N174" s="62" t="n">
        <x:f>MAX(0,M174*'17_Gia_dinh_mo_hinh'!$S$6)</x:f>
        <x:v>0</x:v>
      </x:c>
      <x:c r="O174" s="62" t="n">
        <x:f>M174-N174</x:f>
        <x:v>-18.492010906677653</x:v>
      </x:c>
      <x:c r="P174" s="62" t="n">
        <x:f>F174-K174-I174-J174-N174-L174</x:f>
        <x:v>-18.492010906677653</x:v>
      </x:c>
      <x:c r="Q174" s="62" t="n">
        <x:f>MIN(MAX(0,-(T173+P174)),MAX(0,'17_Gia_dinh_mo_hinh'!$R$6-S173))</x:f>
        <x:v>18.492010906677653</x:v>
      </x:c>
      <x:c r="R174" s="62" t="n">
        <x:f>MIN(MAX(0,T173+P174+Q174),S173+Q174)</x:f>
        <x:v>0</x:v>
      </x:c>
      <x:c r="S174" s="62" t="n">
        <x:f>S173+Q174-R174</x:f>
        <x:v>2354.324967539644</x:v>
      </x:c>
      <x:c r="T174" s="62" t="n">
        <x:f>MAX(0,T173+P174+Q174-R174)</x:f>
        <x:v>0</x:v>
      </x:c>
      <x:c r="U174" s="62" t="n">
        <x:f>MAX(0,-(T173+P174)-MAX(0,'17_Gia_dinh_mo_hinh'!$R$6-S173))</x:f>
        <x:v>0</x:v>
      </x:c>
      <x:c r="V174" s="61" t="str">
        <x:f>IF(B174&lt;'17_Gia_dinh_mo_hinh'!$F$6+D174,"Trước mở bán",IF(B174&lt;'17_Gia_dinh_mo_hinh'!$H$6+D174,"Bán hàng/thi công",IF(G174&gt;0,"Ghi nhận/bàn giao","Hậu bàn giao")))</x:f>
        <x:v>Hậu bàn giao</x:v>
      </x:c>
    </x:row>
    <x:row r="175">
      <x:c r="A175" s="54" t="str">
        <x:v>DA03</x:v>
      </x:c>
      <x:c r="B175" s="54" t="n">
        <x:v>52</x:v>
      </x:c>
      <x:c r="C175" s="60" t="n">
        <x:f>EDATE('17_Gia_dinh_mo_hinh'!$C$6,B175-1)</x:f>
        <x:v>47788</x:v>
      </x:c>
      <x:c r="D175" s="61" t="n">
        <x:f>ROUNDUP('17_Gia_dinh_mo_hinh'!$E$6/30,0)</x:f>
        <x:v>1</x:v>
      </x:c>
      <x:c r="E175" s="62" t="n">
        <x:f>IF(AND(B175&gt;='17_Gia_dinh_mo_hinh'!$F$6+D175,B175&lt;'17_Gia_dinh_mo_hinh'!$F$6+D175+'17_Gia_dinh_mo_hinh'!$G$6),'17_Gia_dinh_mo_hinh'!$L$6*(1-'17_Gia_dinh_mo_hinh'!$M$6)/'17_Gia_dinh_mo_hinh'!$G$6,0)</x:f>
        <x:v>0</x:v>
      </x:c>
      <x:c r="F175" s="62" t="n">
        <x:f>0.70*E175+0.30*E174</x:f>
        <x:v>0</x:v>
      </x:c>
      <x:c r="G175" s="62" t="n">
        <x:f>IF(AND(B175&gt;='17_Gia_dinh_mo_hinh'!$H$6+D175,B175&lt;'17_Gia_dinh_mo_hinh'!$H$6+D175+'17_Gia_dinh_mo_hinh'!$I$6),'17_Gia_dinh_mo_hinh'!$L$6*(1-'17_Gia_dinh_mo_hinh'!$M$6)/'17_Gia_dinh_mo_hinh'!$I$6,0)</x:f>
        <x:v>0</x:v>
      </x:c>
      <x:c r="H175" s="62" t="n">
        <x:f>G175*(1-'17_Gia_dinh_mo_hinh'!$N$6)</x:f>
        <x:v>0</x:v>
      </x:c>
      <x:c r="I175" s="62" t="n">
        <x:f>G175*'17_Gia_dinh_mo_hinh'!$O$6</x:f>
        <x:v>0</x:v>
      </x:c>
      <x:c r="J175" s="62" t="n">
        <x:f>G175*'17_Gia_dinh_mo_hinh'!$P$6</x:f>
        <x:v>0</x:v>
      </x:c>
      <x:c r="K175" s="62" t="n">
        <x:f>IF(B175&lt;='17_Gia_dinh_mo_hinh'!$J$6,'17_Gia_dinh_mo_hinh'!$K$6*(1-MIN(0.95,'17_Gia_dinh_mo_hinh'!$M$6*0.75))/'17_Gia_dinh_mo_hinh'!$J$6,0)</x:f>
        <x:v>0</x:v>
      </x:c>
      <x:c r="L175" s="62" t="n">
        <x:f>S174*'17_Gia_dinh_mo_hinh'!$Q$6/12</x:f>
        <x:v>18.638405993022182</x:v>
      </x:c>
      <x:c r="M175" s="62" t="n">
        <x:f>G175-H175-I175-J175-L175</x:f>
        <x:v>-18.638405993022182</x:v>
      </x:c>
      <x:c r="N175" s="62" t="n">
        <x:f>MAX(0,M175*'17_Gia_dinh_mo_hinh'!$S$6)</x:f>
        <x:v>0</x:v>
      </x:c>
      <x:c r="O175" s="62" t="n">
        <x:f>M175-N175</x:f>
        <x:v>-18.638405993022182</x:v>
      </x:c>
      <x:c r="P175" s="62" t="n">
        <x:f>F175-K175-I175-J175-N175-L175</x:f>
        <x:v>-18.638405993022182</x:v>
      </x:c>
      <x:c r="Q175" s="62" t="n">
        <x:f>MIN(MAX(0,-(T174+P175)),MAX(0,'17_Gia_dinh_mo_hinh'!$R$6-S174))</x:f>
        <x:v>18.638405993022182</x:v>
      </x:c>
      <x:c r="R175" s="62" t="n">
        <x:f>MIN(MAX(0,T174+P175+Q175),S174+Q175)</x:f>
        <x:v>0</x:v>
      </x:c>
      <x:c r="S175" s="62" t="n">
        <x:f>S174+Q175-R175</x:f>
        <x:v>2372.9633735326665</x:v>
      </x:c>
      <x:c r="T175" s="62" t="n">
        <x:f>MAX(0,T174+P175+Q175-R175)</x:f>
        <x:v>0</x:v>
      </x:c>
      <x:c r="U175" s="62" t="n">
        <x:f>MAX(0,-(T174+P175)-MAX(0,'17_Gia_dinh_mo_hinh'!$R$6-S174))</x:f>
        <x:v>0</x:v>
      </x:c>
      <x:c r="V175" s="61" t="str">
        <x:f>IF(B175&lt;'17_Gia_dinh_mo_hinh'!$F$6+D175,"Trước mở bán",IF(B175&lt;'17_Gia_dinh_mo_hinh'!$H$6+D175,"Bán hàng/thi công",IF(G175&gt;0,"Ghi nhận/bàn giao","Hậu bàn giao")))</x:f>
        <x:v>Hậu bàn giao</x:v>
      </x:c>
    </x:row>
    <x:row r="176">
      <x:c r="A176" s="54" t="str">
        <x:v>DA03</x:v>
      </x:c>
      <x:c r="B176" s="54" t="n">
        <x:v>53</x:v>
      </x:c>
      <x:c r="C176" s="60" t="n">
        <x:f>EDATE('17_Gia_dinh_mo_hinh'!$C$6,B176-1)</x:f>
        <x:v>47818</x:v>
      </x:c>
      <x:c r="D176" s="61" t="n">
        <x:f>ROUNDUP('17_Gia_dinh_mo_hinh'!$E$6/30,0)</x:f>
        <x:v>1</x:v>
      </x:c>
      <x:c r="E176" s="62" t="n">
        <x:f>IF(AND(B176&gt;='17_Gia_dinh_mo_hinh'!$F$6+D176,B176&lt;'17_Gia_dinh_mo_hinh'!$F$6+D176+'17_Gia_dinh_mo_hinh'!$G$6),'17_Gia_dinh_mo_hinh'!$L$6*(1-'17_Gia_dinh_mo_hinh'!$M$6)/'17_Gia_dinh_mo_hinh'!$G$6,0)</x:f>
        <x:v>0</x:v>
      </x:c>
      <x:c r="F176" s="62" t="n">
        <x:f>0.70*E176+0.30*E175</x:f>
        <x:v>0</x:v>
      </x:c>
      <x:c r="G176" s="62" t="n">
        <x:f>IF(AND(B176&gt;='17_Gia_dinh_mo_hinh'!$H$6+D176,B176&lt;'17_Gia_dinh_mo_hinh'!$H$6+D176+'17_Gia_dinh_mo_hinh'!$I$6),'17_Gia_dinh_mo_hinh'!$L$6*(1-'17_Gia_dinh_mo_hinh'!$M$6)/'17_Gia_dinh_mo_hinh'!$I$6,0)</x:f>
        <x:v>0</x:v>
      </x:c>
      <x:c r="H176" s="62" t="n">
        <x:f>G176*(1-'17_Gia_dinh_mo_hinh'!$N$6)</x:f>
        <x:v>0</x:v>
      </x:c>
      <x:c r="I176" s="62" t="n">
        <x:f>G176*'17_Gia_dinh_mo_hinh'!$O$6</x:f>
        <x:v>0</x:v>
      </x:c>
      <x:c r="J176" s="62" t="n">
        <x:f>G176*'17_Gia_dinh_mo_hinh'!$P$6</x:f>
        <x:v>0</x:v>
      </x:c>
      <x:c r="K176" s="62" t="n">
        <x:f>IF(B176&lt;='17_Gia_dinh_mo_hinh'!$J$6,'17_Gia_dinh_mo_hinh'!$K$6*(1-MIN(0.95,'17_Gia_dinh_mo_hinh'!$M$6*0.75))/'17_Gia_dinh_mo_hinh'!$J$6,0)</x:f>
        <x:v>0</x:v>
      </x:c>
      <x:c r="L176" s="62" t="n">
        <x:f>S175*'17_Gia_dinh_mo_hinh'!$Q$6/12</x:f>
        <x:v>18.785960040466943</x:v>
      </x:c>
      <x:c r="M176" s="62" t="n">
        <x:f>G176-H176-I176-J176-L176</x:f>
        <x:v>-18.785960040466943</x:v>
      </x:c>
      <x:c r="N176" s="62" t="n">
        <x:f>MAX(0,M176*'17_Gia_dinh_mo_hinh'!$S$6)</x:f>
        <x:v>0</x:v>
      </x:c>
      <x:c r="O176" s="62" t="n">
        <x:f>M176-N176</x:f>
        <x:v>-18.785960040466943</x:v>
      </x:c>
      <x:c r="P176" s="62" t="n">
        <x:f>F176-K176-I176-J176-N176-L176</x:f>
        <x:v>-18.785960040466943</x:v>
      </x:c>
      <x:c r="Q176" s="62" t="n">
        <x:f>MIN(MAX(0,-(T175+P176)),MAX(0,'17_Gia_dinh_mo_hinh'!$R$6-S175))</x:f>
        <x:v>18.785960040466943</x:v>
      </x:c>
      <x:c r="R176" s="62" t="n">
        <x:f>MIN(MAX(0,T175+P176+Q176),S175+Q176)</x:f>
        <x:v>0</x:v>
      </x:c>
      <x:c r="S176" s="62" t="n">
        <x:f>S175+Q176-R176</x:f>
        <x:v>2391.7493335731333</x:v>
      </x:c>
      <x:c r="T176" s="62" t="n">
        <x:f>MAX(0,T175+P176+Q176-R176)</x:f>
        <x:v>0</x:v>
      </x:c>
      <x:c r="U176" s="62" t="n">
        <x:f>MAX(0,-(T175+P176)-MAX(0,'17_Gia_dinh_mo_hinh'!$R$6-S175))</x:f>
        <x:v>0</x:v>
      </x:c>
      <x:c r="V176" s="61" t="str">
        <x:f>IF(B176&lt;'17_Gia_dinh_mo_hinh'!$F$6+D176,"Trước mở bán",IF(B176&lt;'17_Gia_dinh_mo_hinh'!$H$6+D176,"Bán hàng/thi công",IF(G176&gt;0,"Ghi nhận/bàn giao","Hậu bàn giao")))</x:f>
        <x:v>Hậu bàn giao</x:v>
      </x:c>
    </x:row>
    <x:row r="177">
      <x:c r="A177" s="54" t="str">
        <x:v>DA03</x:v>
      </x:c>
      <x:c r="B177" s="54" t="n">
        <x:v>54</x:v>
      </x:c>
      <x:c r="C177" s="60" t="n">
        <x:f>EDATE('17_Gia_dinh_mo_hinh'!$C$6,B177-1)</x:f>
        <x:v>47849</x:v>
      </x:c>
      <x:c r="D177" s="61" t="n">
        <x:f>ROUNDUP('17_Gia_dinh_mo_hinh'!$E$6/30,0)</x:f>
        <x:v>1</x:v>
      </x:c>
      <x:c r="E177" s="62" t="n">
        <x:f>IF(AND(B177&gt;='17_Gia_dinh_mo_hinh'!$F$6+D177,B177&lt;'17_Gia_dinh_mo_hinh'!$F$6+D177+'17_Gia_dinh_mo_hinh'!$G$6),'17_Gia_dinh_mo_hinh'!$L$6*(1-'17_Gia_dinh_mo_hinh'!$M$6)/'17_Gia_dinh_mo_hinh'!$G$6,0)</x:f>
        <x:v>0</x:v>
      </x:c>
      <x:c r="F177" s="62" t="n">
        <x:f>0.70*E177+0.30*E176</x:f>
        <x:v>0</x:v>
      </x:c>
      <x:c r="G177" s="62" t="n">
        <x:f>IF(AND(B177&gt;='17_Gia_dinh_mo_hinh'!$H$6+D177,B177&lt;'17_Gia_dinh_mo_hinh'!$H$6+D177+'17_Gia_dinh_mo_hinh'!$I$6),'17_Gia_dinh_mo_hinh'!$L$6*(1-'17_Gia_dinh_mo_hinh'!$M$6)/'17_Gia_dinh_mo_hinh'!$I$6,0)</x:f>
        <x:v>0</x:v>
      </x:c>
      <x:c r="H177" s="62" t="n">
        <x:f>G177*(1-'17_Gia_dinh_mo_hinh'!$N$6)</x:f>
        <x:v>0</x:v>
      </x:c>
      <x:c r="I177" s="62" t="n">
        <x:f>G177*'17_Gia_dinh_mo_hinh'!$O$6</x:f>
        <x:v>0</x:v>
      </x:c>
      <x:c r="J177" s="62" t="n">
        <x:f>G177*'17_Gia_dinh_mo_hinh'!$P$6</x:f>
        <x:v>0</x:v>
      </x:c>
      <x:c r="K177" s="62" t="n">
        <x:f>IF(B177&lt;='17_Gia_dinh_mo_hinh'!$J$6,'17_Gia_dinh_mo_hinh'!$K$6*(1-MIN(0.95,'17_Gia_dinh_mo_hinh'!$M$6*0.75))/'17_Gia_dinh_mo_hinh'!$J$6,0)</x:f>
        <x:v>0</x:v>
      </x:c>
      <x:c r="L177" s="62" t="n">
        <x:f>S176*'17_Gia_dinh_mo_hinh'!$Q$6/12</x:f>
        <x:v>18.93468222412064</x:v>
      </x:c>
      <x:c r="M177" s="62" t="n">
        <x:f>G177-H177-I177-J177-L177</x:f>
        <x:v>-18.93468222412064</x:v>
      </x:c>
      <x:c r="N177" s="62" t="n">
        <x:f>MAX(0,M177*'17_Gia_dinh_mo_hinh'!$S$6)</x:f>
        <x:v>0</x:v>
      </x:c>
      <x:c r="O177" s="62" t="n">
        <x:f>M177-N177</x:f>
        <x:v>-18.93468222412064</x:v>
      </x:c>
      <x:c r="P177" s="62" t="n">
        <x:f>F177-K177-I177-J177-N177-L177</x:f>
        <x:v>-18.93468222412064</x:v>
      </x:c>
      <x:c r="Q177" s="62" t="n">
        <x:f>MIN(MAX(0,-(T176+P177)),MAX(0,'17_Gia_dinh_mo_hinh'!$R$6-S176))</x:f>
        <x:v>18.93468222412064</x:v>
      </x:c>
      <x:c r="R177" s="62" t="n">
        <x:f>MIN(MAX(0,T176+P177+Q177),S176+Q177)</x:f>
        <x:v>0</x:v>
      </x:c>
      <x:c r="S177" s="62" t="n">
        <x:f>S176+Q177-R177</x:f>
        <x:v>2410.684015797254</x:v>
      </x:c>
      <x:c r="T177" s="62" t="n">
        <x:f>MAX(0,T176+P177+Q177-R177)</x:f>
        <x:v>0</x:v>
      </x:c>
      <x:c r="U177" s="62" t="n">
        <x:f>MAX(0,-(T176+P177)-MAX(0,'17_Gia_dinh_mo_hinh'!$R$6-S176))</x:f>
        <x:v>0</x:v>
      </x:c>
      <x:c r="V177" s="61" t="str">
        <x:f>IF(B177&lt;'17_Gia_dinh_mo_hinh'!$F$6+D177,"Trước mở bán",IF(B177&lt;'17_Gia_dinh_mo_hinh'!$H$6+D177,"Bán hàng/thi công",IF(G177&gt;0,"Ghi nhận/bàn giao","Hậu bàn giao")))</x:f>
        <x:v>Hậu bàn giao</x:v>
      </x:c>
    </x:row>
    <x:row r="178">
      <x:c r="A178" s="54" t="str">
        <x:v>DA03</x:v>
      </x:c>
      <x:c r="B178" s="54" t="n">
        <x:v>55</x:v>
      </x:c>
      <x:c r="C178" s="60" t="n">
        <x:f>EDATE('17_Gia_dinh_mo_hinh'!$C$6,B178-1)</x:f>
        <x:v>47880</x:v>
      </x:c>
      <x:c r="D178" s="61" t="n">
        <x:f>ROUNDUP('17_Gia_dinh_mo_hinh'!$E$6/30,0)</x:f>
        <x:v>1</x:v>
      </x:c>
      <x:c r="E178" s="62" t="n">
        <x:f>IF(AND(B178&gt;='17_Gia_dinh_mo_hinh'!$F$6+D178,B178&lt;'17_Gia_dinh_mo_hinh'!$F$6+D178+'17_Gia_dinh_mo_hinh'!$G$6),'17_Gia_dinh_mo_hinh'!$L$6*(1-'17_Gia_dinh_mo_hinh'!$M$6)/'17_Gia_dinh_mo_hinh'!$G$6,0)</x:f>
        <x:v>0</x:v>
      </x:c>
      <x:c r="F178" s="62" t="n">
        <x:f>0.70*E178+0.30*E177</x:f>
        <x:v>0</x:v>
      </x:c>
      <x:c r="G178" s="62" t="n">
        <x:f>IF(AND(B178&gt;='17_Gia_dinh_mo_hinh'!$H$6+D178,B178&lt;'17_Gia_dinh_mo_hinh'!$H$6+D178+'17_Gia_dinh_mo_hinh'!$I$6),'17_Gia_dinh_mo_hinh'!$L$6*(1-'17_Gia_dinh_mo_hinh'!$M$6)/'17_Gia_dinh_mo_hinh'!$I$6,0)</x:f>
        <x:v>0</x:v>
      </x:c>
      <x:c r="H178" s="62" t="n">
        <x:f>G178*(1-'17_Gia_dinh_mo_hinh'!$N$6)</x:f>
        <x:v>0</x:v>
      </x:c>
      <x:c r="I178" s="62" t="n">
        <x:f>G178*'17_Gia_dinh_mo_hinh'!$O$6</x:f>
        <x:v>0</x:v>
      </x:c>
      <x:c r="J178" s="62" t="n">
        <x:f>G178*'17_Gia_dinh_mo_hinh'!$P$6</x:f>
        <x:v>0</x:v>
      </x:c>
      <x:c r="K178" s="62" t="n">
        <x:f>IF(B178&lt;='17_Gia_dinh_mo_hinh'!$J$6,'17_Gia_dinh_mo_hinh'!$K$6*(1-MIN(0.95,'17_Gia_dinh_mo_hinh'!$M$6*0.75))/'17_Gia_dinh_mo_hinh'!$J$6,0)</x:f>
        <x:v>0</x:v>
      </x:c>
      <x:c r="L178" s="62" t="n">
        <x:f>S177*'17_Gia_dinh_mo_hinh'!$Q$6/12</x:f>
        <x:v>19.084581791728258</x:v>
      </x:c>
      <x:c r="M178" s="62" t="n">
        <x:f>G178-H178-I178-J178-L178</x:f>
        <x:v>-19.084581791728258</x:v>
      </x:c>
      <x:c r="N178" s="62" t="n">
        <x:f>MAX(0,M178*'17_Gia_dinh_mo_hinh'!$S$6)</x:f>
        <x:v>0</x:v>
      </x:c>
      <x:c r="O178" s="62" t="n">
        <x:f>M178-N178</x:f>
        <x:v>-19.084581791728258</x:v>
      </x:c>
      <x:c r="P178" s="62" t="n">
        <x:f>F178-K178-I178-J178-N178-L178</x:f>
        <x:v>-19.084581791728258</x:v>
      </x:c>
      <x:c r="Q178" s="62" t="n">
        <x:f>MIN(MAX(0,-(T177+P178)),MAX(0,'17_Gia_dinh_mo_hinh'!$R$6-S177))</x:f>
        <x:v>19.084581791728258</x:v>
      </x:c>
      <x:c r="R178" s="62" t="n">
        <x:f>MIN(MAX(0,T177+P178+Q178),S177+Q178)</x:f>
        <x:v>0</x:v>
      </x:c>
      <x:c r="S178" s="62" t="n">
        <x:f>S177+Q178-R178</x:f>
        <x:v>2429.768597588982</x:v>
      </x:c>
      <x:c r="T178" s="62" t="n">
        <x:f>MAX(0,T177+P178+Q178-R178)</x:f>
        <x:v>0</x:v>
      </x:c>
      <x:c r="U178" s="62" t="n">
        <x:f>MAX(0,-(T177+P178)-MAX(0,'17_Gia_dinh_mo_hinh'!$R$6-S177))</x:f>
        <x:v>0</x:v>
      </x:c>
      <x:c r="V178" s="61" t="str">
        <x:f>IF(B178&lt;'17_Gia_dinh_mo_hinh'!$F$6+D178,"Trước mở bán",IF(B178&lt;'17_Gia_dinh_mo_hinh'!$H$6+D178,"Bán hàng/thi công",IF(G178&gt;0,"Ghi nhận/bàn giao","Hậu bàn giao")))</x:f>
        <x:v>Hậu bàn giao</x:v>
      </x:c>
    </x:row>
    <x:row r="179">
      <x:c r="A179" s="54" t="str">
        <x:v>DA03</x:v>
      </x:c>
      <x:c r="B179" s="54" t="n">
        <x:v>56</x:v>
      </x:c>
      <x:c r="C179" s="60" t="n">
        <x:f>EDATE('17_Gia_dinh_mo_hinh'!$C$6,B179-1)</x:f>
        <x:v>47908</x:v>
      </x:c>
      <x:c r="D179" s="61" t="n">
        <x:f>ROUNDUP('17_Gia_dinh_mo_hinh'!$E$6/30,0)</x:f>
        <x:v>1</x:v>
      </x:c>
      <x:c r="E179" s="62" t="n">
        <x:f>IF(AND(B179&gt;='17_Gia_dinh_mo_hinh'!$F$6+D179,B179&lt;'17_Gia_dinh_mo_hinh'!$F$6+D179+'17_Gia_dinh_mo_hinh'!$G$6),'17_Gia_dinh_mo_hinh'!$L$6*(1-'17_Gia_dinh_mo_hinh'!$M$6)/'17_Gia_dinh_mo_hinh'!$G$6,0)</x:f>
        <x:v>0</x:v>
      </x:c>
      <x:c r="F179" s="62" t="n">
        <x:f>0.70*E179+0.30*E178</x:f>
        <x:v>0</x:v>
      </x:c>
      <x:c r="G179" s="62" t="n">
        <x:f>IF(AND(B179&gt;='17_Gia_dinh_mo_hinh'!$H$6+D179,B179&lt;'17_Gia_dinh_mo_hinh'!$H$6+D179+'17_Gia_dinh_mo_hinh'!$I$6),'17_Gia_dinh_mo_hinh'!$L$6*(1-'17_Gia_dinh_mo_hinh'!$M$6)/'17_Gia_dinh_mo_hinh'!$I$6,0)</x:f>
        <x:v>0</x:v>
      </x:c>
      <x:c r="H179" s="62" t="n">
        <x:f>G179*(1-'17_Gia_dinh_mo_hinh'!$N$6)</x:f>
        <x:v>0</x:v>
      </x:c>
      <x:c r="I179" s="62" t="n">
        <x:f>G179*'17_Gia_dinh_mo_hinh'!$O$6</x:f>
        <x:v>0</x:v>
      </x:c>
      <x:c r="J179" s="62" t="n">
        <x:f>G179*'17_Gia_dinh_mo_hinh'!$P$6</x:f>
        <x:v>0</x:v>
      </x:c>
      <x:c r="K179" s="62" t="n">
        <x:f>IF(B179&lt;='17_Gia_dinh_mo_hinh'!$J$6,'17_Gia_dinh_mo_hinh'!$K$6*(1-MIN(0.95,'17_Gia_dinh_mo_hinh'!$M$6*0.75))/'17_Gia_dinh_mo_hinh'!$J$6,0)</x:f>
        <x:v>0</x:v>
      </x:c>
      <x:c r="L179" s="62" t="n">
        <x:f>S178*'17_Gia_dinh_mo_hinh'!$Q$6/12</x:f>
        <x:v>19.23566806424611</x:v>
      </x:c>
      <x:c r="M179" s="62" t="n">
        <x:f>G179-H179-I179-J179-L179</x:f>
        <x:v>-19.23566806424611</x:v>
      </x:c>
      <x:c r="N179" s="62" t="n">
        <x:f>MAX(0,M179*'17_Gia_dinh_mo_hinh'!$S$6)</x:f>
        <x:v>0</x:v>
      </x:c>
      <x:c r="O179" s="62" t="n">
        <x:f>M179-N179</x:f>
        <x:v>-19.23566806424611</x:v>
      </x:c>
      <x:c r="P179" s="62" t="n">
        <x:f>F179-K179-I179-J179-N179-L179</x:f>
        <x:v>-19.23566806424611</x:v>
      </x:c>
      <x:c r="Q179" s="62" t="n">
        <x:f>MIN(MAX(0,-(T178+P179)),MAX(0,'17_Gia_dinh_mo_hinh'!$R$6-S178))</x:f>
        <x:v>19.23566806424611</x:v>
      </x:c>
      <x:c r="R179" s="62" t="n">
        <x:f>MIN(MAX(0,T178+P179+Q179),S178+Q179)</x:f>
        <x:v>0</x:v>
      </x:c>
      <x:c r="S179" s="62" t="n">
        <x:f>S178+Q179-R179</x:f>
        <x:v>2449.0042656532282</x:v>
      </x:c>
      <x:c r="T179" s="62" t="n">
        <x:f>MAX(0,T178+P179+Q179-R179)</x:f>
        <x:v>0</x:v>
      </x:c>
      <x:c r="U179" s="62" t="n">
        <x:f>MAX(0,-(T178+P179)-MAX(0,'17_Gia_dinh_mo_hinh'!$R$6-S178))</x:f>
        <x:v>0</x:v>
      </x:c>
      <x:c r="V179" s="61" t="str">
        <x:f>IF(B179&lt;'17_Gia_dinh_mo_hinh'!$F$6+D179,"Trước mở bán",IF(B179&lt;'17_Gia_dinh_mo_hinh'!$H$6+D179,"Bán hàng/thi công",IF(G179&gt;0,"Ghi nhận/bàn giao","Hậu bàn giao")))</x:f>
        <x:v>Hậu bàn giao</x:v>
      </x:c>
    </x:row>
    <x:row r="180">
      <x:c r="A180" s="54" t="str">
        <x:v>DA03</x:v>
      </x:c>
      <x:c r="B180" s="54" t="n">
        <x:v>57</x:v>
      </x:c>
      <x:c r="C180" s="60" t="n">
        <x:f>EDATE('17_Gia_dinh_mo_hinh'!$C$6,B180-1)</x:f>
        <x:v>47939</x:v>
      </x:c>
      <x:c r="D180" s="61" t="n">
        <x:f>ROUNDUP('17_Gia_dinh_mo_hinh'!$E$6/30,0)</x:f>
        <x:v>1</x:v>
      </x:c>
      <x:c r="E180" s="62" t="n">
        <x:f>IF(AND(B180&gt;='17_Gia_dinh_mo_hinh'!$F$6+D180,B180&lt;'17_Gia_dinh_mo_hinh'!$F$6+D180+'17_Gia_dinh_mo_hinh'!$G$6),'17_Gia_dinh_mo_hinh'!$L$6*(1-'17_Gia_dinh_mo_hinh'!$M$6)/'17_Gia_dinh_mo_hinh'!$G$6,0)</x:f>
        <x:v>0</x:v>
      </x:c>
      <x:c r="F180" s="62" t="n">
        <x:f>0.70*E180+0.30*E179</x:f>
        <x:v>0</x:v>
      </x:c>
      <x:c r="G180" s="62" t="n">
        <x:f>IF(AND(B180&gt;='17_Gia_dinh_mo_hinh'!$H$6+D180,B180&lt;'17_Gia_dinh_mo_hinh'!$H$6+D180+'17_Gia_dinh_mo_hinh'!$I$6),'17_Gia_dinh_mo_hinh'!$L$6*(1-'17_Gia_dinh_mo_hinh'!$M$6)/'17_Gia_dinh_mo_hinh'!$I$6,0)</x:f>
        <x:v>0</x:v>
      </x:c>
      <x:c r="H180" s="62" t="n">
        <x:f>G180*(1-'17_Gia_dinh_mo_hinh'!$N$6)</x:f>
        <x:v>0</x:v>
      </x:c>
      <x:c r="I180" s="62" t="n">
        <x:f>G180*'17_Gia_dinh_mo_hinh'!$O$6</x:f>
        <x:v>0</x:v>
      </x:c>
      <x:c r="J180" s="62" t="n">
        <x:f>G180*'17_Gia_dinh_mo_hinh'!$P$6</x:f>
        <x:v>0</x:v>
      </x:c>
      <x:c r="K180" s="62" t="n">
        <x:f>IF(B180&lt;='17_Gia_dinh_mo_hinh'!$J$6,'17_Gia_dinh_mo_hinh'!$K$6*(1-MIN(0.95,'17_Gia_dinh_mo_hinh'!$M$6*0.75))/'17_Gia_dinh_mo_hinh'!$J$6,0)</x:f>
        <x:v>0</x:v>
      </x:c>
      <x:c r="L180" s="62" t="n">
        <x:f>S179*'17_Gia_dinh_mo_hinh'!$Q$6/12</x:f>
        <x:v>19.38795043642139</x:v>
      </x:c>
      <x:c r="M180" s="62" t="n">
        <x:f>G180-H180-I180-J180-L180</x:f>
        <x:v>-19.38795043642139</x:v>
      </x:c>
      <x:c r="N180" s="62" t="n">
        <x:f>MAX(0,M180*'17_Gia_dinh_mo_hinh'!$S$6)</x:f>
        <x:v>0</x:v>
      </x:c>
      <x:c r="O180" s="62" t="n">
        <x:f>M180-N180</x:f>
        <x:v>-19.38795043642139</x:v>
      </x:c>
      <x:c r="P180" s="62" t="n">
        <x:f>F180-K180-I180-J180-N180-L180</x:f>
        <x:v>-19.38795043642139</x:v>
      </x:c>
      <x:c r="Q180" s="62" t="n">
        <x:f>MIN(MAX(0,-(T179+P180)),MAX(0,'17_Gia_dinh_mo_hinh'!$R$6-S179))</x:f>
        <x:v>19.38795043642139</x:v>
      </x:c>
      <x:c r="R180" s="62" t="n">
        <x:f>MIN(MAX(0,T179+P180+Q180),S179+Q180)</x:f>
        <x:v>0</x:v>
      </x:c>
      <x:c r="S180" s="62" t="n">
        <x:f>S179+Q180-R180</x:f>
        <x:v>2468.3922160896495</x:v>
      </x:c>
      <x:c r="T180" s="62" t="n">
        <x:f>MAX(0,T179+P180+Q180-R180)</x:f>
        <x:v>0</x:v>
      </x:c>
      <x:c r="U180" s="62" t="n">
        <x:f>MAX(0,-(T179+P180)-MAX(0,'17_Gia_dinh_mo_hinh'!$R$6-S179))</x:f>
        <x:v>0</x:v>
      </x:c>
      <x:c r="V180" s="61" t="str">
        <x:f>IF(B180&lt;'17_Gia_dinh_mo_hinh'!$F$6+D180,"Trước mở bán",IF(B180&lt;'17_Gia_dinh_mo_hinh'!$H$6+D180,"Bán hàng/thi công",IF(G180&gt;0,"Ghi nhận/bàn giao","Hậu bàn giao")))</x:f>
        <x:v>Hậu bàn giao</x:v>
      </x:c>
    </x:row>
    <x:row r="181">
      <x:c r="A181" s="54" t="str">
        <x:v>DA03</x:v>
      </x:c>
      <x:c r="B181" s="54" t="n">
        <x:v>58</x:v>
      </x:c>
      <x:c r="C181" s="60" t="n">
        <x:f>EDATE('17_Gia_dinh_mo_hinh'!$C$6,B181-1)</x:f>
        <x:v>47969</x:v>
      </x:c>
      <x:c r="D181" s="61" t="n">
        <x:f>ROUNDUP('17_Gia_dinh_mo_hinh'!$E$6/30,0)</x:f>
        <x:v>1</x:v>
      </x:c>
      <x:c r="E181" s="62" t="n">
        <x:f>IF(AND(B181&gt;='17_Gia_dinh_mo_hinh'!$F$6+D181,B181&lt;'17_Gia_dinh_mo_hinh'!$F$6+D181+'17_Gia_dinh_mo_hinh'!$G$6),'17_Gia_dinh_mo_hinh'!$L$6*(1-'17_Gia_dinh_mo_hinh'!$M$6)/'17_Gia_dinh_mo_hinh'!$G$6,0)</x:f>
        <x:v>0</x:v>
      </x:c>
      <x:c r="F181" s="62" t="n">
        <x:f>0.70*E181+0.30*E180</x:f>
        <x:v>0</x:v>
      </x:c>
      <x:c r="G181" s="62" t="n">
        <x:f>IF(AND(B181&gt;='17_Gia_dinh_mo_hinh'!$H$6+D181,B181&lt;'17_Gia_dinh_mo_hinh'!$H$6+D181+'17_Gia_dinh_mo_hinh'!$I$6),'17_Gia_dinh_mo_hinh'!$L$6*(1-'17_Gia_dinh_mo_hinh'!$M$6)/'17_Gia_dinh_mo_hinh'!$I$6,0)</x:f>
        <x:v>0</x:v>
      </x:c>
      <x:c r="H181" s="62" t="n">
        <x:f>G181*(1-'17_Gia_dinh_mo_hinh'!$N$6)</x:f>
        <x:v>0</x:v>
      </x:c>
      <x:c r="I181" s="62" t="n">
        <x:f>G181*'17_Gia_dinh_mo_hinh'!$O$6</x:f>
        <x:v>0</x:v>
      </x:c>
      <x:c r="J181" s="62" t="n">
        <x:f>G181*'17_Gia_dinh_mo_hinh'!$P$6</x:f>
        <x:v>0</x:v>
      </x:c>
      <x:c r="K181" s="62" t="n">
        <x:f>IF(B181&lt;='17_Gia_dinh_mo_hinh'!$J$6,'17_Gia_dinh_mo_hinh'!$K$6*(1-MIN(0.95,'17_Gia_dinh_mo_hinh'!$M$6*0.75))/'17_Gia_dinh_mo_hinh'!$J$6,0)</x:f>
        <x:v>0</x:v>
      </x:c>
      <x:c r="L181" s="62" t="n">
        <x:f>S180*'17_Gia_dinh_mo_hinh'!$Q$6/12</x:f>
        <x:v>19.54143837737639</x:v>
      </x:c>
      <x:c r="M181" s="62" t="n">
        <x:f>G181-H181-I181-J181-L181</x:f>
        <x:v>-19.54143837737639</x:v>
      </x:c>
      <x:c r="N181" s="62" t="n">
        <x:f>MAX(0,M181*'17_Gia_dinh_mo_hinh'!$S$6)</x:f>
        <x:v>0</x:v>
      </x:c>
      <x:c r="O181" s="62" t="n">
        <x:f>M181-N181</x:f>
        <x:v>-19.54143837737639</x:v>
      </x:c>
      <x:c r="P181" s="62" t="n">
        <x:f>F181-K181-I181-J181-N181-L181</x:f>
        <x:v>-19.54143837737639</x:v>
      </x:c>
      <x:c r="Q181" s="62" t="n">
        <x:f>MIN(MAX(0,-(T180+P181)),MAX(0,'17_Gia_dinh_mo_hinh'!$R$6-S180))</x:f>
        <x:v>19.54143837737639</x:v>
      </x:c>
      <x:c r="R181" s="62" t="n">
        <x:f>MIN(MAX(0,T180+P181+Q181),S180+Q181)</x:f>
        <x:v>0</x:v>
      </x:c>
      <x:c r="S181" s="62" t="n">
        <x:f>S180+Q181-R181</x:f>
        <x:v>2487.933654467026</x:v>
      </x:c>
      <x:c r="T181" s="62" t="n">
        <x:f>MAX(0,T180+P181+Q181-R181)</x:f>
        <x:v>0</x:v>
      </x:c>
      <x:c r="U181" s="62" t="n">
        <x:f>MAX(0,-(T180+P181)-MAX(0,'17_Gia_dinh_mo_hinh'!$R$6-S180))</x:f>
        <x:v>0</x:v>
      </x:c>
      <x:c r="V181" s="61" t="str">
        <x:f>IF(B181&lt;'17_Gia_dinh_mo_hinh'!$F$6+D181,"Trước mở bán",IF(B181&lt;'17_Gia_dinh_mo_hinh'!$H$6+D181,"Bán hàng/thi công",IF(G181&gt;0,"Ghi nhận/bàn giao","Hậu bàn giao")))</x:f>
        <x:v>Hậu bàn giao</x:v>
      </x:c>
    </x:row>
    <x:row r="182">
      <x:c r="A182" s="54" t="str">
        <x:v>DA03</x:v>
      </x:c>
      <x:c r="B182" s="54" t="n">
        <x:v>59</x:v>
      </x:c>
      <x:c r="C182" s="60" t="n">
        <x:f>EDATE('17_Gia_dinh_mo_hinh'!$C$6,B182-1)</x:f>
        <x:v>48000</x:v>
      </x:c>
      <x:c r="D182" s="61" t="n">
        <x:f>ROUNDUP('17_Gia_dinh_mo_hinh'!$E$6/30,0)</x:f>
        <x:v>1</x:v>
      </x:c>
      <x:c r="E182" s="62" t="n">
        <x:f>IF(AND(B182&gt;='17_Gia_dinh_mo_hinh'!$F$6+D182,B182&lt;'17_Gia_dinh_mo_hinh'!$F$6+D182+'17_Gia_dinh_mo_hinh'!$G$6),'17_Gia_dinh_mo_hinh'!$L$6*(1-'17_Gia_dinh_mo_hinh'!$M$6)/'17_Gia_dinh_mo_hinh'!$G$6,0)</x:f>
        <x:v>0</x:v>
      </x:c>
      <x:c r="F182" s="62" t="n">
        <x:f>0.70*E182+0.30*E181</x:f>
        <x:v>0</x:v>
      </x:c>
      <x:c r="G182" s="62" t="n">
        <x:f>IF(AND(B182&gt;='17_Gia_dinh_mo_hinh'!$H$6+D182,B182&lt;'17_Gia_dinh_mo_hinh'!$H$6+D182+'17_Gia_dinh_mo_hinh'!$I$6),'17_Gia_dinh_mo_hinh'!$L$6*(1-'17_Gia_dinh_mo_hinh'!$M$6)/'17_Gia_dinh_mo_hinh'!$I$6,0)</x:f>
        <x:v>0</x:v>
      </x:c>
      <x:c r="H182" s="62" t="n">
        <x:f>G182*(1-'17_Gia_dinh_mo_hinh'!$N$6)</x:f>
        <x:v>0</x:v>
      </x:c>
      <x:c r="I182" s="62" t="n">
        <x:f>G182*'17_Gia_dinh_mo_hinh'!$O$6</x:f>
        <x:v>0</x:v>
      </x:c>
      <x:c r="J182" s="62" t="n">
        <x:f>G182*'17_Gia_dinh_mo_hinh'!$P$6</x:f>
        <x:v>0</x:v>
      </x:c>
      <x:c r="K182" s="62" t="n">
        <x:f>IF(B182&lt;='17_Gia_dinh_mo_hinh'!$J$6,'17_Gia_dinh_mo_hinh'!$K$6*(1-MIN(0.95,'17_Gia_dinh_mo_hinh'!$M$6*0.75))/'17_Gia_dinh_mo_hinh'!$J$6,0)</x:f>
        <x:v>0</x:v>
      </x:c>
      <x:c r="L182" s="62" t="n">
        <x:f>S181*'17_Gia_dinh_mo_hinh'!$Q$6/12</x:f>
        <x:v>19.696141431197287</x:v>
      </x:c>
      <x:c r="M182" s="62" t="n">
        <x:f>G182-H182-I182-J182-L182</x:f>
        <x:v>-19.696141431197287</x:v>
      </x:c>
      <x:c r="N182" s="62" t="n">
        <x:f>MAX(0,M182*'17_Gia_dinh_mo_hinh'!$S$6)</x:f>
        <x:v>0</x:v>
      </x:c>
      <x:c r="O182" s="62" t="n">
        <x:f>M182-N182</x:f>
        <x:v>-19.696141431197287</x:v>
      </x:c>
      <x:c r="P182" s="62" t="n">
        <x:f>F182-K182-I182-J182-N182-L182</x:f>
        <x:v>-19.696141431197287</x:v>
      </x:c>
      <x:c r="Q182" s="62" t="n">
        <x:f>MIN(MAX(0,-(T181+P182)),MAX(0,'17_Gia_dinh_mo_hinh'!$R$6-S181))</x:f>
        <x:v>19.696141431197287</x:v>
      </x:c>
      <x:c r="R182" s="62" t="n">
        <x:f>MIN(MAX(0,T181+P182+Q182),S181+Q182)</x:f>
        <x:v>0</x:v>
      </x:c>
      <x:c r="S182" s="62" t="n">
        <x:f>S181+Q182-R182</x:f>
        <x:v>2507.629795898223</x:v>
      </x:c>
      <x:c r="T182" s="62" t="n">
        <x:f>MAX(0,T181+P182+Q182-R182)</x:f>
        <x:v>0</x:v>
      </x:c>
      <x:c r="U182" s="62" t="n">
        <x:f>MAX(0,-(T181+P182)-MAX(0,'17_Gia_dinh_mo_hinh'!$R$6-S181))</x:f>
        <x:v>0</x:v>
      </x:c>
      <x:c r="V182" s="61" t="str">
        <x:f>IF(B182&lt;'17_Gia_dinh_mo_hinh'!$F$6+D182,"Trước mở bán",IF(B182&lt;'17_Gia_dinh_mo_hinh'!$H$6+D182,"Bán hàng/thi công",IF(G182&gt;0,"Ghi nhận/bàn giao","Hậu bàn giao")))</x:f>
        <x:v>Hậu bàn giao</x:v>
      </x:c>
    </x:row>
    <x:row r="183">
      <x:c r="A183" s="54" t="str">
        <x:v>DA03</x:v>
      </x:c>
      <x:c r="B183" s="54" t="n">
        <x:v>60</x:v>
      </x:c>
      <x:c r="C183" s="60" t="n">
        <x:f>EDATE('17_Gia_dinh_mo_hinh'!$C$6,B183-1)</x:f>
        <x:v>48030</x:v>
      </x:c>
      <x:c r="D183" s="61" t="n">
        <x:f>ROUNDUP('17_Gia_dinh_mo_hinh'!$E$6/30,0)</x:f>
        <x:v>1</x:v>
      </x:c>
      <x:c r="E183" s="62" t="n">
        <x:f>IF(AND(B183&gt;='17_Gia_dinh_mo_hinh'!$F$6+D183,B183&lt;'17_Gia_dinh_mo_hinh'!$F$6+D183+'17_Gia_dinh_mo_hinh'!$G$6),'17_Gia_dinh_mo_hinh'!$L$6*(1-'17_Gia_dinh_mo_hinh'!$M$6)/'17_Gia_dinh_mo_hinh'!$G$6,0)</x:f>
        <x:v>0</x:v>
      </x:c>
      <x:c r="F183" s="62" t="n">
        <x:f>0.70*E183+0.30*E182</x:f>
        <x:v>0</x:v>
      </x:c>
      <x:c r="G183" s="62" t="n">
        <x:f>IF(AND(B183&gt;='17_Gia_dinh_mo_hinh'!$H$6+D183,B183&lt;'17_Gia_dinh_mo_hinh'!$H$6+D183+'17_Gia_dinh_mo_hinh'!$I$6),'17_Gia_dinh_mo_hinh'!$L$6*(1-'17_Gia_dinh_mo_hinh'!$M$6)/'17_Gia_dinh_mo_hinh'!$I$6,0)</x:f>
        <x:v>0</x:v>
      </x:c>
      <x:c r="H183" s="62" t="n">
        <x:f>G183*(1-'17_Gia_dinh_mo_hinh'!$N$6)</x:f>
        <x:v>0</x:v>
      </x:c>
      <x:c r="I183" s="62" t="n">
        <x:f>G183*'17_Gia_dinh_mo_hinh'!$O$6</x:f>
        <x:v>0</x:v>
      </x:c>
      <x:c r="J183" s="62" t="n">
        <x:f>G183*'17_Gia_dinh_mo_hinh'!$P$6</x:f>
        <x:v>0</x:v>
      </x:c>
      <x:c r="K183" s="62" t="n">
        <x:f>IF(B183&lt;='17_Gia_dinh_mo_hinh'!$J$6,'17_Gia_dinh_mo_hinh'!$K$6*(1-MIN(0.95,'17_Gia_dinh_mo_hinh'!$M$6*0.75))/'17_Gia_dinh_mo_hinh'!$J$6,0)</x:f>
        <x:v>0</x:v>
      </x:c>
      <x:c r="L183" s="62" t="n">
        <x:f>S182*'17_Gia_dinh_mo_hinh'!$Q$6/12</x:f>
        <x:v>19.8520692175276</x:v>
      </x:c>
      <x:c r="M183" s="62" t="n">
        <x:f>G183-H183-I183-J183-L183</x:f>
        <x:v>-19.8520692175276</x:v>
      </x:c>
      <x:c r="N183" s="62" t="n">
        <x:f>MAX(0,M183*'17_Gia_dinh_mo_hinh'!$S$6)</x:f>
        <x:v>0</x:v>
      </x:c>
      <x:c r="O183" s="62" t="n">
        <x:f>M183-N183</x:f>
        <x:v>-19.8520692175276</x:v>
      </x:c>
      <x:c r="P183" s="62" t="n">
        <x:f>F183-K183-I183-J183-N183-L183</x:f>
        <x:v>-19.8520692175276</x:v>
      </x:c>
      <x:c r="Q183" s="62" t="n">
        <x:f>MIN(MAX(0,-(T182+P183)),MAX(0,'17_Gia_dinh_mo_hinh'!$R$6-S182))</x:f>
        <x:v>19.8520692175276</x:v>
      </x:c>
      <x:c r="R183" s="62" t="n">
        <x:f>MIN(MAX(0,T182+P183+Q183),S182+Q183)</x:f>
        <x:v>0</x:v>
      </x:c>
      <x:c r="S183" s="62" t="n">
        <x:f>S182+Q183-R183</x:f>
        <x:v>2527.4818651157507</x:v>
      </x:c>
      <x:c r="T183" s="62" t="n">
        <x:f>MAX(0,T182+P183+Q183-R183)</x:f>
        <x:v>0</x:v>
      </x:c>
      <x:c r="U183" s="62" t="n">
        <x:f>MAX(0,-(T182+P183)-MAX(0,'17_Gia_dinh_mo_hinh'!$R$6-S182))</x:f>
        <x:v>0</x:v>
      </x:c>
      <x:c r="V183" s="61" t="str">
        <x:f>IF(B183&lt;'17_Gia_dinh_mo_hinh'!$F$6+D183,"Trước mở bán",IF(B183&lt;'17_Gia_dinh_mo_hinh'!$H$6+D183,"Bán hàng/thi công",IF(G183&gt;0,"Ghi nhận/bàn giao","Hậu bàn giao")))</x:f>
        <x:v>Hậu bàn giao</x:v>
      </x:c>
    </x:row>
    <x:row r="184">
      <x:c r="A184" s="54" t="str">
        <x:v>DA04</x:v>
      </x:c>
      <x:c r="B184" s="54" t="n">
        <x:v>1</x:v>
      </x:c>
      <x:c r="C184" s="60" t="n">
        <x:f>EDATE('17_Gia_dinh_mo_hinh'!$C$7,B184-1)</x:f>
        <x:v>46235</x:v>
      </x:c>
      <x:c r="D184" s="61" t="n">
        <x:f>ROUNDUP('17_Gia_dinh_mo_hinh'!$E$7/30,0)</x:f>
        <x:v>0</x:v>
      </x:c>
      <x:c r="E184" s="62" t="n">
        <x:f>IF(AND(B184&gt;='17_Gia_dinh_mo_hinh'!$F$7+D184,B184&lt;'17_Gia_dinh_mo_hinh'!$F$7+D184+'17_Gia_dinh_mo_hinh'!$G$7),'17_Gia_dinh_mo_hinh'!$L$7*(1-'17_Gia_dinh_mo_hinh'!$M$7)/'17_Gia_dinh_mo_hinh'!$G$7,0)</x:f>
        <x:v>252.99999999999997</x:v>
      </x:c>
      <x:c r="F184" s="62" t="n">
        <x:f>0.70*E184+0.30*0</x:f>
        <x:v>177.09999999999997</x:v>
      </x:c>
      <x:c r="G184" s="62" t="n">
        <x:f>IF(AND(B184&gt;='17_Gia_dinh_mo_hinh'!$H$7+D184,B184&lt;'17_Gia_dinh_mo_hinh'!$H$7+D184+'17_Gia_dinh_mo_hinh'!$I$7),'17_Gia_dinh_mo_hinh'!$L$7*(1-'17_Gia_dinh_mo_hinh'!$M$7)/'17_Gia_dinh_mo_hinh'!$I$7,0)</x:f>
        <x:v>0</x:v>
      </x:c>
      <x:c r="H184" s="62" t="n">
        <x:f>G184*(1-'17_Gia_dinh_mo_hinh'!$N$7)</x:f>
        <x:v>0</x:v>
      </x:c>
      <x:c r="I184" s="62" t="n">
        <x:f>G184*'17_Gia_dinh_mo_hinh'!$O$7</x:f>
        <x:v>0</x:v>
      </x:c>
      <x:c r="J184" s="62" t="n">
        <x:f>G184*'17_Gia_dinh_mo_hinh'!$P$7</x:f>
        <x:v>0</x:v>
      </x:c>
      <x:c r="K184" s="62" t="n">
        <x:f>IF(B184&lt;='17_Gia_dinh_mo_hinh'!$J$7,'17_Gia_dinh_mo_hinh'!$K$7*(1-MIN(0.95,'17_Gia_dinh_mo_hinh'!$M$7*0.75))/'17_Gia_dinh_mo_hinh'!$J$7,0)</x:f>
        <x:v>277.6666666666667</x:v>
      </x:c>
      <x:c r="L184" s="62" t="n">
        <x:f>'17_Gia_dinh_mo_hinh'!$U$7*'17_Gia_dinh_mo_hinh'!$Q$7/12</x:f>
        <x:v>23.94</x:v>
      </x:c>
      <x:c r="M184" s="62" t="n">
        <x:f>G184-H184-I184-J184-L184</x:f>
        <x:v>-23.94</x:v>
      </x:c>
      <x:c r="N184" s="62" t="n">
        <x:f>MAX(0,M184*'17_Gia_dinh_mo_hinh'!$S$7)</x:f>
        <x:v>0</x:v>
      </x:c>
      <x:c r="O184" s="62" t="n">
        <x:f>M184-N184</x:f>
        <x:v>-23.94</x:v>
      </x:c>
      <x:c r="P184" s="62" t="n">
        <x:f>F184-K184-I184-J184-N184-L184</x:f>
        <x:v>-124.50666666666672</x:v>
      </x:c>
      <x:c r="Q184" s="62" t="n">
        <x:f>MIN(MAX(0,-('17_Gia_dinh_mo_hinh'!$T$7+P184)),MAX(0,'17_Gia_dinh_mo_hinh'!$R$7-'17_Gia_dinh_mo_hinh'!$U$7))</x:f>
        <x:v>0</x:v>
      </x:c>
      <x:c r="R184" s="62" t="n">
        <x:f>MIN(MAX(0,'17_Gia_dinh_mo_hinh'!$T$7+P184+Q184),'17_Gia_dinh_mo_hinh'!$U$7+Q184)</x:f>
        <x:v>95.49333333333328</x:v>
      </x:c>
      <x:c r="S184" s="62" t="n">
        <x:f>'17_Gia_dinh_mo_hinh'!$U$7+Q184-R184</x:f>
        <x:v>2928.5066666666667</x:v>
      </x:c>
      <x:c r="T184" s="62" t="n">
        <x:f>MAX(0,'17_Gia_dinh_mo_hinh'!$T$7+P184+Q184-R184)</x:f>
        <x:v>0</x:v>
      </x:c>
      <x:c r="U184" s="62" t="n">
        <x:f>MAX(0,-('17_Gia_dinh_mo_hinh'!$T$7+P184)-MAX(0,'17_Gia_dinh_mo_hinh'!$R$7-'17_Gia_dinh_mo_hinh'!$U$7))</x:f>
        <x:v>0</x:v>
      </x:c>
      <x:c r="V184" s="61" t="str">
        <x:f>IF(B184&lt;'17_Gia_dinh_mo_hinh'!$F$7+D184,"Trước mở bán",IF(B184&lt;'17_Gia_dinh_mo_hinh'!$H$7+D184,"Bán hàng/thi công",IF(G184&gt;0,"Ghi nhận/bàn giao","Hậu bàn giao")))</x:f>
        <x:v>Bán hàng/thi công</x:v>
      </x:c>
    </x:row>
    <x:row r="185">
      <x:c r="A185" s="54" t="str">
        <x:v>DA04</x:v>
      </x:c>
      <x:c r="B185" s="54" t="n">
        <x:v>2</x:v>
      </x:c>
      <x:c r="C185" s="60" t="n">
        <x:f>EDATE('17_Gia_dinh_mo_hinh'!$C$7,B185-1)</x:f>
        <x:v>46266</x:v>
      </x:c>
      <x:c r="D185" s="61" t="n">
        <x:f>ROUNDUP('17_Gia_dinh_mo_hinh'!$E$7/30,0)</x:f>
        <x:v>0</x:v>
      </x:c>
      <x:c r="E185" s="62" t="n">
        <x:f>IF(AND(B185&gt;='17_Gia_dinh_mo_hinh'!$F$7+D185,B185&lt;'17_Gia_dinh_mo_hinh'!$F$7+D185+'17_Gia_dinh_mo_hinh'!$G$7),'17_Gia_dinh_mo_hinh'!$L$7*(1-'17_Gia_dinh_mo_hinh'!$M$7)/'17_Gia_dinh_mo_hinh'!$G$7,0)</x:f>
        <x:v>252.99999999999997</x:v>
      </x:c>
      <x:c r="F185" s="62" t="n">
        <x:f>0.70*E185+0.30*E184</x:f>
        <x:v>252.99999999999994</x:v>
      </x:c>
      <x:c r="G185" s="62" t="n">
        <x:f>IF(AND(B185&gt;='17_Gia_dinh_mo_hinh'!$H$7+D185,B185&lt;'17_Gia_dinh_mo_hinh'!$H$7+D185+'17_Gia_dinh_mo_hinh'!$I$7),'17_Gia_dinh_mo_hinh'!$L$7*(1-'17_Gia_dinh_mo_hinh'!$M$7)/'17_Gia_dinh_mo_hinh'!$I$7,0)</x:f>
        <x:v>0</x:v>
      </x:c>
      <x:c r="H185" s="62" t="n">
        <x:f>G185*(1-'17_Gia_dinh_mo_hinh'!$N$7)</x:f>
        <x:v>0</x:v>
      </x:c>
      <x:c r="I185" s="62" t="n">
        <x:f>G185*'17_Gia_dinh_mo_hinh'!$O$7</x:f>
        <x:v>0</x:v>
      </x:c>
      <x:c r="J185" s="62" t="n">
        <x:f>G185*'17_Gia_dinh_mo_hinh'!$P$7</x:f>
        <x:v>0</x:v>
      </x:c>
      <x:c r="K185" s="62" t="n">
        <x:f>IF(B185&lt;='17_Gia_dinh_mo_hinh'!$J$7,'17_Gia_dinh_mo_hinh'!$K$7*(1-MIN(0.95,'17_Gia_dinh_mo_hinh'!$M$7*0.75))/'17_Gia_dinh_mo_hinh'!$J$7,0)</x:f>
        <x:v>277.6666666666667</x:v>
      </x:c>
      <x:c r="L185" s="62" t="n">
        <x:f>S184*'17_Gia_dinh_mo_hinh'!$Q$7/12</x:f>
        <x:v>23.184011111111108</x:v>
      </x:c>
      <x:c r="M185" s="62" t="n">
        <x:f>G185-H185-I185-J185-L185</x:f>
        <x:v>-23.184011111111108</x:v>
      </x:c>
      <x:c r="N185" s="62" t="n">
        <x:f>MAX(0,M185*'17_Gia_dinh_mo_hinh'!$S$7)</x:f>
        <x:v>0</x:v>
      </x:c>
      <x:c r="O185" s="62" t="n">
        <x:f>M185-N185</x:f>
        <x:v>-23.184011111111108</x:v>
      </x:c>
      <x:c r="P185" s="62" t="n">
        <x:f>F185-K185-I185-J185-N185-L185</x:f>
        <x:v>-47.85067777777785</x:v>
      </x:c>
      <x:c r="Q185" s="62" t="n">
        <x:f>MIN(MAX(0,-(T184+P185)),MAX(0,'17_Gia_dinh_mo_hinh'!$R$7-S184))</x:f>
        <x:v>47.85067777777785</x:v>
      </x:c>
      <x:c r="R185" s="62" t="n">
        <x:f>MIN(MAX(0,T184+P185+Q185),S184+Q185)</x:f>
        <x:v>0</x:v>
      </x:c>
      <x:c r="S185" s="62" t="n">
        <x:f>S184+Q185-R185</x:f>
        <x:v>2976.3573444444446</x:v>
      </x:c>
      <x:c r="T185" s="62" t="n">
        <x:f>MAX(0,T184+P185+Q185-R185)</x:f>
        <x:v>0</x:v>
      </x:c>
      <x:c r="U185" s="62" t="n">
        <x:f>MAX(0,-(T184+P185)-MAX(0,'17_Gia_dinh_mo_hinh'!$R$7-S184))</x:f>
        <x:v>0</x:v>
      </x:c>
      <x:c r="V185" s="61" t="str">
        <x:f>IF(B185&lt;'17_Gia_dinh_mo_hinh'!$F$7+D185,"Trước mở bán",IF(B185&lt;'17_Gia_dinh_mo_hinh'!$H$7+D185,"Bán hàng/thi công",IF(G185&gt;0,"Ghi nhận/bàn giao","Hậu bàn giao")))</x:f>
        <x:v>Bán hàng/thi công</x:v>
      </x:c>
    </x:row>
    <x:row r="186">
      <x:c r="A186" s="54" t="str">
        <x:v>DA04</x:v>
      </x:c>
      <x:c r="B186" s="54" t="n">
        <x:v>3</x:v>
      </x:c>
      <x:c r="C186" s="60" t="n">
        <x:f>EDATE('17_Gia_dinh_mo_hinh'!$C$7,B186-1)</x:f>
        <x:v>46296</x:v>
      </x:c>
      <x:c r="D186" s="61" t="n">
        <x:f>ROUNDUP('17_Gia_dinh_mo_hinh'!$E$7/30,0)</x:f>
        <x:v>0</x:v>
      </x:c>
      <x:c r="E186" s="62" t="n">
        <x:f>IF(AND(B186&gt;='17_Gia_dinh_mo_hinh'!$F$7+D186,B186&lt;'17_Gia_dinh_mo_hinh'!$F$7+D186+'17_Gia_dinh_mo_hinh'!$G$7),'17_Gia_dinh_mo_hinh'!$L$7*(1-'17_Gia_dinh_mo_hinh'!$M$7)/'17_Gia_dinh_mo_hinh'!$G$7,0)</x:f>
        <x:v>252.99999999999997</x:v>
      </x:c>
      <x:c r="F186" s="62" t="n">
        <x:f>0.70*E186+0.30*E185</x:f>
        <x:v>252.99999999999994</x:v>
      </x:c>
      <x:c r="G186" s="62" t="n">
        <x:f>IF(AND(B186&gt;='17_Gia_dinh_mo_hinh'!$H$7+D186,B186&lt;'17_Gia_dinh_mo_hinh'!$H$7+D186+'17_Gia_dinh_mo_hinh'!$I$7),'17_Gia_dinh_mo_hinh'!$L$7*(1-'17_Gia_dinh_mo_hinh'!$M$7)/'17_Gia_dinh_mo_hinh'!$I$7,0)</x:f>
        <x:v>0</x:v>
      </x:c>
      <x:c r="H186" s="62" t="n">
        <x:f>G186*(1-'17_Gia_dinh_mo_hinh'!$N$7)</x:f>
        <x:v>0</x:v>
      </x:c>
      <x:c r="I186" s="62" t="n">
        <x:f>G186*'17_Gia_dinh_mo_hinh'!$O$7</x:f>
        <x:v>0</x:v>
      </x:c>
      <x:c r="J186" s="62" t="n">
        <x:f>G186*'17_Gia_dinh_mo_hinh'!$P$7</x:f>
        <x:v>0</x:v>
      </x:c>
      <x:c r="K186" s="62" t="n">
        <x:f>IF(B186&lt;='17_Gia_dinh_mo_hinh'!$J$7,'17_Gia_dinh_mo_hinh'!$K$7*(1-MIN(0.95,'17_Gia_dinh_mo_hinh'!$M$7*0.75))/'17_Gia_dinh_mo_hinh'!$J$7,0)</x:f>
        <x:v>277.6666666666667</x:v>
      </x:c>
      <x:c r="L186" s="62" t="n">
        <x:f>S185*'17_Gia_dinh_mo_hinh'!$Q$7/12</x:f>
        <x:v>23.56282897685185</x:v>
      </x:c>
      <x:c r="M186" s="62" t="n">
        <x:f>G186-H186-I186-J186-L186</x:f>
        <x:v>-23.56282897685185</x:v>
      </x:c>
      <x:c r="N186" s="62" t="n">
        <x:f>MAX(0,M186*'17_Gia_dinh_mo_hinh'!$S$7)</x:f>
        <x:v>0</x:v>
      </x:c>
      <x:c r="O186" s="62" t="n">
        <x:f>M186-N186</x:f>
        <x:v>-23.56282897685185</x:v>
      </x:c>
      <x:c r="P186" s="62" t="n">
        <x:f>F186-K186-I186-J186-N186-L186</x:f>
        <x:v>-48.22949564351859</x:v>
      </x:c>
      <x:c r="Q186" s="62" t="n">
        <x:f>MIN(MAX(0,-(T185+P186)),MAX(0,'17_Gia_dinh_mo_hinh'!$R$7-S185))</x:f>
        <x:v>48.22949564351859</x:v>
      </x:c>
      <x:c r="R186" s="62" t="n">
        <x:f>MIN(MAX(0,T185+P186+Q186),S185+Q186)</x:f>
        <x:v>0</x:v>
      </x:c>
      <x:c r="S186" s="62" t="n">
        <x:f>S185+Q186-R186</x:f>
        <x:v>3024.586840087963</x:v>
      </x:c>
      <x:c r="T186" s="62" t="n">
        <x:f>MAX(0,T185+P186+Q186-R186)</x:f>
        <x:v>0</x:v>
      </x:c>
      <x:c r="U186" s="62" t="n">
        <x:f>MAX(0,-(T185+P186)-MAX(0,'17_Gia_dinh_mo_hinh'!$R$7-S185))</x:f>
        <x:v>0</x:v>
      </x:c>
      <x:c r="V186" s="61" t="str">
        <x:f>IF(B186&lt;'17_Gia_dinh_mo_hinh'!$F$7+D186,"Trước mở bán",IF(B186&lt;'17_Gia_dinh_mo_hinh'!$H$7+D186,"Bán hàng/thi công",IF(G186&gt;0,"Ghi nhận/bàn giao","Hậu bàn giao")))</x:f>
        <x:v>Bán hàng/thi công</x:v>
      </x:c>
    </x:row>
    <x:row r="187">
      <x:c r="A187" s="54" t="str">
        <x:v>DA04</x:v>
      </x:c>
      <x:c r="B187" s="54" t="n">
        <x:v>4</x:v>
      </x:c>
      <x:c r="C187" s="60" t="n">
        <x:f>EDATE('17_Gia_dinh_mo_hinh'!$C$7,B187-1)</x:f>
        <x:v>46327</x:v>
      </x:c>
      <x:c r="D187" s="61" t="n">
        <x:f>ROUNDUP('17_Gia_dinh_mo_hinh'!$E$7/30,0)</x:f>
        <x:v>0</x:v>
      </x:c>
      <x:c r="E187" s="62" t="n">
        <x:f>IF(AND(B187&gt;='17_Gia_dinh_mo_hinh'!$F$7+D187,B187&lt;'17_Gia_dinh_mo_hinh'!$F$7+D187+'17_Gia_dinh_mo_hinh'!$G$7),'17_Gia_dinh_mo_hinh'!$L$7*(1-'17_Gia_dinh_mo_hinh'!$M$7)/'17_Gia_dinh_mo_hinh'!$G$7,0)</x:f>
        <x:v>252.99999999999997</x:v>
      </x:c>
      <x:c r="F187" s="62" t="n">
        <x:f>0.70*E187+0.30*E186</x:f>
        <x:v>252.99999999999994</x:v>
      </x:c>
      <x:c r="G187" s="62" t="n">
        <x:f>IF(AND(B187&gt;='17_Gia_dinh_mo_hinh'!$H$7+D187,B187&lt;'17_Gia_dinh_mo_hinh'!$H$7+D187+'17_Gia_dinh_mo_hinh'!$I$7),'17_Gia_dinh_mo_hinh'!$L$7*(1-'17_Gia_dinh_mo_hinh'!$M$7)/'17_Gia_dinh_mo_hinh'!$I$7,0)</x:f>
        <x:v>0</x:v>
      </x:c>
      <x:c r="H187" s="62" t="n">
        <x:f>G187*(1-'17_Gia_dinh_mo_hinh'!$N$7)</x:f>
        <x:v>0</x:v>
      </x:c>
      <x:c r="I187" s="62" t="n">
        <x:f>G187*'17_Gia_dinh_mo_hinh'!$O$7</x:f>
        <x:v>0</x:v>
      </x:c>
      <x:c r="J187" s="62" t="n">
        <x:f>G187*'17_Gia_dinh_mo_hinh'!$P$7</x:f>
        <x:v>0</x:v>
      </x:c>
      <x:c r="K187" s="62" t="n">
        <x:f>IF(B187&lt;='17_Gia_dinh_mo_hinh'!$J$7,'17_Gia_dinh_mo_hinh'!$K$7*(1-MIN(0.95,'17_Gia_dinh_mo_hinh'!$M$7*0.75))/'17_Gia_dinh_mo_hinh'!$J$7,0)</x:f>
        <x:v>277.6666666666667</x:v>
      </x:c>
      <x:c r="L187" s="62" t="n">
        <x:f>S186*'17_Gia_dinh_mo_hinh'!$Q$7/12</x:f>
        <x:v>23.94464581736304</x:v>
      </x:c>
      <x:c r="M187" s="62" t="n">
        <x:f>G187-H187-I187-J187-L187</x:f>
        <x:v>-23.94464581736304</x:v>
      </x:c>
      <x:c r="N187" s="62" t="n">
        <x:f>MAX(0,M187*'17_Gia_dinh_mo_hinh'!$S$7)</x:f>
        <x:v>0</x:v>
      </x:c>
      <x:c r="O187" s="62" t="n">
        <x:f>M187-N187</x:f>
        <x:v>-23.94464581736304</x:v>
      </x:c>
      <x:c r="P187" s="62" t="n">
        <x:f>F187-K187-I187-J187-N187-L187</x:f>
        <x:v>-48.61131248402978</x:v>
      </x:c>
      <x:c r="Q187" s="62" t="n">
        <x:f>MIN(MAX(0,-(T186+P187)),MAX(0,'17_Gia_dinh_mo_hinh'!$R$7-S186))</x:f>
        <x:v>48.61131248402978</x:v>
      </x:c>
      <x:c r="R187" s="62" t="n">
        <x:f>MIN(MAX(0,T186+P187+Q187),S186+Q187)</x:f>
        <x:v>0</x:v>
      </x:c>
      <x:c r="S187" s="62" t="n">
        <x:f>S186+Q187-R187</x:f>
        <x:v>3073.198152571993</x:v>
      </x:c>
      <x:c r="T187" s="62" t="n">
        <x:f>MAX(0,T186+P187+Q187-R187)</x:f>
        <x:v>0</x:v>
      </x:c>
      <x:c r="U187" s="62" t="n">
        <x:f>MAX(0,-(T186+P187)-MAX(0,'17_Gia_dinh_mo_hinh'!$R$7-S186))</x:f>
        <x:v>0</x:v>
      </x:c>
      <x:c r="V187" s="61" t="str">
        <x:f>IF(B187&lt;'17_Gia_dinh_mo_hinh'!$F$7+D187,"Trước mở bán",IF(B187&lt;'17_Gia_dinh_mo_hinh'!$H$7+D187,"Bán hàng/thi công",IF(G187&gt;0,"Ghi nhận/bàn giao","Hậu bàn giao")))</x:f>
        <x:v>Bán hàng/thi công</x:v>
      </x:c>
    </x:row>
    <x:row r="188">
      <x:c r="A188" s="54" t="str">
        <x:v>DA04</x:v>
      </x:c>
      <x:c r="B188" s="54" t="n">
        <x:v>5</x:v>
      </x:c>
      <x:c r="C188" s="60" t="n">
        <x:f>EDATE('17_Gia_dinh_mo_hinh'!$C$7,B188-1)</x:f>
        <x:v>46357</x:v>
      </x:c>
      <x:c r="D188" s="61" t="n">
        <x:f>ROUNDUP('17_Gia_dinh_mo_hinh'!$E$7/30,0)</x:f>
        <x:v>0</x:v>
      </x:c>
      <x:c r="E188" s="62" t="n">
        <x:f>IF(AND(B188&gt;='17_Gia_dinh_mo_hinh'!$F$7+D188,B188&lt;'17_Gia_dinh_mo_hinh'!$F$7+D188+'17_Gia_dinh_mo_hinh'!$G$7),'17_Gia_dinh_mo_hinh'!$L$7*(1-'17_Gia_dinh_mo_hinh'!$M$7)/'17_Gia_dinh_mo_hinh'!$G$7,0)</x:f>
        <x:v>252.99999999999997</x:v>
      </x:c>
      <x:c r="F188" s="62" t="n">
        <x:f>0.70*E188+0.30*E187</x:f>
        <x:v>252.99999999999994</x:v>
      </x:c>
      <x:c r="G188" s="62" t="n">
        <x:f>IF(AND(B188&gt;='17_Gia_dinh_mo_hinh'!$H$7+D188,B188&lt;'17_Gia_dinh_mo_hinh'!$H$7+D188+'17_Gia_dinh_mo_hinh'!$I$7),'17_Gia_dinh_mo_hinh'!$L$7*(1-'17_Gia_dinh_mo_hinh'!$M$7)/'17_Gia_dinh_mo_hinh'!$I$7,0)</x:f>
        <x:v>0</x:v>
      </x:c>
      <x:c r="H188" s="62" t="n">
        <x:f>G188*(1-'17_Gia_dinh_mo_hinh'!$N$7)</x:f>
        <x:v>0</x:v>
      </x:c>
      <x:c r="I188" s="62" t="n">
        <x:f>G188*'17_Gia_dinh_mo_hinh'!$O$7</x:f>
        <x:v>0</x:v>
      </x:c>
      <x:c r="J188" s="62" t="n">
        <x:f>G188*'17_Gia_dinh_mo_hinh'!$P$7</x:f>
        <x:v>0</x:v>
      </x:c>
      <x:c r="K188" s="62" t="n">
        <x:f>IF(B188&lt;='17_Gia_dinh_mo_hinh'!$J$7,'17_Gia_dinh_mo_hinh'!$K$7*(1-MIN(0.95,'17_Gia_dinh_mo_hinh'!$M$7*0.75))/'17_Gia_dinh_mo_hinh'!$J$7,0)</x:f>
        <x:v>277.6666666666667</x:v>
      </x:c>
      <x:c r="L188" s="62" t="n">
        <x:f>S187*'17_Gia_dinh_mo_hinh'!$Q$7/12</x:f>
        <x:v>24.32948537452828</x:v>
      </x:c>
      <x:c r="M188" s="62" t="n">
        <x:f>G188-H188-I188-J188-L188</x:f>
        <x:v>-24.32948537452828</x:v>
      </x:c>
      <x:c r="N188" s="62" t="n">
        <x:f>MAX(0,M188*'17_Gia_dinh_mo_hinh'!$S$7)</x:f>
        <x:v>0</x:v>
      </x:c>
      <x:c r="O188" s="62" t="n">
        <x:f>M188-N188</x:f>
        <x:v>-24.32948537452828</x:v>
      </x:c>
      <x:c r="P188" s="62" t="n">
        <x:f>F188-K188-I188-J188-N188-L188</x:f>
        <x:v>-48.99615204119502</x:v>
      </x:c>
      <x:c r="Q188" s="62" t="n">
        <x:f>MIN(MAX(0,-(T187+P188)),MAX(0,'17_Gia_dinh_mo_hinh'!$R$7-S187))</x:f>
        <x:v>48.99615204119502</x:v>
      </x:c>
      <x:c r="R188" s="62" t="n">
        <x:f>MIN(MAX(0,T187+P188+Q188),S187+Q188)</x:f>
        <x:v>0</x:v>
      </x:c>
      <x:c r="S188" s="62" t="n">
        <x:f>S187+Q188-R188</x:f>
        <x:v>3122.194304613188</x:v>
      </x:c>
      <x:c r="T188" s="62" t="n">
        <x:f>MAX(0,T187+P188+Q188-R188)</x:f>
        <x:v>0</x:v>
      </x:c>
      <x:c r="U188" s="62" t="n">
        <x:f>MAX(0,-(T187+P188)-MAX(0,'17_Gia_dinh_mo_hinh'!$R$7-S187))</x:f>
        <x:v>0</x:v>
      </x:c>
      <x:c r="V188" s="61" t="str">
        <x:f>IF(B188&lt;'17_Gia_dinh_mo_hinh'!$F$7+D188,"Trước mở bán",IF(B188&lt;'17_Gia_dinh_mo_hinh'!$H$7+D188,"Bán hàng/thi công",IF(G188&gt;0,"Ghi nhận/bàn giao","Hậu bàn giao")))</x:f>
        <x:v>Bán hàng/thi công</x:v>
      </x:c>
    </x:row>
    <x:row r="189">
      <x:c r="A189" s="54" t="str">
        <x:v>DA04</x:v>
      </x:c>
      <x:c r="B189" s="54" t="n">
        <x:v>6</x:v>
      </x:c>
      <x:c r="C189" s="60" t="n">
        <x:f>EDATE('17_Gia_dinh_mo_hinh'!$C$7,B189-1)</x:f>
        <x:v>46388</x:v>
      </x:c>
      <x:c r="D189" s="61" t="n">
        <x:f>ROUNDUP('17_Gia_dinh_mo_hinh'!$E$7/30,0)</x:f>
        <x:v>0</x:v>
      </x:c>
      <x:c r="E189" s="62" t="n">
        <x:f>IF(AND(B189&gt;='17_Gia_dinh_mo_hinh'!$F$7+D189,B189&lt;'17_Gia_dinh_mo_hinh'!$F$7+D189+'17_Gia_dinh_mo_hinh'!$G$7),'17_Gia_dinh_mo_hinh'!$L$7*(1-'17_Gia_dinh_mo_hinh'!$M$7)/'17_Gia_dinh_mo_hinh'!$G$7,0)</x:f>
        <x:v>252.99999999999997</x:v>
      </x:c>
      <x:c r="F189" s="62" t="n">
        <x:f>0.70*E189+0.30*E188</x:f>
        <x:v>252.99999999999994</x:v>
      </x:c>
      <x:c r="G189" s="62" t="n">
        <x:f>IF(AND(B189&gt;='17_Gia_dinh_mo_hinh'!$H$7+D189,B189&lt;'17_Gia_dinh_mo_hinh'!$H$7+D189+'17_Gia_dinh_mo_hinh'!$I$7),'17_Gia_dinh_mo_hinh'!$L$7*(1-'17_Gia_dinh_mo_hinh'!$M$7)/'17_Gia_dinh_mo_hinh'!$I$7,0)</x:f>
        <x:v>0</x:v>
      </x:c>
      <x:c r="H189" s="62" t="n">
        <x:f>G189*(1-'17_Gia_dinh_mo_hinh'!$N$7)</x:f>
        <x:v>0</x:v>
      </x:c>
      <x:c r="I189" s="62" t="n">
        <x:f>G189*'17_Gia_dinh_mo_hinh'!$O$7</x:f>
        <x:v>0</x:v>
      </x:c>
      <x:c r="J189" s="62" t="n">
        <x:f>G189*'17_Gia_dinh_mo_hinh'!$P$7</x:f>
        <x:v>0</x:v>
      </x:c>
      <x:c r="K189" s="62" t="n">
        <x:f>IF(B189&lt;='17_Gia_dinh_mo_hinh'!$J$7,'17_Gia_dinh_mo_hinh'!$K$7*(1-MIN(0.95,'17_Gia_dinh_mo_hinh'!$M$7*0.75))/'17_Gia_dinh_mo_hinh'!$J$7,0)</x:f>
        <x:v>277.6666666666667</x:v>
      </x:c>
      <x:c r="L189" s="62" t="n">
        <x:f>S188*'17_Gia_dinh_mo_hinh'!$Q$7/12</x:f>
        <x:v>24.717371578187738</x:v>
      </x:c>
      <x:c r="M189" s="62" t="n">
        <x:f>G189-H189-I189-J189-L189</x:f>
        <x:v>-24.717371578187738</x:v>
      </x:c>
      <x:c r="N189" s="62" t="n">
        <x:f>MAX(0,M189*'17_Gia_dinh_mo_hinh'!$S$7)</x:f>
        <x:v>0</x:v>
      </x:c>
      <x:c r="O189" s="62" t="n">
        <x:f>M189-N189</x:f>
        <x:v>-24.717371578187738</x:v>
      </x:c>
      <x:c r="P189" s="62" t="n">
        <x:f>F189-K189-I189-J189-N189-L189</x:f>
        <x:v>-49.38403824485448</x:v>
      </x:c>
      <x:c r="Q189" s="62" t="n">
        <x:f>MIN(MAX(0,-(T188+P189)),MAX(0,'17_Gia_dinh_mo_hinh'!$R$7-S188))</x:f>
        <x:v>49.38403824485448</x:v>
      </x:c>
      <x:c r="R189" s="62" t="n">
        <x:f>MIN(MAX(0,T188+P189+Q189),S188+Q189)</x:f>
        <x:v>0</x:v>
      </x:c>
      <x:c r="S189" s="62" t="n">
        <x:f>S188+Q189-R189</x:f>
        <x:v>3171.578342858042</x:v>
      </x:c>
      <x:c r="T189" s="62" t="n">
        <x:f>MAX(0,T188+P189+Q189-R189)</x:f>
        <x:v>0</x:v>
      </x:c>
      <x:c r="U189" s="62" t="n">
        <x:f>MAX(0,-(T188+P189)-MAX(0,'17_Gia_dinh_mo_hinh'!$R$7-S188))</x:f>
        <x:v>0</x:v>
      </x:c>
      <x:c r="V189" s="61" t="str">
        <x:f>IF(B189&lt;'17_Gia_dinh_mo_hinh'!$F$7+D189,"Trước mở bán",IF(B189&lt;'17_Gia_dinh_mo_hinh'!$H$7+D189,"Bán hàng/thi công",IF(G189&gt;0,"Ghi nhận/bàn giao","Hậu bàn giao")))</x:f>
        <x:v>Bán hàng/thi công</x:v>
      </x:c>
    </x:row>
    <x:row r="190">
      <x:c r="A190" s="54" t="str">
        <x:v>DA04</x:v>
      </x:c>
      <x:c r="B190" s="54" t="n">
        <x:v>7</x:v>
      </x:c>
      <x:c r="C190" s="60" t="n">
        <x:f>EDATE('17_Gia_dinh_mo_hinh'!$C$7,B190-1)</x:f>
        <x:v>46419</x:v>
      </x:c>
      <x:c r="D190" s="61" t="n">
        <x:f>ROUNDUP('17_Gia_dinh_mo_hinh'!$E$7/30,0)</x:f>
        <x:v>0</x:v>
      </x:c>
      <x:c r="E190" s="62" t="n">
        <x:f>IF(AND(B190&gt;='17_Gia_dinh_mo_hinh'!$F$7+D190,B190&lt;'17_Gia_dinh_mo_hinh'!$F$7+D190+'17_Gia_dinh_mo_hinh'!$G$7),'17_Gia_dinh_mo_hinh'!$L$7*(1-'17_Gia_dinh_mo_hinh'!$M$7)/'17_Gia_dinh_mo_hinh'!$G$7,0)</x:f>
        <x:v>252.99999999999997</x:v>
      </x:c>
      <x:c r="F190" s="62" t="n">
        <x:f>0.70*E190+0.30*E189</x:f>
        <x:v>252.99999999999994</x:v>
      </x:c>
      <x:c r="G190" s="62" t="n">
        <x:f>IF(AND(B190&gt;='17_Gia_dinh_mo_hinh'!$H$7+D190,B190&lt;'17_Gia_dinh_mo_hinh'!$H$7+D190+'17_Gia_dinh_mo_hinh'!$I$7),'17_Gia_dinh_mo_hinh'!$L$7*(1-'17_Gia_dinh_mo_hinh'!$M$7)/'17_Gia_dinh_mo_hinh'!$I$7,0)</x:f>
        <x:v>0</x:v>
      </x:c>
      <x:c r="H190" s="62" t="n">
        <x:f>G190*(1-'17_Gia_dinh_mo_hinh'!$N$7)</x:f>
        <x:v>0</x:v>
      </x:c>
      <x:c r="I190" s="62" t="n">
        <x:f>G190*'17_Gia_dinh_mo_hinh'!$O$7</x:f>
        <x:v>0</x:v>
      </x:c>
      <x:c r="J190" s="62" t="n">
        <x:f>G190*'17_Gia_dinh_mo_hinh'!$P$7</x:f>
        <x:v>0</x:v>
      </x:c>
      <x:c r="K190" s="62" t="n">
        <x:f>IF(B190&lt;='17_Gia_dinh_mo_hinh'!$J$7,'17_Gia_dinh_mo_hinh'!$K$7*(1-MIN(0.95,'17_Gia_dinh_mo_hinh'!$M$7*0.75))/'17_Gia_dinh_mo_hinh'!$J$7,0)</x:f>
        <x:v>277.6666666666667</x:v>
      </x:c>
      <x:c r="L190" s="62" t="n">
        <x:f>S189*'17_Gia_dinh_mo_hinh'!$Q$7/12</x:f>
        <x:v>25.10832854762617</x:v>
      </x:c>
      <x:c r="M190" s="62" t="n">
        <x:f>G190-H190-I190-J190-L190</x:f>
        <x:v>-25.10832854762617</x:v>
      </x:c>
      <x:c r="N190" s="62" t="n">
        <x:f>MAX(0,M190*'17_Gia_dinh_mo_hinh'!$S$7)</x:f>
        <x:v>0</x:v>
      </x:c>
      <x:c r="O190" s="62" t="n">
        <x:f>M190-N190</x:f>
        <x:v>-25.10832854762617</x:v>
      </x:c>
      <x:c r="P190" s="62" t="n">
        <x:f>F190-K190-I190-J190-N190-L190</x:f>
        <x:v>-49.774995214292915</x:v>
      </x:c>
      <x:c r="Q190" s="62" t="n">
        <x:f>MIN(MAX(0,-(T189+P190)),MAX(0,'17_Gia_dinh_mo_hinh'!$R$7-S189))</x:f>
        <x:v>49.774995214292915</x:v>
      </x:c>
      <x:c r="R190" s="62" t="n">
        <x:f>MIN(MAX(0,T189+P190+Q190),S189+Q190)</x:f>
        <x:v>0</x:v>
      </x:c>
      <x:c r="S190" s="62" t="n">
        <x:f>S189+Q190-R190</x:f>
        <x:v>3221.353338072335</x:v>
      </x:c>
      <x:c r="T190" s="62" t="n">
        <x:f>MAX(0,T189+P190+Q190-R190)</x:f>
        <x:v>0</x:v>
      </x:c>
      <x:c r="U190" s="62" t="n">
        <x:f>MAX(0,-(T189+P190)-MAX(0,'17_Gia_dinh_mo_hinh'!$R$7-S189))</x:f>
        <x:v>0</x:v>
      </x:c>
      <x:c r="V190" s="61" t="str">
        <x:f>IF(B190&lt;'17_Gia_dinh_mo_hinh'!$F$7+D190,"Trước mở bán",IF(B190&lt;'17_Gia_dinh_mo_hinh'!$H$7+D190,"Bán hàng/thi công",IF(G190&gt;0,"Ghi nhận/bàn giao","Hậu bàn giao")))</x:f>
        <x:v>Bán hàng/thi công</x:v>
      </x:c>
    </x:row>
    <x:row r="191">
      <x:c r="A191" s="54" t="str">
        <x:v>DA04</x:v>
      </x:c>
      <x:c r="B191" s="54" t="n">
        <x:v>8</x:v>
      </x:c>
      <x:c r="C191" s="60" t="n">
        <x:f>EDATE('17_Gia_dinh_mo_hinh'!$C$7,B191-1)</x:f>
        <x:v>46447</x:v>
      </x:c>
      <x:c r="D191" s="61" t="n">
        <x:f>ROUNDUP('17_Gia_dinh_mo_hinh'!$E$7/30,0)</x:f>
        <x:v>0</x:v>
      </x:c>
      <x:c r="E191" s="62" t="n">
        <x:f>IF(AND(B191&gt;='17_Gia_dinh_mo_hinh'!$F$7+D191,B191&lt;'17_Gia_dinh_mo_hinh'!$F$7+D191+'17_Gia_dinh_mo_hinh'!$G$7),'17_Gia_dinh_mo_hinh'!$L$7*(1-'17_Gia_dinh_mo_hinh'!$M$7)/'17_Gia_dinh_mo_hinh'!$G$7,0)</x:f>
        <x:v>252.99999999999997</x:v>
      </x:c>
      <x:c r="F191" s="62" t="n">
        <x:f>0.70*E191+0.30*E190</x:f>
        <x:v>252.99999999999994</x:v>
      </x:c>
      <x:c r="G191" s="62" t="n">
        <x:f>IF(AND(B191&gt;='17_Gia_dinh_mo_hinh'!$H$7+D191,B191&lt;'17_Gia_dinh_mo_hinh'!$H$7+D191+'17_Gia_dinh_mo_hinh'!$I$7),'17_Gia_dinh_mo_hinh'!$L$7*(1-'17_Gia_dinh_mo_hinh'!$M$7)/'17_Gia_dinh_mo_hinh'!$I$7,0)</x:f>
        <x:v>0</x:v>
      </x:c>
      <x:c r="H191" s="62" t="n">
        <x:f>G191*(1-'17_Gia_dinh_mo_hinh'!$N$7)</x:f>
        <x:v>0</x:v>
      </x:c>
      <x:c r="I191" s="62" t="n">
        <x:f>G191*'17_Gia_dinh_mo_hinh'!$O$7</x:f>
        <x:v>0</x:v>
      </x:c>
      <x:c r="J191" s="62" t="n">
        <x:f>G191*'17_Gia_dinh_mo_hinh'!$P$7</x:f>
        <x:v>0</x:v>
      </x:c>
      <x:c r="K191" s="62" t="n">
        <x:f>IF(B191&lt;='17_Gia_dinh_mo_hinh'!$J$7,'17_Gia_dinh_mo_hinh'!$K$7*(1-MIN(0.95,'17_Gia_dinh_mo_hinh'!$M$7*0.75))/'17_Gia_dinh_mo_hinh'!$J$7,0)</x:f>
        <x:v>277.6666666666667</x:v>
      </x:c>
      <x:c r="L191" s="62" t="n">
        <x:f>S190*'17_Gia_dinh_mo_hinh'!$Q$7/12</x:f>
        <x:v>25.502380593072655</x:v>
      </x:c>
      <x:c r="M191" s="62" t="n">
        <x:f>G191-H191-I191-J191-L191</x:f>
        <x:v>-25.502380593072655</x:v>
      </x:c>
      <x:c r="N191" s="62" t="n">
        <x:f>MAX(0,M191*'17_Gia_dinh_mo_hinh'!$S$7)</x:f>
        <x:v>0</x:v>
      </x:c>
      <x:c r="O191" s="62" t="n">
        <x:f>M191-N191</x:f>
        <x:v>-25.502380593072655</x:v>
      </x:c>
      <x:c r="P191" s="62" t="n">
        <x:f>F191-K191-I191-J191-N191-L191</x:f>
        <x:v>-50.1690472597394</x:v>
      </x:c>
      <x:c r="Q191" s="62" t="n">
        <x:f>MIN(MAX(0,-(T190+P191)),MAX(0,'17_Gia_dinh_mo_hinh'!$R$7-S190))</x:f>
        <x:v>50.1690472597394</x:v>
      </x:c>
      <x:c r="R191" s="62" t="n">
        <x:f>MIN(MAX(0,T190+P191+Q191),S190+Q191)</x:f>
        <x:v>0</x:v>
      </x:c>
      <x:c r="S191" s="62" t="n">
        <x:f>S190+Q191-R191</x:f>
        <x:v>3271.5223853320745</x:v>
      </x:c>
      <x:c r="T191" s="62" t="n">
        <x:f>MAX(0,T190+P191+Q191-R191)</x:f>
        <x:v>0</x:v>
      </x:c>
      <x:c r="U191" s="62" t="n">
        <x:f>MAX(0,-(T190+P191)-MAX(0,'17_Gia_dinh_mo_hinh'!$R$7-S190))</x:f>
        <x:v>0</x:v>
      </x:c>
      <x:c r="V191" s="61" t="str">
        <x:f>IF(B191&lt;'17_Gia_dinh_mo_hinh'!$F$7+D191,"Trước mở bán",IF(B191&lt;'17_Gia_dinh_mo_hinh'!$H$7+D191,"Bán hàng/thi công",IF(G191&gt;0,"Ghi nhận/bàn giao","Hậu bàn giao")))</x:f>
        <x:v>Bán hàng/thi công</x:v>
      </x:c>
    </x:row>
    <x:row r="192">
      <x:c r="A192" s="54" t="str">
        <x:v>DA04</x:v>
      </x:c>
      <x:c r="B192" s="54" t="n">
        <x:v>9</x:v>
      </x:c>
      <x:c r="C192" s="60" t="n">
        <x:f>EDATE('17_Gia_dinh_mo_hinh'!$C$7,B192-1)</x:f>
        <x:v>46478</x:v>
      </x:c>
      <x:c r="D192" s="61" t="n">
        <x:f>ROUNDUP('17_Gia_dinh_mo_hinh'!$E$7/30,0)</x:f>
        <x:v>0</x:v>
      </x:c>
      <x:c r="E192" s="62" t="n">
        <x:f>IF(AND(B192&gt;='17_Gia_dinh_mo_hinh'!$F$7+D192,B192&lt;'17_Gia_dinh_mo_hinh'!$F$7+D192+'17_Gia_dinh_mo_hinh'!$G$7),'17_Gia_dinh_mo_hinh'!$L$7*(1-'17_Gia_dinh_mo_hinh'!$M$7)/'17_Gia_dinh_mo_hinh'!$G$7,0)</x:f>
        <x:v>252.99999999999997</x:v>
      </x:c>
      <x:c r="F192" s="62" t="n">
        <x:f>0.70*E192+0.30*E191</x:f>
        <x:v>252.99999999999994</x:v>
      </x:c>
      <x:c r="G192" s="62" t="n">
        <x:f>IF(AND(B192&gt;='17_Gia_dinh_mo_hinh'!$H$7+D192,B192&lt;'17_Gia_dinh_mo_hinh'!$H$7+D192+'17_Gia_dinh_mo_hinh'!$I$7),'17_Gia_dinh_mo_hinh'!$L$7*(1-'17_Gia_dinh_mo_hinh'!$M$7)/'17_Gia_dinh_mo_hinh'!$I$7,0)</x:f>
        <x:v>0</x:v>
      </x:c>
      <x:c r="H192" s="62" t="n">
        <x:f>G192*(1-'17_Gia_dinh_mo_hinh'!$N$7)</x:f>
        <x:v>0</x:v>
      </x:c>
      <x:c r="I192" s="62" t="n">
        <x:f>G192*'17_Gia_dinh_mo_hinh'!$O$7</x:f>
        <x:v>0</x:v>
      </x:c>
      <x:c r="J192" s="62" t="n">
        <x:f>G192*'17_Gia_dinh_mo_hinh'!$P$7</x:f>
        <x:v>0</x:v>
      </x:c>
      <x:c r="K192" s="62" t="n">
        <x:f>IF(B192&lt;='17_Gia_dinh_mo_hinh'!$J$7,'17_Gia_dinh_mo_hinh'!$K$7*(1-MIN(0.95,'17_Gia_dinh_mo_hinh'!$M$7*0.75))/'17_Gia_dinh_mo_hinh'!$J$7,0)</x:f>
        <x:v>277.6666666666667</x:v>
      </x:c>
      <x:c r="L192" s="62" t="n">
        <x:f>S191*'17_Gia_dinh_mo_hinh'!$Q$7/12</x:f>
        <x:v>25.899552217212257</x:v>
      </x:c>
      <x:c r="M192" s="62" t="n">
        <x:f>G192-H192-I192-J192-L192</x:f>
        <x:v>-25.899552217212257</x:v>
      </x:c>
      <x:c r="N192" s="62" t="n">
        <x:f>MAX(0,M192*'17_Gia_dinh_mo_hinh'!$S$7)</x:f>
        <x:v>0</x:v>
      </x:c>
      <x:c r="O192" s="62" t="n">
        <x:f>M192-N192</x:f>
        <x:v>-25.899552217212257</x:v>
      </x:c>
      <x:c r="P192" s="62" t="n">
        <x:f>F192-K192-I192-J192-N192-L192</x:f>
        <x:v>-50.566218883879</x:v>
      </x:c>
      <x:c r="Q192" s="62" t="n">
        <x:f>MIN(MAX(0,-(T191+P192)),MAX(0,'17_Gia_dinh_mo_hinh'!$R$7-S191))</x:f>
        <x:v>50.566218883879</x:v>
      </x:c>
      <x:c r="R192" s="62" t="n">
        <x:f>MIN(MAX(0,T191+P192+Q192),S191+Q192)</x:f>
        <x:v>0</x:v>
      </x:c>
      <x:c r="S192" s="62" t="n">
        <x:f>S191+Q192-R192</x:f>
        <x:v>3322.0886042159536</x:v>
      </x:c>
      <x:c r="T192" s="62" t="n">
        <x:f>MAX(0,T191+P192+Q192-R192)</x:f>
        <x:v>0</x:v>
      </x:c>
      <x:c r="U192" s="62" t="n">
        <x:f>MAX(0,-(T191+P192)-MAX(0,'17_Gia_dinh_mo_hinh'!$R$7-S191))</x:f>
        <x:v>0</x:v>
      </x:c>
      <x:c r="V192" s="61" t="str">
        <x:f>IF(B192&lt;'17_Gia_dinh_mo_hinh'!$F$7+D192,"Trước mở bán",IF(B192&lt;'17_Gia_dinh_mo_hinh'!$H$7+D192,"Bán hàng/thi công",IF(G192&gt;0,"Ghi nhận/bàn giao","Hậu bàn giao")))</x:f>
        <x:v>Bán hàng/thi công</x:v>
      </x:c>
    </x:row>
    <x:row r="193">
      <x:c r="A193" s="54" t="str">
        <x:v>DA04</x:v>
      </x:c>
      <x:c r="B193" s="54" t="n">
        <x:v>10</x:v>
      </x:c>
      <x:c r="C193" s="60" t="n">
        <x:f>EDATE('17_Gia_dinh_mo_hinh'!$C$7,B193-1)</x:f>
        <x:v>46508</x:v>
      </x:c>
      <x:c r="D193" s="61" t="n">
        <x:f>ROUNDUP('17_Gia_dinh_mo_hinh'!$E$7/30,0)</x:f>
        <x:v>0</x:v>
      </x:c>
      <x:c r="E193" s="62" t="n">
        <x:f>IF(AND(B193&gt;='17_Gia_dinh_mo_hinh'!$F$7+D193,B193&lt;'17_Gia_dinh_mo_hinh'!$F$7+D193+'17_Gia_dinh_mo_hinh'!$G$7),'17_Gia_dinh_mo_hinh'!$L$7*(1-'17_Gia_dinh_mo_hinh'!$M$7)/'17_Gia_dinh_mo_hinh'!$G$7,0)</x:f>
        <x:v>252.99999999999997</x:v>
      </x:c>
      <x:c r="F193" s="62" t="n">
        <x:f>0.70*E193+0.30*E192</x:f>
        <x:v>252.99999999999994</x:v>
      </x:c>
      <x:c r="G193" s="62" t="n">
        <x:f>IF(AND(B193&gt;='17_Gia_dinh_mo_hinh'!$H$7+D193,B193&lt;'17_Gia_dinh_mo_hinh'!$H$7+D193+'17_Gia_dinh_mo_hinh'!$I$7),'17_Gia_dinh_mo_hinh'!$L$7*(1-'17_Gia_dinh_mo_hinh'!$M$7)/'17_Gia_dinh_mo_hinh'!$I$7,0)</x:f>
        <x:v>337.33333333333326</x:v>
      </x:c>
      <x:c r="H193" s="62" t="n">
        <x:f>G193*(1-'17_Gia_dinh_mo_hinh'!$N$7)</x:f>
        <x:v>232.75999999999993</x:v>
      </x:c>
      <x:c r="I193" s="62" t="n">
        <x:f>G193*'17_Gia_dinh_mo_hinh'!$O$7</x:f>
        <x:v>13.49333333333333</x:v>
      </x:c>
      <x:c r="J193" s="62" t="n">
        <x:f>G193*'17_Gia_dinh_mo_hinh'!$P$7</x:f>
        <x:v>7.421333333333331</x:v>
      </x:c>
      <x:c r="K193" s="62" t="n">
        <x:f>IF(B193&lt;='17_Gia_dinh_mo_hinh'!$J$7,'17_Gia_dinh_mo_hinh'!$K$7*(1-MIN(0.95,'17_Gia_dinh_mo_hinh'!$M$7*0.75))/'17_Gia_dinh_mo_hinh'!$J$7,0)</x:f>
        <x:v>277.6666666666667</x:v>
      </x:c>
      <x:c r="L193" s="62" t="n">
        <x:f>S192*'17_Gia_dinh_mo_hinh'!$Q$7/12</x:f>
        <x:v>26.299868116709632</x:v>
      </x:c>
      <x:c r="M193" s="62" t="n">
        <x:f>G193-H193-I193-J193-L193</x:f>
        <x:v>57.35879854995703</x:v>
      </x:c>
      <x:c r="N193" s="62" t="n">
        <x:f>MAX(0,M193*'17_Gia_dinh_mo_hinh'!$S$7)</x:f>
        <x:v>11.471759709991407</x:v>
      </x:c>
      <x:c r="O193" s="62" t="n">
        <x:f>M193-N193</x:f>
        <x:v>45.887038839965626</x:v>
      </x:c>
      <x:c r="P193" s="62" t="n">
        <x:f>F193-K193-I193-J193-N193-L193</x:f>
        <x:v>-83.35296116003444</x:v>
      </x:c>
      <x:c r="Q193" s="62" t="n">
        <x:f>MIN(MAX(0,-(T192+P193)),MAX(0,'17_Gia_dinh_mo_hinh'!$R$7-S192))</x:f>
        <x:v>83.35296116003444</x:v>
      </x:c>
      <x:c r="R193" s="62" t="n">
        <x:f>MIN(MAX(0,T192+P193+Q193),S192+Q193)</x:f>
        <x:v>0</x:v>
      </x:c>
      <x:c r="S193" s="62" t="n">
        <x:f>S192+Q193-R193</x:f>
        <x:v>3405.441565375988</x:v>
      </x:c>
      <x:c r="T193" s="62" t="n">
        <x:f>MAX(0,T192+P193+Q193-R193)</x:f>
        <x:v>0</x:v>
      </x:c>
      <x:c r="U193" s="62" t="n">
        <x:f>MAX(0,-(T192+P193)-MAX(0,'17_Gia_dinh_mo_hinh'!$R$7-S192))</x:f>
        <x:v>0</x:v>
      </x:c>
      <x:c r="V193" s="61" t="str">
        <x:f>IF(B193&lt;'17_Gia_dinh_mo_hinh'!$F$7+D193,"Trước mở bán",IF(B193&lt;'17_Gia_dinh_mo_hinh'!$H$7+D193,"Bán hàng/thi công",IF(G193&gt;0,"Ghi nhận/bàn giao","Hậu bàn giao")))</x:f>
        <x:v>Ghi nhận/bàn giao</x:v>
      </x:c>
    </x:row>
    <x:row r="194">
      <x:c r="A194" s="54" t="str">
        <x:v>DA04</x:v>
      </x:c>
      <x:c r="B194" s="54" t="n">
        <x:v>11</x:v>
      </x:c>
      <x:c r="C194" s="60" t="n">
        <x:f>EDATE('17_Gia_dinh_mo_hinh'!$C$7,B194-1)</x:f>
        <x:v>46539</x:v>
      </x:c>
      <x:c r="D194" s="61" t="n">
        <x:f>ROUNDUP('17_Gia_dinh_mo_hinh'!$E$7/30,0)</x:f>
        <x:v>0</x:v>
      </x:c>
      <x:c r="E194" s="62" t="n">
        <x:f>IF(AND(B194&gt;='17_Gia_dinh_mo_hinh'!$F$7+D194,B194&lt;'17_Gia_dinh_mo_hinh'!$F$7+D194+'17_Gia_dinh_mo_hinh'!$G$7),'17_Gia_dinh_mo_hinh'!$L$7*(1-'17_Gia_dinh_mo_hinh'!$M$7)/'17_Gia_dinh_mo_hinh'!$G$7,0)</x:f>
        <x:v>252.99999999999997</x:v>
      </x:c>
      <x:c r="F194" s="62" t="n">
        <x:f>0.70*E194+0.30*E193</x:f>
        <x:v>252.99999999999994</x:v>
      </x:c>
      <x:c r="G194" s="62" t="n">
        <x:f>IF(AND(B194&gt;='17_Gia_dinh_mo_hinh'!$H$7+D194,B194&lt;'17_Gia_dinh_mo_hinh'!$H$7+D194+'17_Gia_dinh_mo_hinh'!$I$7),'17_Gia_dinh_mo_hinh'!$L$7*(1-'17_Gia_dinh_mo_hinh'!$M$7)/'17_Gia_dinh_mo_hinh'!$I$7,0)</x:f>
        <x:v>337.33333333333326</x:v>
      </x:c>
      <x:c r="H194" s="62" t="n">
        <x:f>G194*(1-'17_Gia_dinh_mo_hinh'!$N$7)</x:f>
        <x:v>232.75999999999993</x:v>
      </x:c>
      <x:c r="I194" s="62" t="n">
        <x:f>G194*'17_Gia_dinh_mo_hinh'!$O$7</x:f>
        <x:v>13.49333333333333</x:v>
      </x:c>
      <x:c r="J194" s="62" t="n">
        <x:f>G194*'17_Gia_dinh_mo_hinh'!$P$7</x:f>
        <x:v>7.421333333333331</x:v>
      </x:c>
      <x:c r="K194" s="62" t="n">
        <x:f>IF(B194&lt;='17_Gia_dinh_mo_hinh'!$J$7,'17_Gia_dinh_mo_hinh'!$K$7*(1-MIN(0.95,'17_Gia_dinh_mo_hinh'!$M$7*0.75))/'17_Gia_dinh_mo_hinh'!$J$7,0)</x:f>
        <x:v>277.6666666666667</x:v>
      </x:c>
      <x:c r="L194" s="62" t="n">
        <x:f>S193*'17_Gia_dinh_mo_hinh'!$Q$7/12</x:f>
        <x:v>26.95974572589324</x:v>
      </x:c>
      <x:c r="M194" s="62" t="n">
        <x:f>G194-H194-I194-J194-L194</x:f>
        <x:v>56.69892094077342</x:v>
      </x:c>
      <x:c r="N194" s="62" t="n">
        <x:f>MAX(0,M194*'17_Gia_dinh_mo_hinh'!$S$7)</x:f>
        <x:v>11.339784188154685</x:v>
      </x:c>
      <x:c r="O194" s="62" t="n">
        <x:f>M194-N194</x:f>
        <x:v>45.35913675261874</x:v>
      </x:c>
      <x:c r="P194" s="62" t="n">
        <x:f>F194-K194-I194-J194-N194-L194</x:f>
        <x:v>-83.88086324738133</x:v>
      </x:c>
      <x:c r="Q194" s="62" t="n">
        <x:f>MIN(MAX(0,-(T193+P194)),MAX(0,'17_Gia_dinh_mo_hinh'!$R$7-S193))</x:f>
        <x:v>83.88086324738133</x:v>
      </x:c>
      <x:c r="R194" s="62" t="n">
        <x:f>MIN(MAX(0,T193+P194+Q194),S193+Q194)</x:f>
        <x:v>0</x:v>
      </x:c>
      <x:c r="S194" s="62" t="n">
        <x:f>S193+Q194-R194</x:f>
        <x:v>3489.3224286233694</x:v>
      </x:c>
      <x:c r="T194" s="62" t="n">
        <x:f>MAX(0,T193+P194+Q194-R194)</x:f>
        <x:v>0</x:v>
      </x:c>
      <x:c r="U194" s="62" t="n">
        <x:f>MAX(0,-(T193+P194)-MAX(0,'17_Gia_dinh_mo_hinh'!$R$7-S193))</x:f>
        <x:v>0</x:v>
      </x:c>
      <x:c r="V194" s="61" t="str">
        <x:f>IF(B194&lt;'17_Gia_dinh_mo_hinh'!$F$7+D194,"Trước mở bán",IF(B194&lt;'17_Gia_dinh_mo_hinh'!$H$7+D194,"Bán hàng/thi công",IF(G194&gt;0,"Ghi nhận/bàn giao","Hậu bàn giao")))</x:f>
        <x:v>Ghi nhận/bàn giao</x:v>
      </x:c>
    </x:row>
    <x:row r="195">
      <x:c r="A195" s="54" t="str">
        <x:v>DA04</x:v>
      </x:c>
      <x:c r="B195" s="54" t="n">
        <x:v>12</x:v>
      </x:c>
      <x:c r="C195" s="60" t="n">
        <x:f>EDATE('17_Gia_dinh_mo_hinh'!$C$7,B195-1)</x:f>
        <x:v>46569</x:v>
      </x:c>
      <x:c r="D195" s="61" t="n">
        <x:f>ROUNDUP('17_Gia_dinh_mo_hinh'!$E$7/30,0)</x:f>
        <x:v>0</x:v>
      </x:c>
      <x:c r="E195" s="62" t="n">
        <x:f>IF(AND(B195&gt;='17_Gia_dinh_mo_hinh'!$F$7+D195,B195&lt;'17_Gia_dinh_mo_hinh'!$F$7+D195+'17_Gia_dinh_mo_hinh'!$G$7),'17_Gia_dinh_mo_hinh'!$L$7*(1-'17_Gia_dinh_mo_hinh'!$M$7)/'17_Gia_dinh_mo_hinh'!$G$7,0)</x:f>
        <x:v>252.99999999999997</x:v>
      </x:c>
      <x:c r="F195" s="62" t="n">
        <x:f>0.70*E195+0.30*E194</x:f>
        <x:v>252.99999999999994</x:v>
      </x:c>
      <x:c r="G195" s="62" t="n">
        <x:f>IF(AND(B195&gt;='17_Gia_dinh_mo_hinh'!$H$7+D195,B195&lt;'17_Gia_dinh_mo_hinh'!$H$7+D195+'17_Gia_dinh_mo_hinh'!$I$7),'17_Gia_dinh_mo_hinh'!$L$7*(1-'17_Gia_dinh_mo_hinh'!$M$7)/'17_Gia_dinh_mo_hinh'!$I$7,0)</x:f>
        <x:v>337.33333333333326</x:v>
      </x:c>
      <x:c r="H195" s="62" t="n">
        <x:f>G195*(1-'17_Gia_dinh_mo_hinh'!$N$7)</x:f>
        <x:v>232.75999999999993</x:v>
      </x:c>
      <x:c r="I195" s="62" t="n">
        <x:f>G195*'17_Gia_dinh_mo_hinh'!$O$7</x:f>
        <x:v>13.49333333333333</x:v>
      </x:c>
      <x:c r="J195" s="62" t="n">
        <x:f>G195*'17_Gia_dinh_mo_hinh'!$P$7</x:f>
        <x:v>7.421333333333331</x:v>
      </x:c>
      <x:c r="K195" s="62" t="n">
        <x:f>IF(B195&lt;='17_Gia_dinh_mo_hinh'!$J$7,'17_Gia_dinh_mo_hinh'!$K$7*(1-MIN(0.95,'17_Gia_dinh_mo_hinh'!$M$7*0.75))/'17_Gia_dinh_mo_hinh'!$J$7,0)</x:f>
        <x:v>277.6666666666667</x:v>
      </x:c>
      <x:c r="L195" s="62" t="n">
        <x:f>S194*'17_Gia_dinh_mo_hinh'!$Q$7/12</x:f>
        <x:v>27.62380255993501</x:v>
      </x:c>
      <x:c r="M195" s="62" t="n">
        <x:f>G195-H195-I195-J195-L195</x:f>
        <x:v>56.034864106731646</x:v>
      </x:c>
      <x:c r="N195" s="62" t="n">
        <x:f>MAX(0,M195*'17_Gia_dinh_mo_hinh'!$S$7)</x:f>
        <x:v>11.20697282134633</x:v>
      </x:c>
      <x:c r="O195" s="62" t="n">
        <x:f>M195-N195</x:f>
        <x:v>44.82789128538532</x:v>
      </x:c>
      <x:c r="P195" s="62" t="n">
        <x:f>F195-K195-I195-J195-N195-L195</x:f>
        <x:v>-84.41210871461475</x:v>
      </x:c>
      <x:c r="Q195" s="62" t="n">
        <x:f>MIN(MAX(0,-(T194+P195)),MAX(0,'17_Gia_dinh_mo_hinh'!$R$7-S194))</x:f>
        <x:v>84.41210871461475</x:v>
      </x:c>
      <x:c r="R195" s="62" t="n">
        <x:f>MIN(MAX(0,T194+P195+Q195),S194+Q195)</x:f>
        <x:v>0</x:v>
      </x:c>
      <x:c r="S195" s="62" t="n">
        <x:f>S194+Q195-R195</x:f>
        <x:v>3573.734537337984</x:v>
      </x:c>
      <x:c r="T195" s="62" t="n">
        <x:f>MAX(0,T194+P195+Q195-R195)</x:f>
        <x:v>0</x:v>
      </x:c>
      <x:c r="U195" s="62" t="n">
        <x:f>MAX(0,-(T194+P195)-MAX(0,'17_Gia_dinh_mo_hinh'!$R$7-S194))</x:f>
        <x:v>0</x:v>
      </x:c>
      <x:c r="V195" s="61" t="str">
        <x:f>IF(B195&lt;'17_Gia_dinh_mo_hinh'!$F$7+D195,"Trước mở bán",IF(B195&lt;'17_Gia_dinh_mo_hinh'!$H$7+D195,"Bán hàng/thi công",IF(G195&gt;0,"Ghi nhận/bàn giao","Hậu bàn giao")))</x:f>
        <x:v>Ghi nhận/bàn giao</x:v>
      </x:c>
    </x:row>
    <x:row r="196">
      <x:c r="A196" s="54" t="str">
        <x:v>DA04</x:v>
      </x:c>
      <x:c r="B196" s="54" t="n">
        <x:v>13</x:v>
      </x:c>
      <x:c r="C196" s="60" t="n">
        <x:f>EDATE('17_Gia_dinh_mo_hinh'!$C$7,B196-1)</x:f>
        <x:v>46600</x:v>
      </x:c>
      <x:c r="D196" s="61" t="n">
        <x:f>ROUNDUP('17_Gia_dinh_mo_hinh'!$E$7/30,0)</x:f>
        <x:v>0</x:v>
      </x:c>
      <x:c r="E196" s="62" t="n">
        <x:f>IF(AND(B196&gt;='17_Gia_dinh_mo_hinh'!$F$7+D196,B196&lt;'17_Gia_dinh_mo_hinh'!$F$7+D196+'17_Gia_dinh_mo_hinh'!$G$7),'17_Gia_dinh_mo_hinh'!$L$7*(1-'17_Gia_dinh_mo_hinh'!$M$7)/'17_Gia_dinh_mo_hinh'!$G$7,0)</x:f>
        <x:v>252.99999999999997</x:v>
      </x:c>
      <x:c r="F196" s="62" t="n">
        <x:f>0.70*E196+0.30*E195</x:f>
        <x:v>252.99999999999994</x:v>
      </x:c>
      <x:c r="G196" s="62" t="n">
        <x:f>IF(AND(B196&gt;='17_Gia_dinh_mo_hinh'!$H$7+D196,B196&lt;'17_Gia_dinh_mo_hinh'!$H$7+D196+'17_Gia_dinh_mo_hinh'!$I$7),'17_Gia_dinh_mo_hinh'!$L$7*(1-'17_Gia_dinh_mo_hinh'!$M$7)/'17_Gia_dinh_mo_hinh'!$I$7,0)</x:f>
        <x:v>337.33333333333326</x:v>
      </x:c>
      <x:c r="H196" s="62" t="n">
        <x:f>G196*(1-'17_Gia_dinh_mo_hinh'!$N$7)</x:f>
        <x:v>232.75999999999993</x:v>
      </x:c>
      <x:c r="I196" s="62" t="n">
        <x:f>G196*'17_Gia_dinh_mo_hinh'!$O$7</x:f>
        <x:v>13.49333333333333</x:v>
      </x:c>
      <x:c r="J196" s="62" t="n">
        <x:f>G196*'17_Gia_dinh_mo_hinh'!$P$7</x:f>
        <x:v>7.421333333333331</x:v>
      </x:c>
      <x:c r="K196" s="62" t="n">
        <x:f>IF(B196&lt;='17_Gia_dinh_mo_hinh'!$J$7,'17_Gia_dinh_mo_hinh'!$K$7*(1-MIN(0.95,'17_Gia_dinh_mo_hinh'!$M$7*0.75))/'17_Gia_dinh_mo_hinh'!$J$7,0)</x:f>
        <x:v>277.6666666666667</x:v>
      </x:c>
      <x:c r="L196" s="62" t="n">
        <x:f>S195*'17_Gia_dinh_mo_hinh'!$Q$7/12</x:f>
        <x:v>28.292065087259044</x:v>
      </x:c>
      <x:c r="M196" s="62" t="n">
        <x:f>G196-H196-I196-J196-L196</x:f>
        <x:v>55.366601579407615</x:v>
      </x:c>
      <x:c r="N196" s="62" t="n">
        <x:f>MAX(0,M196*'17_Gia_dinh_mo_hinh'!$S$7)</x:f>
        <x:v>11.073320315881524</x:v>
      </x:c>
      <x:c r="O196" s="62" t="n">
        <x:f>M196-N196</x:f>
        <x:v>44.29328126352609</x:v>
      </x:c>
      <x:c r="P196" s="62" t="n">
        <x:f>F196-K196-I196-J196-N196-L196</x:f>
        <x:v>-84.94671873647397</x:v>
      </x:c>
      <x:c r="Q196" s="62" t="n">
        <x:f>MIN(MAX(0,-(T195+P196)),MAX(0,'17_Gia_dinh_mo_hinh'!$R$7-S195))</x:f>
        <x:v>84.94671873647397</x:v>
      </x:c>
      <x:c r="R196" s="62" t="n">
        <x:f>MIN(MAX(0,T195+P196+Q196),S195+Q196)</x:f>
        <x:v>0</x:v>
      </x:c>
      <x:c r="S196" s="62" t="n">
        <x:f>S195+Q196-R196</x:f>
        <x:v>3658.681256074458</x:v>
      </x:c>
      <x:c r="T196" s="62" t="n">
        <x:f>MAX(0,T195+P196+Q196-R196)</x:f>
        <x:v>0</x:v>
      </x:c>
      <x:c r="U196" s="62" t="n">
        <x:f>MAX(0,-(T195+P196)-MAX(0,'17_Gia_dinh_mo_hinh'!$R$7-S195))</x:f>
        <x:v>0</x:v>
      </x:c>
      <x:c r="V196" s="61" t="str">
        <x:f>IF(B196&lt;'17_Gia_dinh_mo_hinh'!$F$7+D196,"Trước mở bán",IF(B196&lt;'17_Gia_dinh_mo_hinh'!$H$7+D196,"Bán hàng/thi công",IF(G196&gt;0,"Ghi nhận/bàn giao","Hậu bàn giao")))</x:f>
        <x:v>Ghi nhận/bàn giao</x:v>
      </x:c>
    </x:row>
    <x:row r="197">
      <x:c r="A197" s="54" t="str">
        <x:v>DA04</x:v>
      </x:c>
      <x:c r="B197" s="54" t="n">
        <x:v>14</x:v>
      </x:c>
      <x:c r="C197" s="60" t="n">
        <x:f>EDATE('17_Gia_dinh_mo_hinh'!$C$7,B197-1)</x:f>
        <x:v>46631</x:v>
      </x:c>
      <x:c r="D197" s="61" t="n">
        <x:f>ROUNDUP('17_Gia_dinh_mo_hinh'!$E$7/30,0)</x:f>
        <x:v>0</x:v>
      </x:c>
      <x:c r="E197" s="62" t="n">
        <x:f>IF(AND(B197&gt;='17_Gia_dinh_mo_hinh'!$F$7+D197,B197&lt;'17_Gia_dinh_mo_hinh'!$F$7+D197+'17_Gia_dinh_mo_hinh'!$G$7),'17_Gia_dinh_mo_hinh'!$L$7*(1-'17_Gia_dinh_mo_hinh'!$M$7)/'17_Gia_dinh_mo_hinh'!$G$7,0)</x:f>
        <x:v>252.99999999999997</x:v>
      </x:c>
      <x:c r="F197" s="62" t="n">
        <x:f>0.70*E197+0.30*E196</x:f>
        <x:v>252.99999999999994</x:v>
      </x:c>
      <x:c r="G197" s="62" t="n">
        <x:f>IF(AND(B197&gt;='17_Gia_dinh_mo_hinh'!$H$7+D197,B197&lt;'17_Gia_dinh_mo_hinh'!$H$7+D197+'17_Gia_dinh_mo_hinh'!$I$7),'17_Gia_dinh_mo_hinh'!$L$7*(1-'17_Gia_dinh_mo_hinh'!$M$7)/'17_Gia_dinh_mo_hinh'!$I$7,0)</x:f>
        <x:v>337.33333333333326</x:v>
      </x:c>
      <x:c r="H197" s="62" t="n">
        <x:f>G197*(1-'17_Gia_dinh_mo_hinh'!$N$7)</x:f>
        <x:v>232.75999999999993</x:v>
      </x:c>
      <x:c r="I197" s="62" t="n">
        <x:f>G197*'17_Gia_dinh_mo_hinh'!$O$7</x:f>
        <x:v>13.49333333333333</x:v>
      </x:c>
      <x:c r="J197" s="62" t="n">
        <x:f>G197*'17_Gia_dinh_mo_hinh'!$P$7</x:f>
        <x:v>7.421333333333331</x:v>
      </x:c>
      <x:c r="K197" s="62" t="n">
        <x:f>IF(B197&lt;='17_Gia_dinh_mo_hinh'!$J$7,'17_Gia_dinh_mo_hinh'!$K$7*(1-MIN(0.95,'17_Gia_dinh_mo_hinh'!$M$7*0.75))/'17_Gia_dinh_mo_hinh'!$J$7,0)</x:f>
        <x:v>277.6666666666667</x:v>
      </x:c>
      <x:c r="L197" s="62" t="n">
        <x:f>S196*'17_Gia_dinh_mo_hinh'!$Q$7/12</x:f>
        <x:v>28.964559943922794</x:v>
      </x:c>
      <x:c r="M197" s="62" t="n">
        <x:f>G197-H197-I197-J197-L197</x:f>
        <x:v>54.69410672274387</x:v>
      </x:c>
      <x:c r="N197" s="62" t="n">
        <x:f>MAX(0,M197*'17_Gia_dinh_mo_hinh'!$S$7)</x:f>
        <x:v>10.938821344548774</x:v>
      </x:c>
      <x:c r="O197" s="62" t="n">
        <x:f>M197-N197</x:f>
        <x:v>43.7552853781951</x:v>
      </x:c>
      <x:c r="P197" s="62" t="n">
        <x:f>F197-K197-I197-J197-N197-L197</x:f>
        <x:v>-85.48471462180497</x:v>
      </x:c>
      <x:c r="Q197" s="62" t="n">
        <x:f>MIN(MAX(0,-(T196+P197)),MAX(0,'17_Gia_dinh_mo_hinh'!$R$7-S196))</x:f>
        <x:v>85.48471462180497</x:v>
      </x:c>
      <x:c r="R197" s="62" t="n">
        <x:f>MIN(MAX(0,T196+P197+Q197),S196+Q197)</x:f>
        <x:v>0</x:v>
      </x:c>
      <x:c r="S197" s="62" t="n">
        <x:f>S196+Q197-R197</x:f>
        <x:v>3744.165970696263</x:v>
      </x:c>
      <x:c r="T197" s="62" t="n">
        <x:f>MAX(0,T196+P197+Q197-R197)</x:f>
        <x:v>0</x:v>
      </x:c>
      <x:c r="U197" s="62" t="n">
        <x:f>MAX(0,-(T196+P197)-MAX(0,'17_Gia_dinh_mo_hinh'!$R$7-S196))</x:f>
        <x:v>0</x:v>
      </x:c>
      <x:c r="V197" s="61" t="str">
        <x:f>IF(B197&lt;'17_Gia_dinh_mo_hinh'!$F$7+D197,"Trước mở bán",IF(B197&lt;'17_Gia_dinh_mo_hinh'!$H$7+D197,"Bán hàng/thi công",IF(G197&gt;0,"Ghi nhận/bàn giao","Hậu bàn giao")))</x:f>
        <x:v>Ghi nhận/bàn giao</x:v>
      </x:c>
    </x:row>
    <x:row r="198">
      <x:c r="A198" s="54" t="str">
        <x:v>DA04</x:v>
      </x:c>
      <x:c r="B198" s="54" t="n">
        <x:v>15</x:v>
      </x:c>
      <x:c r="C198" s="60" t="n">
        <x:f>EDATE('17_Gia_dinh_mo_hinh'!$C$7,B198-1)</x:f>
        <x:v>46661</x:v>
      </x:c>
      <x:c r="D198" s="61" t="n">
        <x:f>ROUNDUP('17_Gia_dinh_mo_hinh'!$E$7/30,0)</x:f>
        <x:v>0</x:v>
      </x:c>
      <x:c r="E198" s="62" t="n">
        <x:f>IF(AND(B198&gt;='17_Gia_dinh_mo_hinh'!$F$7+D198,B198&lt;'17_Gia_dinh_mo_hinh'!$F$7+D198+'17_Gia_dinh_mo_hinh'!$G$7),'17_Gia_dinh_mo_hinh'!$L$7*(1-'17_Gia_dinh_mo_hinh'!$M$7)/'17_Gia_dinh_mo_hinh'!$G$7,0)</x:f>
        <x:v>252.99999999999997</x:v>
      </x:c>
      <x:c r="F198" s="62" t="n">
        <x:f>0.70*E198+0.30*E197</x:f>
        <x:v>252.99999999999994</x:v>
      </x:c>
      <x:c r="G198" s="62" t="n">
        <x:f>IF(AND(B198&gt;='17_Gia_dinh_mo_hinh'!$H$7+D198,B198&lt;'17_Gia_dinh_mo_hinh'!$H$7+D198+'17_Gia_dinh_mo_hinh'!$I$7),'17_Gia_dinh_mo_hinh'!$L$7*(1-'17_Gia_dinh_mo_hinh'!$M$7)/'17_Gia_dinh_mo_hinh'!$I$7,0)</x:f>
        <x:v>337.33333333333326</x:v>
      </x:c>
      <x:c r="H198" s="62" t="n">
        <x:f>G198*(1-'17_Gia_dinh_mo_hinh'!$N$7)</x:f>
        <x:v>232.75999999999993</x:v>
      </x:c>
      <x:c r="I198" s="62" t="n">
        <x:f>G198*'17_Gia_dinh_mo_hinh'!$O$7</x:f>
        <x:v>13.49333333333333</x:v>
      </x:c>
      <x:c r="J198" s="62" t="n">
        <x:f>G198*'17_Gia_dinh_mo_hinh'!$P$7</x:f>
        <x:v>7.421333333333331</x:v>
      </x:c>
      <x:c r="K198" s="62" t="n">
        <x:f>IF(B198&lt;='17_Gia_dinh_mo_hinh'!$J$7,'17_Gia_dinh_mo_hinh'!$K$7*(1-MIN(0.95,'17_Gia_dinh_mo_hinh'!$M$7*0.75))/'17_Gia_dinh_mo_hinh'!$J$7,0)</x:f>
        <x:v>277.6666666666667</x:v>
      </x:c>
      <x:c r="L198" s="62" t="n">
        <x:f>S197*'17_Gia_dinh_mo_hinh'!$Q$7/12</x:f>
        <x:v>29.64131393467875</x:v>
      </x:c>
      <x:c r="M198" s="62" t="n">
        <x:f>G198-H198-I198-J198-L198</x:f>
        <x:v>54.01735273198791</x:v>
      </x:c>
      <x:c r="N198" s="62" t="n">
        <x:f>MAX(0,M198*'17_Gia_dinh_mo_hinh'!$S$7)</x:f>
        <x:v>10.803470546397584</x:v>
      </x:c>
      <x:c r="O198" s="62" t="n">
        <x:f>M198-N198</x:f>
        <x:v>43.21388218559033</x:v>
      </x:c>
      <x:c r="P198" s="62" t="n">
        <x:f>F198-K198-I198-J198-N198-L198</x:f>
        <x:v>-86.02611781440973</x:v>
      </x:c>
      <x:c r="Q198" s="62" t="n">
        <x:f>MIN(MAX(0,-(T197+P198)),MAX(0,'17_Gia_dinh_mo_hinh'!$R$7-S197))</x:f>
        <x:v>35.834029303737225</x:v>
      </x:c>
      <x:c r="R198" s="62" t="n">
        <x:f>MIN(MAX(0,T197+P198+Q198),S197+Q198)</x:f>
        <x:v>0</x:v>
      </x:c>
      <x:c r="S198" s="62" t="n">
        <x:f>S197+Q198-R198</x:f>
        <x:v>3780</x:v>
      </x:c>
      <x:c r="T198" s="62" t="n">
        <x:f>MAX(0,T197+P198+Q198-R198)</x:f>
        <x:v>0</x:v>
      </x:c>
      <x:c r="U198" s="62" t="n">
        <x:f>MAX(0,-(T197+P198)-MAX(0,'17_Gia_dinh_mo_hinh'!$R$7-S197))</x:f>
        <x:v>50.192088510672505</x:v>
      </x:c>
      <x:c r="V198" s="61" t="str">
        <x:f>IF(B198&lt;'17_Gia_dinh_mo_hinh'!$F$7+D198,"Trước mở bán",IF(B198&lt;'17_Gia_dinh_mo_hinh'!$H$7+D198,"Bán hàng/thi công",IF(G198&gt;0,"Ghi nhận/bàn giao","Hậu bàn giao")))</x:f>
        <x:v>Ghi nhận/bàn giao</x:v>
      </x:c>
    </x:row>
    <x:row r="199">
      <x:c r="A199" s="54" t="str">
        <x:v>DA04</x:v>
      </x:c>
      <x:c r="B199" s="54" t="n">
        <x:v>16</x:v>
      </x:c>
      <x:c r="C199" s="60" t="n">
        <x:f>EDATE('17_Gia_dinh_mo_hinh'!$C$7,B199-1)</x:f>
        <x:v>46692</x:v>
      </x:c>
      <x:c r="D199" s="61" t="n">
        <x:f>ROUNDUP('17_Gia_dinh_mo_hinh'!$E$7/30,0)</x:f>
        <x:v>0</x:v>
      </x:c>
      <x:c r="E199" s="62" t="n">
        <x:f>IF(AND(B199&gt;='17_Gia_dinh_mo_hinh'!$F$7+D199,B199&lt;'17_Gia_dinh_mo_hinh'!$F$7+D199+'17_Gia_dinh_mo_hinh'!$G$7),'17_Gia_dinh_mo_hinh'!$L$7*(1-'17_Gia_dinh_mo_hinh'!$M$7)/'17_Gia_dinh_mo_hinh'!$G$7,0)</x:f>
        <x:v>252.99999999999997</x:v>
      </x:c>
      <x:c r="F199" s="62" t="n">
        <x:f>0.70*E199+0.30*E198</x:f>
        <x:v>252.99999999999994</x:v>
      </x:c>
      <x:c r="G199" s="62" t="n">
        <x:f>IF(AND(B199&gt;='17_Gia_dinh_mo_hinh'!$H$7+D199,B199&lt;'17_Gia_dinh_mo_hinh'!$H$7+D199+'17_Gia_dinh_mo_hinh'!$I$7),'17_Gia_dinh_mo_hinh'!$L$7*(1-'17_Gia_dinh_mo_hinh'!$M$7)/'17_Gia_dinh_mo_hinh'!$I$7,0)</x:f>
        <x:v>337.33333333333326</x:v>
      </x:c>
      <x:c r="H199" s="62" t="n">
        <x:f>G199*(1-'17_Gia_dinh_mo_hinh'!$N$7)</x:f>
        <x:v>232.75999999999993</x:v>
      </x:c>
      <x:c r="I199" s="62" t="n">
        <x:f>G199*'17_Gia_dinh_mo_hinh'!$O$7</x:f>
        <x:v>13.49333333333333</x:v>
      </x:c>
      <x:c r="J199" s="62" t="n">
        <x:f>G199*'17_Gia_dinh_mo_hinh'!$P$7</x:f>
        <x:v>7.421333333333331</x:v>
      </x:c>
      <x:c r="K199" s="62" t="n">
        <x:f>IF(B199&lt;='17_Gia_dinh_mo_hinh'!$J$7,'17_Gia_dinh_mo_hinh'!$K$7*(1-MIN(0.95,'17_Gia_dinh_mo_hinh'!$M$7*0.75))/'17_Gia_dinh_mo_hinh'!$J$7,0)</x:f>
        <x:v>277.6666666666667</x:v>
      </x:c>
      <x:c r="L199" s="62" t="n">
        <x:f>S198*'17_Gia_dinh_mo_hinh'!$Q$7/12</x:f>
        <x:v>29.925</x:v>
      </x:c>
      <x:c r="M199" s="62" t="n">
        <x:f>G199-H199-I199-J199-L199</x:f>
        <x:v>53.733666666666664</x:v>
      </x:c>
      <x:c r="N199" s="62" t="n">
        <x:f>MAX(0,M199*'17_Gia_dinh_mo_hinh'!$S$7)</x:f>
        <x:v>10.746733333333333</x:v>
      </x:c>
      <x:c r="O199" s="62" t="n">
        <x:f>M199-N199</x:f>
        <x:v>42.98693333333333</x:v>
      </x:c>
      <x:c r="P199" s="62" t="n">
        <x:f>F199-K199-I199-J199-N199-L199</x:f>
        <x:v>-86.25306666666674</x:v>
      </x:c>
      <x:c r="Q199" s="62" t="n">
        <x:f>MIN(MAX(0,-(T198+P199)),MAX(0,'17_Gia_dinh_mo_hinh'!$R$7-S198))</x:f>
        <x:v>0</x:v>
      </x:c>
      <x:c r="R199" s="62" t="n">
        <x:f>MIN(MAX(0,T198+P199+Q199),S198+Q199)</x:f>
        <x:v>0</x:v>
      </x:c>
      <x:c r="S199" s="62" t="n">
        <x:f>S198+Q199-R199</x:f>
        <x:v>3780</x:v>
      </x:c>
      <x:c r="T199" s="62" t="n">
        <x:f>MAX(0,T198+P199+Q199-R199)</x:f>
        <x:v>0</x:v>
      </x:c>
      <x:c r="U199" s="62" t="n">
        <x:f>MAX(0,-(T198+P199)-MAX(0,'17_Gia_dinh_mo_hinh'!$R$7-S198))</x:f>
        <x:v>86.25306666666674</x:v>
      </x:c>
      <x:c r="V199" s="61" t="str">
        <x:f>IF(B199&lt;'17_Gia_dinh_mo_hinh'!$F$7+D199,"Trước mở bán",IF(B199&lt;'17_Gia_dinh_mo_hinh'!$H$7+D199,"Bán hàng/thi công",IF(G199&gt;0,"Ghi nhận/bàn giao","Hậu bàn giao")))</x:f>
        <x:v>Ghi nhận/bàn giao</x:v>
      </x:c>
    </x:row>
    <x:row r="200">
      <x:c r="A200" s="54" t="str">
        <x:v>DA04</x:v>
      </x:c>
      <x:c r="B200" s="54" t="n">
        <x:v>17</x:v>
      </x:c>
      <x:c r="C200" s="60" t="n">
        <x:f>EDATE('17_Gia_dinh_mo_hinh'!$C$7,B200-1)</x:f>
        <x:v>46722</x:v>
      </x:c>
      <x:c r="D200" s="61" t="n">
        <x:f>ROUNDUP('17_Gia_dinh_mo_hinh'!$E$7/30,0)</x:f>
        <x:v>0</x:v>
      </x:c>
      <x:c r="E200" s="62" t="n">
        <x:f>IF(AND(B200&gt;='17_Gia_dinh_mo_hinh'!$F$7+D200,B200&lt;'17_Gia_dinh_mo_hinh'!$F$7+D200+'17_Gia_dinh_mo_hinh'!$G$7),'17_Gia_dinh_mo_hinh'!$L$7*(1-'17_Gia_dinh_mo_hinh'!$M$7)/'17_Gia_dinh_mo_hinh'!$G$7,0)</x:f>
        <x:v>252.99999999999997</x:v>
      </x:c>
      <x:c r="F200" s="62" t="n">
        <x:f>0.70*E200+0.30*E199</x:f>
        <x:v>252.99999999999994</x:v>
      </x:c>
      <x:c r="G200" s="62" t="n">
        <x:f>IF(AND(B200&gt;='17_Gia_dinh_mo_hinh'!$H$7+D200,B200&lt;'17_Gia_dinh_mo_hinh'!$H$7+D200+'17_Gia_dinh_mo_hinh'!$I$7),'17_Gia_dinh_mo_hinh'!$L$7*(1-'17_Gia_dinh_mo_hinh'!$M$7)/'17_Gia_dinh_mo_hinh'!$I$7,0)</x:f>
        <x:v>337.33333333333326</x:v>
      </x:c>
      <x:c r="H200" s="62" t="n">
        <x:f>G200*(1-'17_Gia_dinh_mo_hinh'!$N$7)</x:f>
        <x:v>232.75999999999993</x:v>
      </x:c>
      <x:c r="I200" s="62" t="n">
        <x:f>G200*'17_Gia_dinh_mo_hinh'!$O$7</x:f>
        <x:v>13.49333333333333</x:v>
      </x:c>
      <x:c r="J200" s="62" t="n">
        <x:f>G200*'17_Gia_dinh_mo_hinh'!$P$7</x:f>
        <x:v>7.421333333333331</x:v>
      </x:c>
      <x:c r="K200" s="62" t="n">
        <x:f>IF(B200&lt;='17_Gia_dinh_mo_hinh'!$J$7,'17_Gia_dinh_mo_hinh'!$K$7*(1-MIN(0.95,'17_Gia_dinh_mo_hinh'!$M$7*0.75))/'17_Gia_dinh_mo_hinh'!$J$7,0)</x:f>
        <x:v>277.6666666666667</x:v>
      </x:c>
      <x:c r="L200" s="62" t="n">
        <x:f>S199*'17_Gia_dinh_mo_hinh'!$Q$7/12</x:f>
        <x:v>29.925</x:v>
      </x:c>
      <x:c r="M200" s="62" t="n">
        <x:f>G200-H200-I200-J200-L200</x:f>
        <x:v>53.733666666666664</x:v>
      </x:c>
      <x:c r="N200" s="62" t="n">
        <x:f>MAX(0,M200*'17_Gia_dinh_mo_hinh'!$S$7)</x:f>
        <x:v>10.746733333333333</x:v>
      </x:c>
      <x:c r="O200" s="62" t="n">
        <x:f>M200-N200</x:f>
        <x:v>42.98693333333333</x:v>
      </x:c>
      <x:c r="P200" s="62" t="n">
        <x:f>F200-K200-I200-J200-N200-L200</x:f>
        <x:v>-86.25306666666674</x:v>
      </x:c>
      <x:c r="Q200" s="62" t="n">
        <x:f>MIN(MAX(0,-(T199+P200)),MAX(0,'17_Gia_dinh_mo_hinh'!$R$7-S199))</x:f>
        <x:v>0</x:v>
      </x:c>
      <x:c r="R200" s="62" t="n">
        <x:f>MIN(MAX(0,T199+P200+Q200),S199+Q200)</x:f>
        <x:v>0</x:v>
      </x:c>
      <x:c r="S200" s="62" t="n">
        <x:f>S199+Q200-R200</x:f>
        <x:v>3780</x:v>
      </x:c>
      <x:c r="T200" s="62" t="n">
        <x:f>MAX(0,T199+P200+Q200-R200)</x:f>
        <x:v>0</x:v>
      </x:c>
      <x:c r="U200" s="62" t="n">
        <x:f>MAX(0,-(T199+P200)-MAX(0,'17_Gia_dinh_mo_hinh'!$R$7-S199))</x:f>
        <x:v>86.25306666666674</x:v>
      </x:c>
      <x:c r="V200" s="61" t="str">
        <x:f>IF(B200&lt;'17_Gia_dinh_mo_hinh'!$F$7+D200,"Trước mở bán",IF(B200&lt;'17_Gia_dinh_mo_hinh'!$H$7+D200,"Bán hàng/thi công",IF(G200&gt;0,"Ghi nhận/bàn giao","Hậu bàn giao")))</x:f>
        <x:v>Ghi nhận/bàn giao</x:v>
      </x:c>
    </x:row>
    <x:row r="201">
      <x:c r="A201" s="54" t="str">
        <x:v>DA04</x:v>
      </x:c>
      <x:c r="B201" s="54" t="n">
        <x:v>18</x:v>
      </x:c>
      <x:c r="C201" s="60" t="n">
        <x:f>EDATE('17_Gia_dinh_mo_hinh'!$C$7,B201-1)</x:f>
        <x:v>46753</x:v>
      </x:c>
      <x:c r="D201" s="61" t="n">
        <x:f>ROUNDUP('17_Gia_dinh_mo_hinh'!$E$7/30,0)</x:f>
        <x:v>0</x:v>
      </x:c>
      <x:c r="E201" s="62" t="n">
        <x:f>IF(AND(B201&gt;='17_Gia_dinh_mo_hinh'!$F$7+D201,B201&lt;'17_Gia_dinh_mo_hinh'!$F$7+D201+'17_Gia_dinh_mo_hinh'!$G$7),'17_Gia_dinh_mo_hinh'!$L$7*(1-'17_Gia_dinh_mo_hinh'!$M$7)/'17_Gia_dinh_mo_hinh'!$G$7,0)</x:f>
        <x:v>252.99999999999997</x:v>
      </x:c>
      <x:c r="F201" s="62" t="n">
        <x:f>0.70*E201+0.30*E200</x:f>
        <x:v>252.99999999999994</x:v>
      </x:c>
      <x:c r="G201" s="62" t="n">
        <x:f>IF(AND(B201&gt;='17_Gia_dinh_mo_hinh'!$H$7+D201,B201&lt;'17_Gia_dinh_mo_hinh'!$H$7+D201+'17_Gia_dinh_mo_hinh'!$I$7),'17_Gia_dinh_mo_hinh'!$L$7*(1-'17_Gia_dinh_mo_hinh'!$M$7)/'17_Gia_dinh_mo_hinh'!$I$7,0)</x:f>
        <x:v>337.33333333333326</x:v>
      </x:c>
      <x:c r="H201" s="62" t="n">
        <x:f>G201*(1-'17_Gia_dinh_mo_hinh'!$N$7)</x:f>
        <x:v>232.75999999999993</x:v>
      </x:c>
      <x:c r="I201" s="62" t="n">
        <x:f>G201*'17_Gia_dinh_mo_hinh'!$O$7</x:f>
        <x:v>13.49333333333333</x:v>
      </x:c>
      <x:c r="J201" s="62" t="n">
        <x:f>G201*'17_Gia_dinh_mo_hinh'!$P$7</x:f>
        <x:v>7.421333333333331</x:v>
      </x:c>
      <x:c r="K201" s="62" t="n">
        <x:f>IF(B201&lt;='17_Gia_dinh_mo_hinh'!$J$7,'17_Gia_dinh_mo_hinh'!$K$7*(1-MIN(0.95,'17_Gia_dinh_mo_hinh'!$M$7*0.75))/'17_Gia_dinh_mo_hinh'!$J$7,0)</x:f>
        <x:v>277.6666666666667</x:v>
      </x:c>
      <x:c r="L201" s="62" t="n">
        <x:f>S200*'17_Gia_dinh_mo_hinh'!$Q$7/12</x:f>
        <x:v>29.925</x:v>
      </x:c>
      <x:c r="M201" s="62" t="n">
        <x:f>G201-H201-I201-J201-L201</x:f>
        <x:v>53.733666666666664</x:v>
      </x:c>
      <x:c r="N201" s="62" t="n">
        <x:f>MAX(0,M201*'17_Gia_dinh_mo_hinh'!$S$7)</x:f>
        <x:v>10.746733333333333</x:v>
      </x:c>
      <x:c r="O201" s="62" t="n">
        <x:f>M201-N201</x:f>
        <x:v>42.98693333333333</x:v>
      </x:c>
      <x:c r="P201" s="62" t="n">
        <x:f>F201-K201-I201-J201-N201-L201</x:f>
        <x:v>-86.25306666666674</x:v>
      </x:c>
      <x:c r="Q201" s="62" t="n">
        <x:f>MIN(MAX(0,-(T200+P201)),MAX(0,'17_Gia_dinh_mo_hinh'!$R$7-S200))</x:f>
        <x:v>0</x:v>
      </x:c>
      <x:c r="R201" s="62" t="n">
        <x:f>MIN(MAX(0,T200+P201+Q201),S200+Q201)</x:f>
        <x:v>0</x:v>
      </x:c>
      <x:c r="S201" s="62" t="n">
        <x:f>S200+Q201-R201</x:f>
        <x:v>3780</x:v>
      </x:c>
      <x:c r="T201" s="62" t="n">
        <x:f>MAX(0,T200+P201+Q201-R201)</x:f>
        <x:v>0</x:v>
      </x:c>
      <x:c r="U201" s="62" t="n">
        <x:f>MAX(0,-(T200+P201)-MAX(0,'17_Gia_dinh_mo_hinh'!$R$7-S200))</x:f>
        <x:v>86.25306666666674</x:v>
      </x:c>
      <x:c r="V201" s="61" t="str">
        <x:f>IF(B201&lt;'17_Gia_dinh_mo_hinh'!$F$7+D201,"Trước mở bán",IF(B201&lt;'17_Gia_dinh_mo_hinh'!$H$7+D201,"Bán hàng/thi công",IF(G201&gt;0,"Ghi nhận/bàn giao","Hậu bàn giao")))</x:f>
        <x:v>Ghi nhận/bàn giao</x:v>
      </x:c>
    </x:row>
    <x:row r="202">
      <x:c r="A202" s="54" t="str">
        <x:v>DA04</x:v>
      </x:c>
      <x:c r="B202" s="54" t="n">
        <x:v>19</x:v>
      </x:c>
      <x:c r="C202" s="60" t="n">
        <x:f>EDATE('17_Gia_dinh_mo_hinh'!$C$7,B202-1)</x:f>
        <x:v>46784</x:v>
      </x:c>
      <x:c r="D202" s="61" t="n">
        <x:f>ROUNDUP('17_Gia_dinh_mo_hinh'!$E$7/30,0)</x:f>
        <x:v>0</x:v>
      </x:c>
      <x:c r="E202" s="62" t="n">
        <x:f>IF(AND(B202&gt;='17_Gia_dinh_mo_hinh'!$F$7+D202,B202&lt;'17_Gia_dinh_mo_hinh'!$F$7+D202+'17_Gia_dinh_mo_hinh'!$G$7),'17_Gia_dinh_mo_hinh'!$L$7*(1-'17_Gia_dinh_mo_hinh'!$M$7)/'17_Gia_dinh_mo_hinh'!$G$7,0)</x:f>
        <x:v>252.99999999999997</x:v>
      </x:c>
      <x:c r="F202" s="62" t="n">
        <x:f>0.70*E202+0.30*E201</x:f>
        <x:v>252.99999999999994</x:v>
      </x:c>
      <x:c r="G202" s="62" t="n">
        <x:f>IF(AND(B202&gt;='17_Gia_dinh_mo_hinh'!$H$7+D202,B202&lt;'17_Gia_dinh_mo_hinh'!$H$7+D202+'17_Gia_dinh_mo_hinh'!$I$7),'17_Gia_dinh_mo_hinh'!$L$7*(1-'17_Gia_dinh_mo_hinh'!$M$7)/'17_Gia_dinh_mo_hinh'!$I$7,0)</x:f>
        <x:v>337.33333333333326</x:v>
      </x:c>
      <x:c r="H202" s="62" t="n">
        <x:f>G202*(1-'17_Gia_dinh_mo_hinh'!$N$7)</x:f>
        <x:v>232.75999999999993</x:v>
      </x:c>
      <x:c r="I202" s="62" t="n">
        <x:f>G202*'17_Gia_dinh_mo_hinh'!$O$7</x:f>
        <x:v>13.49333333333333</x:v>
      </x:c>
      <x:c r="J202" s="62" t="n">
        <x:f>G202*'17_Gia_dinh_mo_hinh'!$P$7</x:f>
        <x:v>7.421333333333331</x:v>
      </x:c>
      <x:c r="K202" s="62" t="n">
        <x:f>IF(B202&lt;='17_Gia_dinh_mo_hinh'!$J$7,'17_Gia_dinh_mo_hinh'!$K$7*(1-MIN(0.95,'17_Gia_dinh_mo_hinh'!$M$7*0.75))/'17_Gia_dinh_mo_hinh'!$J$7,0)</x:f>
        <x:v>0</x:v>
      </x:c>
      <x:c r="L202" s="62" t="n">
        <x:f>S201*'17_Gia_dinh_mo_hinh'!$Q$7/12</x:f>
        <x:v>29.925</x:v>
      </x:c>
      <x:c r="M202" s="62" t="n">
        <x:f>G202-H202-I202-J202-L202</x:f>
        <x:v>53.733666666666664</x:v>
      </x:c>
      <x:c r="N202" s="62" t="n">
        <x:f>MAX(0,M202*'17_Gia_dinh_mo_hinh'!$S$7)</x:f>
        <x:v>10.746733333333333</x:v>
      </x:c>
      <x:c r="O202" s="62" t="n">
        <x:f>M202-N202</x:f>
        <x:v>42.98693333333333</x:v>
      </x:c>
      <x:c r="P202" s="62" t="n">
        <x:f>F202-K202-I202-J202-N202-L202</x:f>
        <x:v>191.41359999999992</x:v>
      </x:c>
      <x:c r="Q202" s="62" t="n">
        <x:f>MIN(MAX(0,-(T201+P202)),MAX(0,'17_Gia_dinh_mo_hinh'!$R$7-S201))</x:f>
        <x:v>0</x:v>
      </x:c>
      <x:c r="R202" s="62" t="n">
        <x:f>MIN(MAX(0,T201+P202+Q202),S201+Q202)</x:f>
        <x:v>191.41359999999992</x:v>
      </x:c>
      <x:c r="S202" s="62" t="n">
        <x:f>S201+Q202-R202</x:f>
        <x:v>3588.5864</x:v>
      </x:c>
      <x:c r="T202" s="62" t="n">
        <x:f>MAX(0,T201+P202+Q202-R202)</x:f>
        <x:v>0</x:v>
      </x:c>
      <x:c r="U202" s="62" t="n">
        <x:f>MAX(0,-(T201+P202)-MAX(0,'17_Gia_dinh_mo_hinh'!$R$7-S201))</x:f>
        <x:v>0</x:v>
      </x:c>
      <x:c r="V202" s="61" t="str">
        <x:f>IF(B202&lt;'17_Gia_dinh_mo_hinh'!$F$7+D202,"Trước mở bán",IF(B202&lt;'17_Gia_dinh_mo_hinh'!$H$7+D202,"Bán hàng/thi công",IF(G202&gt;0,"Ghi nhận/bàn giao","Hậu bàn giao")))</x:f>
        <x:v>Ghi nhận/bàn giao</x:v>
      </x:c>
    </x:row>
    <x:row r="203">
      <x:c r="A203" s="54" t="str">
        <x:v>DA04</x:v>
      </x:c>
      <x:c r="B203" s="54" t="n">
        <x:v>20</x:v>
      </x:c>
      <x:c r="C203" s="60" t="n">
        <x:f>EDATE('17_Gia_dinh_mo_hinh'!$C$7,B203-1)</x:f>
        <x:v>46813</x:v>
      </x:c>
      <x:c r="D203" s="61" t="n">
        <x:f>ROUNDUP('17_Gia_dinh_mo_hinh'!$E$7/30,0)</x:f>
        <x:v>0</x:v>
      </x:c>
      <x:c r="E203" s="62" t="n">
        <x:f>IF(AND(B203&gt;='17_Gia_dinh_mo_hinh'!$F$7+D203,B203&lt;'17_Gia_dinh_mo_hinh'!$F$7+D203+'17_Gia_dinh_mo_hinh'!$G$7),'17_Gia_dinh_mo_hinh'!$L$7*(1-'17_Gia_dinh_mo_hinh'!$M$7)/'17_Gia_dinh_mo_hinh'!$G$7,0)</x:f>
        <x:v>252.99999999999997</x:v>
      </x:c>
      <x:c r="F203" s="62" t="n">
        <x:f>0.70*E203+0.30*E202</x:f>
        <x:v>252.99999999999994</x:v>
      </x:c>
      <x:c r="G203" s="62" t="n">
        <x:f>IF(AND(B203&gt;='17_Gia_dinh_mo_hinh'!$H$7+D203,B203&lt;'17_Gia_dinh_mo_hinh'!$H$7+D203+'17_Gia_dinh_mo_hinh'!$I$7),'17_Gia_dinh_mo_hinh'!$L$7*(1-'17_Gia_dinh_mo_hinh'!$M$7)/'17_Gia_dinh_mo_hinh'!$I$7,0)</x:f>
        <x:v>337.33333333333326</x:v>
      </x:c>
      <x:c r="H203" s="62" t="n">
        <x:f>G203*(1-'17_Gia_dinh_mo_hinh'!$N$7)</x:f>
        <x:v>232.75999999999993</x:v>
      </x:c>
      <x:c r="I203" s="62" t="n">
        <x:f>G203*'17_Gia_dinh_mo_hinh'!$O$7</x:f>
        <x:v>13.49333333333333</x:v>
      </x:c>
      <x:c r="J203" s="62" t="n">
        <x:f>G203*'17_Gia_dinh_mo_hinh'!$P$7</x:f>
        <x:v>7.421333333333331</x:v>
      </x:c>
      <x:c r="K203" s="62" t="n">
        <x:f>IF(B203&lt;='17_Gia_dinh_mo_hinh'!$J$7,'17_Gia_dinh_mo_hinh'!$K$7*(1-MIN(0.95,'17_Gia_dinh_mo_hinh'!$M$7*0.75))/'17_Gia_dinh_mo_hinh'!$J$7,0)</x:f>
        <x:v>0</x:v>
      </x:c>
      <x:c r="L203" s="62" t="n">
        <x:f>S202*'17_Gia_dinh_mo_hinh'!$Q$7/12</x:f>
        <x:v>28.409642333333334</x:v>
      </x:c>
      <x:c r="M203" s="62" t="n">
        <x:f>G203-H203-I203-J203-L203</x:f>
        <x:v>55.249024333333324</x:v>
      </x:c>
      <x:c r="N203" s="62" t="n">
        <x:f>MAX(0,M203*'17_Gia_dinh_mo_hinh'!$S$7)</x:f>
        <x:v>11.049804866666666</x:v>
      </x:c>
      <x:c r="O203" s="62" t="n">
        <x:f>M203-N203</x:f>
        <x:v>44.19921946666666</x:v>
      </x:c>
      <x:c r="P203" s="62" t="n">
        <x:f>F203-K203-I203-J203-N203-L203</x:f>
        <x:v>192.62588613333327</x:v>
      </x:c>
      <x:c r="Q203" s="62" t="n">
        <x:f>MIN(MAX(0,-(T202+P203)),MAX(0,'17_Gia_dinh_mo_hinh'!$R$7-S202))</x:f>
        <x:v>0</x:v>
      </x:c>
      <x:c r="R203" s="62" t="n">
        <x:f>MIN(MAX(0,T202+P203+Q203),S202+Q203)</x:f>
        <x:v>192.62588613333327</x:v>
      </x:c>
      <x:c r="S203" s="62" t="n">
        <x:f>S202+Q203-R203</x:f>
        <x:v>3395.960513866667</x:v>
      </x:c>
      <x:c r="T203" s="62" t="n">
        <x:f>MAX(0,T202+P203+Q203-R203)</x:f>
        <x:v>0</x:v>
      </x:c>
      <x:c r="U203" s="62" t="n">
        <x:f>MAX(0,-(T202+P203)-MAX(0,'17_Gia_dinh_mo_hinh'!$R$7-S202))</x:f>
        <x:v>0</x:v>
      </x:c>
      <x:c r="V203" s="61" t="str">
        <x:f>IF(B203&lt;'17_Gia_dinh_mo_hinh'!$F$7+D203,"Trước mở bán",IF(B203&lt;'17_Gia_dinh_mo_hinh'!$H$7+D203,"Bán hàng/thi công",IF(G203&gt;0,"Ghi nhận/bàn giao","Hậu bàn giao")))</x:f>
        <x:v>Ghi nhận/bàn giao</x:v>
      </x:c>
    </x:row>
    <x:row r="204">
      <x:c r="A204" s="54" t="str">
        <x:v>DA04</x:v>
      </x:c>
      <x:c r="B204" s="54" t="n">
        <x:v>21</x:v>
      </x:c>
      <x:c r="C204" s="60" t="n">
        <x:f>EDATE('17_Gia_dinh_mo_hinh'!$C$7,B204-1)</x:f>
        <x:v>46844</x:v>
      </x:c>
      <x:c r="D204" s="61" t="n">
        <x:f>ROUNDUP('17_Gia_dinh_mo_hinh'!$E$7/30,0)</x:f>
        <x:v>0</x:v>
      </x:c>
      <x:c r="E204" s="62" t="n">
        <x:f>IF(AND(B204&gt;='17_Gia_dinh_mo_hinh'!$F$7+D204,B204&lt;'17_Gia_dinh_mo_hinh'!$F$7+D204+'17_Gia_dinh_mo_hinh'!$G$7),'17_Gia_dinh_mo_hinh'!$L$7*(1-'17_Gia_dinh_mo_hinh'!$M$7)/'17_Gia_dinh_mo_hinh'!$G$7,0)</x:f>
        <x:v>252.99999999999997</x:v>
      </x:c>
      <x:c r="F204" s="62" t="n">
        <x:f>0.70*E204+0.30*E203</x:f>
        <x:v>252.99999999999994</x:v>
      </x:c>
      <x:c r="G204" s="62" t="n">
        <x:f>IF(AND(B204&gt;='17_Gia_dinh_mo_hinh'!$H$7+D204,B204&lt;'17_Gia_dinh_mo_hinh'!$H$7+D204+'17_Gia_dinh_mo_hinh'!$I$7),'17_Gia_dinh_mo_hinh'!$L$7*(1-'17_Gia_dinh_mo_hinh'!$M$7)/'17_Gia_dinh_mo_hinh'!$I$7,0)</x:f>
        <x:v>337.33333333333326</x:v>
      </x:c>
      <x:c r="H204" s="62" t="n">
        <x:f>G204*(1-'17_Gia_dinh_mo_hinh'!$N$7)</x:f>
        <x:v>232.75999999999993</x:v>
      </x:c>
      <x:c r="I204" s="62" t="n">
        <x:f>G204*'17_Gia_dinh_mo_hinh'!$O$7</x:f>
        <x:v>13.49333333333333</x:v>
      </x:c>
      <x:c r="J204" s="62" t="n">
        <x:f>G204*'17_Gia_dinh_mo_hinh'!$P$7</x:f>
        <x:v>7.421333333333331</x:v>
      </x:c>
      <x:c r="K204" s="62" t="n">
        <x:f>IF(B204&lt;='17_Gia_dinh_mo_hinh'!$J$7,'17_Gia_dinh_mo_hinh'!$K$7*(1-MIN(0.95,'17_Gia_dinh_mo_hinh'!$M$7*0.75))/'17_Gia_dinh_mo_hinh'!$J$7,0)</x:f>
        <x:v>0</x:v>
      </x:c>
      <x:c r="L204" s="62" t="n">
        <x:f>S203*'17_Gia_dinh_mo_hinh'!$Q$7/12</x:f>
        <x:v>26.88468740144445</x:v>
      </x:c>
      <x:c r="M204" s="62" t="n">
        <x:f>G204-H204-I204-J204-L204</x:f>
        <x:v>56.77397926522221</x:v>
      </x:c>
      <x:c r="N204" s="62" t="n">
        <x:f>MAX(0,M204*'17_Gia_dinh_mo_hinh'!$S$7)</x:f>
        <x:v>11.354795853044443</x:v>
      </x:c>
      <x:c r="O204" s="62" t="n">
        <x:f>M204-N204</x:f>
        <x:v>45.419183412177766</x:v>
      </x:c>
      <x:c r="P204" s="62" t="n">
        <x:f>F204-K204-I204-J204-N204-L204</x:f>
        <x:v>193.8458500788444</x:v>
      </x:c>
      <x:c r="Q204" s="62" t="n">
        <x:f>MIN(MAX(0,-(T203+P204)),MAX(0,'17_Gia_dinh_mo_hinh'!$R$7-S203))</x:f>
        <x:v>0</x:v>
      </x:c>
      <x:c r="R204" s="62" t="n">
        <x:f>MIN(MAX(0,T203+P204+Q204),S203+Q204)</x:f>
        <x:v>193.8458500788444</x:v>
      </x:c>
      <x:c r="S204" s="62" t="n">
        <x:f>S203+Q204-R204</x:f>
        <x:v>3202.114663787823</x:v>
      </x:c>
      <x:c r="T204" s="62" t="n">
        <x:f>MAX(0,T203+P204+Q204-R204)</x:f>
        <x:v>0</x:v>
      </x:c>
      <x:c r="U204" s="62" t="n">
        <x:f>MAX(0,-(T203+P204)-MAX(0,'17_Gia_dinh_mo_hinh'!$R$7-S203))</x:f>
        <x:v>0</x:v>
      </x:c>
      <x:c r="V204" s="61" t="str">
        <x:f>IF(B204&lt;'17_Gia_dinh_mo_hinh'!$F$7+D204,"Trước mở bán",IF(B204&lt;'17_Gia_dinh_mo_hinh'!$H$7+D204,"Bán hàng/thi công",IF(G204&gt;0,"Ghi nhận/bàn giao","Hậu bàn giao")))</x:f>
        <x:v>Ghi nhận/bàn giao</x:v>
      </x:c>
    </x:row>
    <x:row r="205">
      <x:c r="A205" s="54" t="str">
        <x:v>DA04</x:v>
      </x:c>
      <x:c r="B205" s="54" t="n">
        <x:v>22</x:v>
      </x:c>
      <x:c r="C205" s="60" t="n">
        <x:f>EDATE('17_Gia_dinh_mo_hinh'!$C$7,B205-1)</x:f>
        <x:v>46874</x:v>
      </x:c>
      <x:c r="D205" s="61" t="n">
        <x:f>ROUNDUP('17_Gia_dinh_mo_hinh'!$E$7/30,0)</x:f>
        <x:v>0</x:v>
      </x:c>
      <x:c r="E205" s="62" t="n">
        <x:f>IF(AND(B205&gt;='17_Gia_dinh_mo_hinh'!$F$7+D205,B205&lt;'17_Gia_dinh_mo_hinh'!$F$7+D205+'17_Gia_dinh_mo_hinh'!$G$7),'17_Gia_dinh_mo_hinh'!$L$7*(1-'17_Gia_dinh_mo_hinh'!$M$7)/'17_Gia_dinh_mo_hinh'!$G$7,0)</x:f>
        <x:v>252.99999999999997</x:v>
      </x:c>
      <x:c r="F205" s="62" t="n">
        <x:f>0.70*E205+0.30*E204</x:f>
        <x:v>252.99999999999994</x:v>
      </x:c>
      <x:c r="G205" s="62" t="n">
        <x:f>IF(AND(B205&gt;='17_Gia_dinh_mo_hinh'!$H$7+D205,B205&lt;'17_Gia_dinh_mo_hinh'!$H$7+D205+'17_Gia_dinh_mo_hinh'!$I$7),'17_Gia_dinh_mo_hinh'!$L$7*(1-'17_Gia_dinh_mo_hinh'!$M$7)/'17_Gia_dinh_mo_hinh'!$I$7,0)</x:f>
        <x:v>337.33333333333326</x:v>
      </x:c>
      <x:c r="H205" s="62" t="n">
        <x:f>G205*(1-'17_Gia_dinh_mo_hinh'!$N$7)</x:f>
        <x:v>232.75999999999993</x:v>
      </x:c>
      <x:c r="I205" s="62" t="n">
        <x:f>G205*'17_Gia_dinh_mo_hinh'!$O$7</x:f>
        <x:v>13.49333333333333</x:v>
      </x:c>
      <x:c r="J205" s="62" t="n">
        <x:f>G205*'17_Gia_dinh_mo_hinh'!$P$7</x:f>
        <x:v>7.421333333333331</x:v>
      </x:c>
      <x:c r="K205" s="62" t="n">
        <x:f>IF(B205&lt;='17_Gia_dinh_mo_hinh'!$J$7,'17_Gia_dinh_mo_hinh'!$K$7*(1-MIN(0.95,'17_Gia_dinh_mo_hinh'!$M$7*0.75))/'17_Gia_dinh_mo_hinh'!$J$7,0)</x:f>
        <x:v>0</x:v>
      </x:c>
      <x:c r="L205" s="62" t="n">
        <x:f>S204*'17_Gia_dinh_mo_hinh'!$Q$7/12</x:f>
        <x:v>25.3500744216536</x:v>
      </x:c>
      <x:c r="M205" s="62" t="n">
        <x:f>G205-H205-I205-J205-L205</x:f>
        <x:v>58.30859224501306</x:v>
      </x:c>
      <x:c r="N205" s="62" t="n">
        <x:f>MAX(0,M205*'17_Gia_dinh_mo_hinh'!$S$7)</x:f>
        <x:v>11.661718449002613</x:v>
      </x:c>
      <x:c r="O205" s="62" t="n">
        <x:f>M205-N205</x:f>
        <x:v>46.646873796010446</x:v>
      </x:c>
      <x:c r="P205" s="62" t="n">
        <x:f>F205-K205-I205-J205-N205-L205</x:f>
        <x:v>195.07354046267704</x:v>
      </x:c>
      <x:c r="Q205" s="62" t="n">
        <x:f>MIN(MAX(0,-(T204+P205)),MAX(0,'17_Gia_dinh_mo_hinh'!$R$7-S204))</x:f>
        <x:v>0</x:v>
      </x:c>
      <x:c r="R205" s="62" t="n">
        <x:f>MIN(MAX(0,T204+P205+Q205),S204+Q205)</x:f>
        <x:v>195.07354046267704</x:v>
      </x:c>
      <x:c r="S205" s="62" t="n">
        <x:f>S204+Q205-R205</x:f>
        <x:v>3007.0411233251457</x:v>
      </x:c>
      <x:c r="T205" s="62" t="n">
        <x:f>MAX(0,T204+P205+Q205-R205)</x:f>
        <x:v>0</x:v>
      </x:c>
      <x:c r="U205" s="62" t="n">
        <x:f>MAX(0,-(T204+P205)-MAX(0,'17_Gia_dinh_mo_hinh'!$R$7-S204))</x:f>
        <x:v>0</x:v>
      </x:c>
      <x:c r="V205" s="61" t="str">
        <x:f>IF(B205&lt;'17_Gia_dinh_mo_hinh'!$F$7+D205,"Trước mở bán",IF(B205&lt;'17_Gia_dinh_mo_hinh'!$H$7+D205,"Bán hàng/thi công",IF(G205&gt;0,"Ghi nhận/bàn giao","Hậu bàn giao")))</x:f>
        <x:v>Ghi nhận/bàn giao</x:v>
      </x:c>
    </x:row>
    <x:row r="206">
      <x:c r="A206" s="54" t="str">
        <x:v>DA04</x:v>
      </x:c>
      <x:c r="B206" s="54" t="n">
        <x:v>23</x:v>
      </x:c>
      <x:c r="C206" s="60" t="n">
        <x:f>EDATE('17_Gia_dinh_mo_hinh'!$C$7,B206-1)</x:f>
        <x:v>46905</x:v>
      </x:c>
      <x:c r="D206" s="61" t="n">
        <x:f>ROUNDUP('17_Gia_dinh_mo_hinh'!$E$7/30,0)</x:f>
        <x:v>0</x:v>
      </x:c>
      <x:c r="E206" s="62" t="n">
        <x:f>IF(AND(B206&gt;='17_Gia_dinh_mo_hinh'!$F$7+D206,B206&lt;'17_Gia_dinh_mo_hinh'!$F$7+D206+'17_Gia_dinh_mo_hinh'!$G$7),'17_Gia_dinh_mo_hinh'!$L$7*(1-'17_Gia_dinh_mo_hinh'!$M$7)/'17_Gia_dinh_mo_hinh'!$G$7,0)</x:f>
        <x:v>252.99999999999997</x:v>
      </x:c>
      <x:c r="F206" s="62" t="n">
        <x:f>0.70*E206+0.30*E205</x:f>
        <x:v>252.99999999999994</x:v>
      </x:c>
      <x:c r="G206" s="62" t="n">
        <x:f>IF(AND(B206&gt;='17_Gia_dinh_mo_hinh'!$H$7+D206,B206&lt;'17_Gia_dinh_mo_hinh'!$H$7+D206+'17_Gia_dinh_mo_hinh'!$I$7),'17_Gia_dinh_mo_hinh'!$L$7*(1-'17_Gia_dinh_mo_hinh'!$M$7)/'17_Gia_dinh_mo_hinh'!$I$7,0)</x:f>
        <x:v>337.33333333333326</x:v>
      </x:c>
      <x:c r="H206" s="62" t="n">
        <x:f>G206*(1-'17_Gia_dinh_mo_hinh'!$N$7)</x:f>
        <x:v>232.75999999999993</x:v>
      </x:c>
      <x:c r="I206" s="62" t="n">
        <x:f>G206*'17_Gia_dinh_mo_hinh'!$O$7</x:f>
        <x:v>13.49333333333333</x:v>
      </x:c>
      <x:c r="J206" s="62" t="n">
        <x:f>G206*'17_Gia_dinh_mo_hinh'!$P$7</x:f>
        <x:v>7.421333333333331</x:v>
      </x:c>
      <x:c r="K206" s="62" t="n">
        <x:f>IF(B206&lt;='17_Gia_dinh_mo_hinh'!$J$7,'17_Gia_dinh_mo_hinh'!$K$7*(1-MIN(0.95,'17_Gia_dinh_mo_hinh'!$M$7*0.75))/'17_Gia_dinh_mo_hinh'!$J$7,0)</x:f>
        <x:v>0</x:v>
      </x:c>
      <x:c r="L206" s="62" t="n">
        <x:f>S205*'17_Gia_dinh_mo_hinh'!$Q$7/12</x:f>
        <x:v>23.80574222632407</x:v>
      </x:c>
      <x:c r="M206" s="62" t="n">
        <x:f>G206-H206-I206-J206-L206</x:f>
        <x:v>59.85292444034259</x:v>
      </x:c>
      <x:c r="N206" s="62" t="n">
        <x:f>MAX(0,M206*'17_Gia_dinh_mo_hinh'!$S$7)</x:f>
        <x:v>11.970584888068519</x:v>
      </x:c>
      <x:c r="O206" s="62" t="n">
        <x:f>M206-N206</x:f>
        <x:v>47.882339552274075</x:v>
      </x:c>
      <x:c r="P206" s="62" t="n">
        <x:f>F206-K206-I206-J206-N206-L206</x:f>
        <x:v>196.30900621894068</x:v>
      </x:c>
      <x:c r="Q206" s="62" t="n">
        <x:f>MIN(MAX(0,-(T205+P206)),MAX(0,'17_Gia_dinh_mo_hinh'!$R$7-S205))</x:f>
        <x:v>0</x:v>
      </x:c>
      <x:c r="R206" s="62" t="n">
        <x:f>MIN(MAX(0,T205+P206+Q206),S205+Q206)</x:f>
        <x:v>196.30900621894068</x:v>
      </x:c>
      <x:c r="S206" s="62" t="n">
        <x:f>S205+Q206-R206</x:f>
        <x:v>2810.732117106205</x:v>
      </x:c>
      <x:c r="T206" s="62" t="n">
        <x:f>MAX(0,T205+P206+Q206-R206)</x:f>
        <x:v>0</x:v>
      </x:c>
      <x:c r="U206" s="62" t="n">
        <x:f>MAX(0,-(T205+P206)-MAX(0,'17_Gia_dinh_mo_hinh'!$R$7-S205))</x:f>
        <x:v>0</x:v>
      </x:c>
      <x:c r="V206" s="61" t="str">
        <x:f>IF(B206&lt;'17_Gia_dinh_mo_hinh'!$F$7+D206,"Trước mở bán",IF(B206&lt;'17_Gia_dinh_mo_hinh'!$H$7+D206,"Bán hàng/thi công",IF(G206&gt;0,"Ghi nhận/bàn giao","Hậu bàn giao")))</x:f>
        <x:v>Ghi nhận/bàn giao</x:v>
      </x:c>
    </x:row>
    <x:row r="207">
      <x:c r="A207" s="54" t="str">
        <x:v>DA04</x:v>
      </x:c>
      <x:c r="B207" s="54" t="n">
        <x:v>24</x:v>
      </x:c>
      <x:c r="C207" s="60" t="n">
        <x:f>EDATE('17_Gia_dinh_mo_hinh'!$C$7,B207-1)</x:f>
        <x:v>46935</x:v>
      </x:c>
      <x:c r="D207" s="61" t="n">
        <x:f>ROUNDUP('17_Gia_dinh_mo_hinh'!$E$7/30,0)</x:f>
        <x:v>0</x:v>
      </x:c>
      <x:c r="E207" s="62" t="n">
        <x:f>IF(AND(B207&gt;='17_Gia_dinh_mo_hinh'!$F$7+D207,B207&lt;'17_Gia_dinh_mo_hinh'!$F$7+D207+'17_Gia_dinh_mo_hinh'!$G$7),'17_Gia_dinh_mo_hinh'!$L$7*(1-'17_Gia_dinh_mo_hinh'!$M$7)/'17_Gia_dinh_mo_hinh'!$G$7,0)</x:f>
        <x:v>252.99999999999997</x:v>
      </x:c>
      <x:c r="F207" s="62" t="n">
        <x:f>0.70*E207+0.30*E206</x:f>
        <x:v>252.99999999999994</x:v>
      </x:c>
      <x:c r="G207" s="62" t="n">
        <x:f>IF(AND(B207&gt;='17_Gia_dinh_mo_hinh'!$H$7+D207,B207&lt;'17_Gia_dinh_mo_hinh'!$H$7+D207+'17_Gia_dinh_mo_hinh'!$I$7),'17_Gia_dinh_mo_hinh'!$L$7*(1-'17_Gia_dinh_mo_hinh'!$M$7)/'17_Gia_dinh_mo_hinh'!$I$7,0)</x:f>
        <x:v>337.33333333333326</x:v>
      </x:c>
      <x:c r="H207" s="62" t="n">
        <x:f>G207*(1-'17_Gia_dinh_mo_hinh'!$N$7)</x:f>
        <x:v>232.75999999999993</x:v>
      </x:c>
      <x:c r="I207" s="62" t="n">
        <x:f>G207*'17_Gia_dinh_mo_hinh'!$O$7</x:f>
        <x:v>13.49333333333333</x:v>
      </x:c>
      <x:c r="J207" s="62" t="n">
        <x:f>G207*'17_Gia_dinh_mo_hinh'!$P$7</x:f>
        <x:v>7.421333333333331</x:v>
      </x:c>
      <x:c r="K207" s="62" t="n">
        <x:f>IF(B207&lt;='17_Gia_dinh_mo_hinh'!$J$7,'17_Gia_dinh_mo_hinh'!$K$7*(1-MIN(0.95,'17_Gia_dinh_mo_hinh'!$M$7*0.75))/'17_Gia_dinh_mo_hinh'!$J$7,0)</x:f>
        <x:v>0</x:v>
      </x:c>
      <x:c r="L207" s="62" t="n">
        <x:f>S206*'17_Gia_dinh_mo_hinh'!$Q$7/12</x:f>
        <x:v>22.251629260424124</x:v>
      </x:c>
      <x:c r="M207" s="62" t="n">
        <x:f>G207-H207-I207-J207-L207</x:f>
        <x:v>61.40703740624254</x:v>
      </x:c>
      <x:c r="N207" s="62" t="n">
        <x:f>MAX(0,M207*'17_Gia_dinh_mo_hinh'!$S$7)</x:f>
        <x:v>12.281407481248507</x:v>
      </x:c>
      <x:c r="O207" s="62" t="n">
        <x:f>M207-N207</x:f>
        <x:v>49.12562992499403</x:v>
      </x:c>
      <x:c r="P207" s="62" t="n">
        <x:f>F207-K207-I207-J207-N207-L207</x:f>
        <x:v>197.55229659166065</x:v>
      </x:c>
      <x:c r="Q207" s="62" t="n">
        <x:f>MIN(MAX(0,-(T206+P207)),MAX(0,'17_Gia_dinh_mo_hinh'!$R$7-S206))</x:f>
        <x:v>0</x:v>
      </x:c>
      <x:c r="R207" s="62" t="n">
        <x:f>MIN(MAX(0,T206+P207+Q207),S206+Q207)</x:f>
        <x:v>197.55229659166065</x:v>
      </x:c>
      <x:c r="S207" s="62" t="n">
        <x:f>S206+Q207-R207</x:f>
        <x:v>2613.179820514544</x:v>
      </x:c>
      <x:c r="T207" s="62" t="n">
        <x:f>MAX(0,T206+P207+Q207-R207)</x:f>
        <x:v>0</x:v>
      </x:c>
      <x:c r="U207" s="62" t="n">
        <x:f>MAX(0,-(T206+P207)-MAX(0,'17_Gia_dinh_mo_hinh'!$R$7-S206))</x:f>
        <x:v>0</x:v>
      </x:c>
      <x:c r="V207" s="61" t="str">
        <x:f>IF(B207&lt;'17_Gia_dinh_mo_hinh'!$F$7+D207,"Trước mở bán",IF(B207&lt;'17_Gia_dinh_mo_hinh'!$H$7+D207,"Bán hàng/thi công",IF(G207&gt;0,"Ghi nhận/bàn giao","Hậu bàn giao")))</x:f>
        <x:v>Ghi nhận/bàn giao</x:v>
      </x:c>
    </x:row>
    <x:row r="208">
      <x:c r="A208" s="54" t="str">
        <x:v>DA04</x:v>
      </x:c>
      <x:c r="B208" s="54" t="n">
        <x:v>25</x:v>
      </x:c>
      <x:c r="C208" s="60" t="n">
        <x:f>EDATE('17_Gia_dinh_mo_hinh'!$C$7,B208-1)</x:f>
        <x:v>46966</x:v>
      </x:c>
      <x:c r="D208" s="61" t="n">
        <x:f>ROUNDUP('17_Gia_dinh_mo_hinh'!$E$7/30,0)</x:f>
        <x:v>0</x:v>
      </x:c>
      <x:c r="E208" s="62" t="n">
        <x:f>IF(AND(B208&gt;='17_Gia_dinh_mo_hinh'!$F$7+D208,B208&lt;'17_Gia_dinh_mo_hinh'!$F$7+D208+'17_Gia_dinh_mo_hinh'!$G$7),'17_Gia_dinh_mo_hinh'!$L$7*(1-'17_Gia_dinh_mo_hinh'!$M$7)/'17_Gia_dinh_mo_hinh'!$G$7,0)</x:f>
        <x:v>0</x:v>
      </x:c>
      <x:c r="F208" s="62" t="n">
        <x:f>0.70*E208+0.30*E207</x:f>
        <x:v>75.89999999999999</x:v>
      </x:c>
      <x:c r="G208" s="62" t="n">
        <x:f>IF(AND(B208&gt;='17_Gia_dinh_mo_hinh'!$H$7+D208,B208&lt;'17_Gia_dinh_mo_hinh'!$H$7+D208+'17_Gia_dinh_mo_hinh'!$I$7),'17_Gia_dinh_mo_hinh'!$L$7*(1-'17_Gia_dinh_mo_hinh'!$M$7)/'17_Gia_dinh_mo_hinh'!$I$7,0)</x:f>
        <x:v>337.33333333333326</x:v>
      </x:c>
      <x:c r="H208" s="62" t="n">
        <x:f>G208*(1-'17_Gia_dinh_mo_hinh'!$N$7)</x:f>
        <x:v>232.75999999999993</x:v>
      </x:c>
      <x:c r="I208" s="62" t="n">
        <x:f>G208*'17_Gia_dinh_mo_hinh'!$O$7</x:f>
        <x:v>13.49333333333333</x:v>
      </x:c>
      <x:c r="J208" s="62" t="n">
        <x:f>G208*'17_Gia_dinh_mo_hinh'!$P$7</x:f>
        <x:v>7.421333333333331</x:v>
      </x:c>
      <x:c r="K208" s="62" t="n">
        <x:f>IF(B208&lt;='17_Gia_dinh_mo_hinh'!$J$7,'17_Gia_dinh_mo_hinh'!$K$7*(1-MIN(0.95,'17_Gia_dinh_mo_hinh'!$M$7*0.75))/'17_Gia_dinh_mo_hinh'!$J$7,0)</x:f>
        <x:v>0</x:v>
      </x:c>
      <x:c r="L208" s="62" t="n">
        <x:f>S207*'17_Gia_dinh_mo_hinh'!$Q$7/12</x:f>
        <x:v>20.687673579073476</x:v>
      </x:c>
      <x:c r="M208" s="62" t="n">
        <x:f>G208-H208-I208-J208-L208</x:f>
        <x:v>62.970993087593186</x:v>
      </x:c>
      <x:c r="N208" s="62" t="n">
        <x:f>MAX(0,M208*'17_Gia_dinh_mo_hinh'!$S$7)</x:f>
        <x:v>12.594198617518638</x:v>
      </x:c>
      <x:c r="O208" s="62" t="n">
        <x:f>M208-N208</x:f>
        <x:v>50.37679447007455</x:v>
      </x:c>
      <x:c r="P208" s="62" t="n">
        <x:f>F208-K208-I208-J208-N208-L208</x:f>
        <x:v>21.70346113674122</x:v>
      </x:c>
      <x:c r="Q208" s="62" t="n">
        <x:f>MIN(MAX(0,-(T207+P208)),MAX(0,'17_Gia_dinh_mo_hinh'!$R$7-S207))</x:f>
        <x:v>0</x:v>
      </x:c>
      <x:c r="R208" s="62" t="n">
        <x:f>MIN(MAX(0,T207+P208+Q208),S207+Q208)</x:f>
        <x:v>21.70346113674122</x:v>
      </x:c>
      <x:c r="S208" s="62" t="n">
        <x:f>S207+Q208-R208</x:f>
        <x:v>2591.476359377803</x:v>
      </x:c>
      <x:c r="T208" s="62" t="n">
        <x:f>MAX(0,T207+P208+Q208-R208)</x:f>
        <x:v>0</x:v>
      </x:c>
      <x:c r="U208" s="62" t="n">
        <x:f>MAX(0,-(T207+P208)-MAX(0,'17_Gia_dinh_mo_hinh'!$R$7-S207))</x:f>
        <x:v>0</x:v>
      </x:c>
      <x:c r="V208" s="61" t="str">
        <x:f>IF(B208&lt;'17_Gia_dinh_mo_hinh'!$F$7+D208,"Trước mở bán",IF(B208&lt;'17_Gia_dinh_mo_hinh'!$H$7+D208,"Bán hàng/thi công",IF(G208&gt;0,"Ghi nhận/bàn giao","Hậu bàn giao")))</x:f>
        <x:v>Ghi nhận/bàn giao</x:v>
      </x:c>
    </x:row>
    <x:row r="209">
      <x:c r="A209" s="54" t="str">
        <x:v>DA04</x:v>
      </x:c>
      <x:c r="B209" s="54" t="n">
        <x:v>26</x:v>
      </x:c>
      <x:c r="C209" s="60" t="n">
        <x:f>EDATE('17_Gia_dinh_mo_hinh'!$C$7,B209-1)</x:f>
        <x:v>46997</x:v>
      </x:c>
      <x:c r="D209" s="61" t="n">
        <x:f>ROUNDUP('17_Gia_dinh_mo_hinh'!$E$7/30,0)</x:f>
        <x:v>0</x:v>
      </x:c>
      <x:c r="E209" s="62" t="n">
        <x:f>IF(AND(B209&gt;='17_Gia_dinh_mo_hinh'!$F$7+D209,B209&lt;'17_Gia_dinh_mo_hinh'!$F$7+D209+'17_Gia_dinh_mo_hinh'!$G$7),'17_Gia_dinh_mo_hinh'!$L$7*(1-'17_Gia_dinh_mo_hinh'!$M$7)/'17_Gia_dinh_mo_hinh'!$G$7,0)</x:f>
        <x:v>0</x:v>
      </x:c>
      <x:c r="F209" s="62" t="n">
        <x:f>0.70*E209+0.30*E208</x:f>
        <x:v>0</x:v>
      </x:c>
      <x:c r="G209" s="62" t="n">
        <x:f>IF(AND(B209&gt;='17_Gia_dinh_mo_hinh'!$H$7+D209,B209&lt;'17_Gia_dinh_mo_hinh'!$H$7+D209+'17_Gia_dinh_mo_hinh'!$I$7),'17_Gia_dinh_mo_hinh'!$L$7*(1-'17_Gia_dinh_mo_hinh'!$M$7)/'17_Gia_dinh_mo_hinh'!$I$7,0)</x:f>
        <x:v>337.33333333333326</x:v>
      </x:c>
      <x:c r="H209" s="62" t="n">
        <x:f>G209*(1-'17_Gia_dinh_mo_hinh'!$N$7)</x:f>
        <x:v>232.75999999999993</x:v>
      </x:c>
      <x:c r="I209" s="62" t="n">
        <x:f>G209*'17_Gia_dinh_mo_hinh'!$O$7</x:f>
        <x:v>13.49333333333333</x:v>
      </x:c>
      <x:c r="J209" s="62" t="n">
        <x:f>G209*'17_Gia_dinh_mo_hinh'!$P$7</x:f>
        <x:v>7.421333333333331</x:v>
      </x:c>
      <x:c r="K209" s="62" t="n">
        <x:f>IF(B209&lt;='17_Gia_dinh_mo_hinh'!$J$7,'17_Gia_dinh_mo_hinh'!$K$7*(1-MIN(0.95,'17_Gia_dinh_mo_hinh'!$M$7*0.75))/'17_Gia_dinh_mo_hinh'!$J$7,0)</x:f>
        <x:v>0</x:v>
      </x:c>
      <x:c r="L209" s="62" t="n">
        <x:f>S208*'17_Gia_dinh_mo_hinh'!$Q$7/12</x:f>
        <x:v>20.51585451174094</x:v>
      </x:c>
      <x:c r="M209" s="62" t="n">
        <x:f>G209-H209-I209-J209-L209</x:f>
        <x:v>63.14281215492572</x:v>
      </x:c>
      <x:c r="N209" s="62" t="n">
        <x:f>MAX(0,M209*'17_Gia_dinh_mo_hinh'!$S$7)</x:f>
        <x:v>12.628562430985145</x:v>
      </x:c>
      <x:c r="O209" s="62" t="n">
        <x:f>M209-N209</x:f>
        <x:v>50.51424972394058</x:v>
      </x:c>
      <x:c r="P209" s="62" t="n">
        <x:f>F209-K209-I209-J209-N209-L209</x:f>
        <x:v>-54.059083609392744</x:v>
      </x:c>
      <x:c r="Q209" s="62" t="n">
        <x:f>MIN(MAX(0,-(T208+P209)),MAX(0,'17_Gia_dinh_mo_hinh'!$R$7-S208))</x:f>
        <x:v>54.059083609392744</x:v>
      </x:c>
      <x:c r="R209" s="62" t="n">
        <x:f>MIN(MAX(0,T208+P209+Q209),S208+Q209)</x:f>
        <x:v>0</x:v>
      </x:c>
      <x:c r="S209" s="62" t="n">
        <x:f>S208+Q209-R209</x:f>
        <x:v>2645.535442987196</x:v>
      </x:c>
      <x:c r="T209" s="62" t="n">
        <x:f>MAX(0,T208+P209+Q209-R209)</x:f>
        <x:v>0</x:v>
      </x:c>
      <x:c r="U209" s="62" t="n">
        <x:f>MAX(0,-(T208+P209)-MAX(0,'17_Gia_dinh_mo_hinh'!$R$7-S208))</x:f>
        <x:v>0</x:v>
      </x:c>
      <x:c r="V209" s="61" t="str">
        <x:f>IF(B209&lt;'17_Gia_dinh_mo_hinh'!$F$7+D209,"Trước mở bán",IF(B209&lt;'17_Gia_dinh_mo_hinh'!$H$7+D209,"Bán hàng/thi công",IF(G209&gt;0,"Ghi nhận/bàn giao","Hậu bàn giao")))</x:f>
        <x:v>Ghi nhận/bàn giao</x:v>
      </x:c>
    </x:row>
    <x:row r="210">
      <x:c r="A210" s="54" t="str">
        <x:v>DA04</x:v>
      </x:c>
      <x:c r="B210" s="54" t="n">
        <x:v>27</x:v>
      </x:c>
      <x:c r="C210" s="60" t="n">
        <x:f>EDATE('17_Gia_dinh_mo_hinh'!$C$7,B210-1)</x:f>
        <x:v>47027</x:v>
      </x:c>
      <x:c r="D210" s="61" t="n">
        <x:f>ROUNDUP('17_Gia_dinh_mo_hinh'!$E$7/30,0)</x:f>
        <x:v>0</x:v>
      </x:c>
      <x:c r="E210" s="62" t="n">
        <x:f>IF(AND(B210&gt;='17_Gia_dinh_mo_hinh'!$F$7+D210,B210&lt;'17_Gia_dinh_mo_hinh'!$F$7+D210+'17_Gia_dinh_mo_hinh'!$G$7),'17_Gia_dinh_mo_hinh'!$L$7*(1-'17_Gia_dinh_mo_hinh'!$M$7)/'17_Gia_dinh_mo_hinh'!$G$7,0)</x:f>
        <x:v>0</x:v>
      </x:c>
      <x:c r="F210" s="62" t="n">
        <x:f>0.70*E210+0.30*E209</x:f>
        <x:v>0</x:v>
      </x:c>
      <x:c r="G210" s="62" t="n">
        <x:f>IF(AND(B210&gt;='17_Gia_dinh_mo_hinh'!$H$7+D210,B210&lt;'17_Gia_dinh_mo_hinh'!$H$7+D210+'17_Gia_dinh_mo_hinh'!$I$7),'17_Gia_dinh_mo_hinh'!$L$7*(1-'17_Gia_dinh_mo_hinh'!$M$7)/'17_Gia_dinh_mo_hinh'!$I$7,0)</x:f>
        <x:v>337.33333333333326</x:v>
      </x:c>
      <x:c r="H210" s="62" t="n">
        <x:f>G210*(1-'17_Gia_dinh_mo_hinh'!$N$7)</x:f>
        <x:v>232.75999999999993</x:v>
      </x:c>
      <x:c r="I210" s="62" t="n">
        <x:f>G210*'17_Gia_dinh_mo_hinh'!$O$7</x:f>
        <x:v>13.49333333333333</x:v>
      </x:c>
      <x:c r="J210" s="62" t="n">
        <x:f>G210*'17_Gia_dinh_mo_hinh'!$P$7</x:f>
        <x:v>7.421333333333331</x:v>
      </x:c>
      <x:c r="K210" s="62" t="n">
        <x:f>IF(B210&lt;='17_Gia_dinh_mo_hinh'!$J$7,'17_Gia_dinh_mo_hinh'!$K$7*(1-MIN(0.95,'17_Gia_dinh_mo_hinh'!$M$7*0.75))/'17_Gia_dinh_mo_hinh'!$J$7,0)</x:f>
        <x:v>0</x:v>
      </x:c>
      <x:c r="L210" s="62" t="n">
        <x:f>S209*'17_Gia_dinh_mo_hinh'!$Q$7/12</x:f>
        <x:v>20.943822256981967</x:v>
      </x:c>
      <x:c r="M210" s="62" t="n">
        <x:f>G210-H210-I210-J210-L210</x:f>
        <x:v>62.714844409684694</x:v>
      </x:c>
      <x:c r="N210" s="62" t="n">
        <x:f>MAX(0,M210*'17_Gia_dinh_mo_hinh'!$S$7)</x:f>
        <x:v>12.54296888193694</x:v>
      </x:c>
      <x:c r="O210" s="62" t="n">
        <x:f>M210-N210</x:f>
        <x:v>50.17187552774776</x:v>
      </x:c>
      <x:c r="P210" s="62" t="n">
        <x:f>F210-K210-I210-J210-N210-L210</x:f>
        <x:v>-54.40145780558557</x:v>
      </x:c>
      <x:c r="Q210" s="62" t="n">
        <x:f>MIN(MAX(0,-(T209+P210)),MAX(0,'17_Gia_dinh_mo_hinh'!$R$7-S209))</x:f>
        <x:v>54.40145780558557</x:v>
      </x:c>
      <x:c r="R210" s="62" t="n">
        <x:f>MIN(MAX(0,T209+P210+Q210),S209+Q210)</x:f>
        <x:v>0</x:v>
      </x:c>
      <x:c r="S210" s="62" t="n">
        <x:f>S209+Q210-R210</x:f>
        <x:v>2699.9369007927817</x:v>
      </x:c>
      <x:c r="T210" s="62" t="n">
        <x:f>MAX(0,T209+P210+Q210-R210)</x:f>
        <x:v>0</x:v>
      </x:c>
      <x:c r="U210" s="62" t="n">
        <x:f>MAX(0,-(T209+P210)-MAX(0,'17_Gia_dinh_mo_hinh'!$R$7-S209))</x:f>
        <x:v>0</x:v>
      </x:c>
      <x:c r="V210" s="61" t="str">
        <x:f>IF(B210&lt;'17_Gia_dinh_mo_hinh'!$F$7+D210,"Trước mở bán",IF(B210&lt;'17_Gia_dinh_mo_hinh'!$H$7+D210,"Bán hàng/thi công",IF(G210&gt;0,"Ghi nhận/bàn giao","Hậu bàn giao")))</x:f>
        <x:v>Ghi nhận/bàn giao</x:v>
      </x:c>
    </x:row>
    <x:row r="211">
      <x:c r="A211" s="54" t="str">
        <x:v>DA04</x:v>
      </x:c>
      <x:c r="B211" s="54" t="n">
        <x:v>28</x:v>
      </x:c>
      <x:c r="C211" s="60" t="n">
        <x:f>EDATE('17_Gia_dinh_mo_hinh'!$C$7,B211-1)</x:f>
        <x:v>47058</x:v>
      </x:c>
      <x:c r="D211" s="61" t="n">
        <x:f>ROUNDUP('17_Gia_dinh_mo_hinh'!$E$7/30,0)</x:f>
        <x:v>0</x:v>
      </x:c>
      <x:c r="E211" s="62" t="n">
        <x:f>IF(AND(B211&gt;='17_Gia_dinh_mo_hinh'!$F$7+D211,B211&lt;'17_Gia_dinh_mo_hinh'!$F$7+D211+'17_Gia_dinh_mo_hinh'!$G$7),'17_Gia_dinh_mo_hinh'!$L$7*(1-'17_Gia_dinh_mo_hinh'!$M$7)/'17_Gia_dinh_mo_hinh'!$G$7,0)</x:f>
        <x:v>0</x:v>
      </x:c>
      <x:c r="F211" s="62" t="n">
        <x:f>0.70*E211+0.30*E210</x:f>
        <x:v>0</x:v>
      </x:c>
      <x:c r="G211" s="62" t="n">
        <x:f>IF(AND(B211&gt;='17_Gia_dinh_mo_hinh'!$H$7+D211,B211&lt;'17_Gia_dinh_mo_hinh'!$H$7+D211+'17_Gia_dinh_mo_hinh'!$I$7),'17_Gia_dinh_mo_hinh'!$L$7*(1-'17_Gia_dinh_mo_hinh'!$M$7)/'17_Gia_dinh_mo_hinh'!$I$7,0)</x:f>
        <x:v>0</x:v>
      </x:c>
      <x:c r="H211" s="62" t="n">
        <x:f>G211*(1-'17_Gia_dinh_mo_hinh'!$N$7)</x:f>
        <x:v>0</x:v>
      </x:c>
      <x:c r="I211" s="62" t="n">
        <x:f>G211*'17_Gia_dinh_mo_hinh'!$O$7</x:f>
        <x:v>0</x:v>
      </x:c>
      <x:c r="J211" s="62" t="n">
        <x:f>G211*'17_Gia_dinh_mo_hinh'!$P$7</x:f>
        <x:v>0</x:v>
      </x:c>
      <x:c r="K211" s="62" t="n">
        <x:f>IF(B211&lt;='17_Gia_dinh_mo_hinh'!$J$7,'17_Gia_dinh_mo_hinh'!$K$7*(1-MIN(0.95,'17_Gia_dinh_mo_hinh'!$M$7*0.75))/'17_Gia_dinh_mo_hinh'!$J$7,0)</x:f>
        <x:v>0</x:v>
      </x:c>
      <x:c r="L211" s="62" t="n">
        <x:f>S210*'17_Gia_dinh_mo_hinh'!$Q$7/12</x:f>
        <x:v>21.374500464609522</x:v>
      </x:c>
      <x:c r="M211" s="62" t="n">
        <x:f>G211-H211-I211-J211-L211</x:f>
        <x:v>-21.374500464609522</x:v>
      </x:c>
      <x:c r="N211" s="62" t="n">
        <x:f>MAX(0,M211*'17_Gia_dinh_mo_hinh'!$S$7)</x:f>
        <x:v>0</x:v>
      </x:c>
      <x:c r="O211" s="62" t="n">
        <x:f>M211-N211</x:f>
        <x:v>-21.374500464609522</x:v>
      </x:c>
      <x:c r="P211" s="62" t="n">
        <x:f>F211-K211-I211-J211-N211-L211</x:f>
        <x:v>-21.374500464609522</x:v>
      </x:c>
      <x:c r="Q211" s="62" t="n">
        <x:f>MIN(MAX(0,-(T210+P211)),MAX(0,'17_Gia_dinh_mo_hinh'!$R$7-S210))</x:f>
        <x:v>21.374500464609522</x:v>
      </x:c>
      <x:c r="R211" s="62" t="n">
        <x:f>MIN(MAX(0,T210+P211+Q211),S210+Q211)</x:f>
        <x:v>0</x:v>
      </x:c>
      <x:c r="S211" s="62" t="n">
        <x:f>S210+Q211-R211</x:f>
        <x:v>2721.311401257391</x:v>
      </x:c>
      <x:c r="T211" s="62" t="n">
        <x:f>MAX(0,T210+P211+Q211-R211)</x:f>
        <x:v>0</x:v>
      </x:c>
      <x:c r="U211" s="62" t="n">
        <x:f>MAX(0,-(T210+P211)-MAX(0,'17_Gia_dinh_mo_hinh'!$R$7-S210))</x:f>
        <x:v>0</x:v>
      </x:c>
      <x:c r="V211" s="61" t="str">
        <x:f>IF(B211&lt;'17_Gia_dinh_mo_hinh'!$F$7+D211,"Trước mở bán",IF(B211&lt;'17_Gia_dinh_mo_hinh'!$H$7+D211,"Bán hàng/thi công",IF(G211&gt;0,"Ghi nhận/bàn giao","Hậu bàn giao")))</x:f>
        <x:v>Hậu bàn giao</x:v>
      </x:c>
    </x:row>
    <x:row r="212">
      <x:c r="A212" s="54" t="str">
        <x:v>DA04</x:v>
      </x:c>
      <x:c r="B212" s="54" t="n">
        <x:v>29</x:v>
      </x:c>
      <x:c r="C212" s="60" t="n">
        <x:f>EDATE('17_Gia_dinh_mo_hinh'!$C$7,B212-1)</x:f>
        <x:v>47088</x:v>
      </x:c>
      <x:c r="D212" s="61" t="n">
        <x:f>ROUNDUP('17_Gia_dinh_mo_hinh'!$E$7/30,0)</x:f>
        <x:v>0</x:v>
      </x:c>
      <x:c r="E212" s="62" t="n">
        <x:f>IF(AND(B212&gt;='17_Gia_dinh_mo_hinh'!$F$7+D212,B212&lt;'17_Gia_dinh_mo_hinh'!$F$7+D212+'17_Gia_dinh_mo_hinh'!$G$7),'17_Gia_dinh_mo_hinh'!$L$7*(1-'17_Gia_dinh_mo_hinh'!$M$7)/'17_Gia_dinh_mo_hinh'!$G$7,0)</x:f>
        <x:v>0</x:v>
      </x:c>
      <x:c r="F212" s="62" t="n">
        <x:f>0.70*E212+0.30*E211</x:f>
        <x:v>0</x:v>
      </x:c>
      <x:c r="G212" s="62" t="n">
        <x:f>IF(AND(B212&gt;='17_Gia_dinh_mo_hinh'!$H$7+D212,B212&lt;'17_Gia_dinh_mo_hinh'!$H$7+D212+'17_Gia_dinh_mo_hinh'!$I$7),'17_Gia_dinh_mo_hinh'!$L$7*(1-'17_Gia_dinh_mo_hinh'!$M$7)/'17_Gia_dinh_mo_hinh'!$I$7,0)</x:f>
        <x:v>0</x:v>
      </x:c>
      <x:c r="H212" s="62" t="n">
        <x:f>G212*(1-'17_Gia_dinh_mo_hinh'!$N$7)</x:f>
        <x:v>0</x:v>
      </x:c>
      <x:c r="I212" s="62" t="n">
        <x:f>G212*'17_Gia_dinh_mo_hinh'!$O$7</x:f>
        <x:v>0</x:v>
      </x:c>
      <x:c r="J212" s="62" t="n">
        <x:f>G212*'17_Gia_dinh_mo_hinh'!$P$7</x:f>
        <x:v>0</x:v>
      </x:c>
      <x:c r="K212" s="62" t="n">
        <x:f>IF(B212&lt;='17_Gia_dinh_mo_hinh'!$J$7,'17_Gia_dinh_mo_hinh'!$K$7*(1-MIN(0.95,'17_Gia_dinh_mo_hinh'!$M$7*0.75))/'17_Gia_dinh_mo_hinh'!$J$7,0)</x:f>
        <x:v>0</x:v>
      </x:c>
      <x:c r="L212" s="62" t="n">
        <x:f>S211*'17_Gia_dinh_mo_hinh'!$Q$7/12</x:f>
        <x:v>21.543715259954343</x:v>
      </x:c>
      <x:c r="M212" s="62" t="n">
        <x:f>G212-H212-I212-J212-L212</x:f>
        <x:v>-21.543715259954343</x:v>
      </x:c>
      <x:c r="N212" s="62" t="n">
        <x:f>MAX(0,M212*'17_Gia_dinh_mo_hinh'!$S$7)</x:f>
        <x:v>0</x:v>
      </x:c>
      <x:c r="O212" s="62" t="n">
        <x:f>M212-N212</x:f>
        <x:v>-21.543715259954343</x:v>
      </x:c>
      <x:c r="P212" s="62" t="n">
        <x:f>F212-K212-I212-J212-N212-L212</x:f>
        <x:v>-21.543715259954343</x:v>
      </x:c>
      <x:c r="Q212" s="62" t="n">
        <x:f>MIN(MAX(0,-(T211+P212)),MAX(0,'17_Gia_dinh_mo_hinh'!$R$7-S211))</x:f>
        <x:v>21.543715259954343</x:v>
      </x:c>
      <x:c r="R212" s="62" t="n">
        <x:f>MIN(MAX(0,T211+P212+Q212),S211+Q212)</x:f>
        <x:v>0</x:v>
      </x:c>
      <x:c r="S212" s="62" t="n">
        <x:f>S211+Q212-R212</x:f>
        <x:v>2742.8551165173453</x:v>
      </x:c>
      <x:c r="T212" s="62" t="n">
        <x:f>MAX(0,T211+P212+Q212-R212)</x:f>
        <x:v>0</x:v>
      </x:c>
      <x:c r="U212" s="62" t="n">
        <x:f>MAX(0,-(T211+P212)-MAX(0,'17_Gia_dinh_mo_hinh'!$R$7-S211))</x:f>
        <x:v>0</x:v>
      </x:c>
      <x:c r="V212" s="61" t="str">
        <x:f>IF(B212&lt;'17_Gia_dinh_mo_hinh'!$F$7+D212,"Trước mở bán",IF(B212&lt;'17_Gia_dinh_mo_hinh'!$H$7+D212,"Bán hàng/thi công",IF(G212&gt;0,"Ghi nhận/bàn giao","Hậu bàn giao")))</x:f>
        <x:v>Hậu bàn giao</x:v>
      </x:c>
    </x:row>
    <x:row r="213">
      <x:c r="A213" s="54" t="str">
        <x:v>DA04</x:v>
      </x:c>
      <x:c r="B213" s="54" t="n">
        <x:v>30</x:v>
      </x:c>
      <x:c r="C213" s="60" t="n">
        <x:f>EDATE('17_Gia_dinh_mo_hinh'!$C$7,B213-1)</x:f>
        <x:v>47119</x:v>
      </x:c>
      <x:c r="D213" s="61" t="n">
        <x:f>ROUNDUP('17_Gia_dinh_mo_hinh'!$E$7/30,0)</x:f>
        <x:v>0</x:v>
      </x:c>
      <x:c r="E213" s="62" t="n">
        <x:f>IF(AND(B213&gt;='17_Gia_dinh_mo_hinh'!$F$7+D213,B213&lt;'17_Gia_dinh_mo_hinh'!$F$7+D213+'17_Gia_dinh_mo_hinh'!$G$7),'17_Gia_dinh_mo_hinh'!$L$7*(1-'17_Gia_dinh_mo_hinh'!$M$7)/'17_Gia_dinh_mo_hinh'!$G$7,0)</x:f>
        <x:v>0</x:v>
      </x:c>
      <x:c r="F213" s="62" t="n">
        <x:f>0.70*E213+0.30*E212</x:f>
        <x:v>0</x:v>
      </x:c>
      <x:c r="G213" s="62" t="n">
        <x:f>IF(AND(B213&gt;='17_Gia_dinh_mo_hinh'!$H$7+D213,B213&lt;'17_Gia_dinh_mo_hinh'!$H$7+D213+'17_Gia_dinh_mo_hinh'!$I$7),'17_Gia_dinh_mo_hinh'!$L$7*(1-'17_Gia_dinh_mo_hinh'!$M$7)/'17_Gia_dinh_mo_hinh'!$I$7,0)</x:f>
        <x:v>0</x:v>
      </x:c>
      <x:c r="H213" s="62" t="n">
        <x:f>G213*(1-'17_Gia_dinh_mo_hinh'!$N$7)</x:f>
        <x:v>0</x:v>
      </x:c>
      <x:c r="I213" s="62" t="n">
        <x:f>G213*'17_Gia_dinh_mo_hinh'!$O$7</x:f>
        <x:v>0</x:v>
      </x:c>
      <x:c r="J213" s="62" t="n">
        <x:f>G213*'17_Gia_dinh_mo_hinh'!$P$7</x:f>
        <x:v>0</x:v>
      </x:c>
      <x:c r="K213" s="62" t="n">
        <x:f>IF(B213&lt;='17_Gia_dinh_mo_hinh'!$J$7,'17_Gia_dinh_mo_hinh'!$K$7*(1-MIN(0.95,'17_Gia_dinh_mo_hinh'!$M$7*0.75))/'17_Gia_dinh_mo_hinh'!$J$7,0)</x:f>
        <x:v>0</x:v>
      </x:c>
      <x:c r="L213" s="62" t="n">
        <x:f>S212*'17_Gia_dinh_mo_hinh'!$Q$7/12</x:f>
        <x:v>21.714269672428983</x:v>
      </x:c>
      <x:c r="M213" s="62" t="n">
        <x:f>G213-H213-I213-J213-L213</x:f>
        <x:v>-21.714269672428983</x:v>
      </x:c>
      <x:c r="N213" s="62" t="n">
        <x:f>MAX(0,M213*'17_Gia_dinh_mo_hinh'!$S$7)</x:f>
        <x:v>0</x:v>
      </x:c>
      <x:c r="O213" s="62" t="n">
        <x:f>M213-N213</x:f>
        <x:v>-21.714269672428983</x:v>
      </x:c>
      <x:c r="P213" s="62" t="n">
        <x:f>F213-K213-I213-J213-N213-L213</x:f>
        <x:v>-21.714269672428983</x:v>
      </x:c>
      <x:c r="Q213" s="62" t="n">
        <x:f>MIN(MAX(0,-(T212+P213)),MAX(0,'17_Gia_dinh_mo_hinh'!$R$7-S212))</x:f>
        <x:v>21.714269672428983</x:v>
      </x:c>
      <x:c r="R213" s="62" t="n">
        <x:f>MIN(MAX(0,T212+P213+Q213),S212+Q213)</x:f>
        <x:v>0</x:v>
      </x:c>
      <x:c r="S213" s="62" t="n">
        <x:f>S212+Q213-R213</x:f>
        <x:v>2764.5693861897744</x:v>
      </x:c>
      <x:c r="T213" s="62" t="n">
        <x:f>MAX(0,T212+P213+Q213-R213)</x:f>
        <x:v>0</x:v>
      </x:c>
      <x:c r="U213" s="62" t="n">
        <x:f>MAX(0,-(T212+P213)-MAX(0,'17_Gia_dinh_mo_hinh'!$R$7-S212))</x:f>
        <x:v>0</x:v>
      </x:c>
      <x:c r="V213" s="61" t="str">
        <x:f>IF(B213&lt;'17_Gia_dinh_mo_hinh'!$F$7+D213,"Trước mở bán",IF(B213&lt;'17_Gia_dinh_mo_hinh'!$H$7+D213,"Bán hàng/thi công",IF(G213&gt;0,"Ghi nhận/bàn giao","Hậu bàn giao")))</x:f>
        <x:v>Hậu bàn giao</x:v>
      </x:c>
    </x:row>
    <x:row r="214">
      <x:c r="A214" s="54" t="str">
        <x:v>DA04</x:v>
      </x:c>
      <x:c r="B214" s="54" t="n">
        <x:v>31</x:v>
      </x:c>
      <x:c r="C214" s="60" t="n">
        <x:f>EDATE('17_Gia_dinh_mo_hinh'!$C$7,B214-1)</x:f>
        <x:v>47150</x:v>
      </x:c>
      <x:c r="D214" s="61" t="n">
        <x:f>ROUNDUP('17_Gia_dinh_mo_hinh'!$E$7/30,0)</x:f>
        <x:v>0</x:v>
      </x:c>
      <x:c r="E214" s="62" t="n">
        <x:f>IF(AND(B214&gt;='17_Gia_dinh_mo_hinh'!$F$7+D214,B214&lt;'17_Gia_dinh_mo_hinh'!$F$7+D214+'17_Gia_dinh_mo_hinh'!$G$7),'17_Gia_dinh_mo_hinh'!$L$7*(1-'17_Gia_dinh_mo_hinh'!$M$7)/'17_Gia_dinh_mo_hinh'!$G$7,0)</x:f>
        <x:v>0</x:v>
      </x:c>
      <x:c r="F214" s="62" t="n">
        <x:f>0.70*E214+0.30*E213</x:f>
        <x:v>0</x:v>
      </x:c>
      <x:c r="G214" s="62" t="n">
        <x:f>IF(AND(B214&gt;='17_Gia_dinh_mo_hinh'!$H$7+D214,B214&lt;'17_Gia_dinh_mo_hinh'!$H$7+D214+'17_Gia_dinh_mo_hinh'!$I$7),'17_Gia_dinh_mo_hinh'!$L$7*(1-'17_Gia_dinh_mo_hinh'!$M$7)/'17_Gia_dinh_mo_hinh'!$I$7,0)</x:f>
        <x:v>0</x:v>
      </x:c>
      <x:c r="H214" s="62" t="n">
        <x:f>G214*(1-'17_Gia_dinh_mo_hinh'!$N$7)</x:f>
        <x:v>0</x:v>
      </x:c>
      <x:c r="I214" s="62" t="n">
        <x:f>G214*'17_Gia_dinh_mo_hinh'!$O$7</x:f>
        <x:v>0</x:v>
      </x:c>
      <x:c r="J214" s="62" t="n">
        <x:f>G214*'17_Gia_dinh_mo_hinh'!$P$7</x:f>
        <x:v>0</x:v>
      </x:c>
      <x:c r="K214" s="62" t="n">
        <x:f>IF(B214&lt;='17_Gia_dinh_mo_hinh'!$J$7,'17_Gia_dinh_mo_hinh'!$K$7*(1-MIN(0.95,'17_Gia_dinh_mo_hinh'!$M$7*0.75))/'17_Gia_dinh_mo_hinh'!$J$7,0)</x:f>
        <x:v>0</x:v>
      </x:c>
      <x:c r="L214" s="62" t="n">
        <x:f>S213*'17_Gia_dinh_mo_hinh'!$Q$7/12</x:f>
        <x:v>21.88617430733571</x:v>
      </x:c>
      <x:c r="M214" s="62" t="n">
        <x:f>G214-H214-I214-J214-L214</x:f>
        <x:v>-21.88617430733571</x:v>
      </x:c>
      <x:c r="N214" s="62" t="n">
        <x:f>MAX(0,M214*'17_Gia_dinh_mo_hinh'!$S$7)</x:f>
        <x:v>0</x:v>
      </x:c>
      <x:c r="O214" s="62" t="n">
        <x:f>M214-N214</x:f>
        <x:v>-21.88617430733571</x:v>
      </x:c>
      <x:c r="P214" s="62" t="n">
        <x:f>F214-K214-I214-J214-N214-L214</x:f>
        <x:v>-21.88617430733571</x:v>
      </x:c>
      <x:c r="Q214" s="62" t="n">
        <x:f>MIN(MAX(0,-(T213+P214)),MAX(0,'17_Gia_dinh_mo_hinh'!$R$7-S213))</x:f>
        <x:v>21.88617430733571</x:v>
      </x:c>
      <x:c r="R214" s="62" t="n">
        <x:f>MIN(MAX(0,T213+P214+Q214),S213+Q214)</x:f>
        <x:v>0</x:v>
      </x:c>
      <x:c r="S214" s="62" t="n">
        <x:f>S213+Q214-R214</x:f>
        <x:v>2786.45556049711</x:v>
      </x:c>
      <x:c r="T214" s="62" t="n">
        <x:f>MAX(0,T213+P214+Q214-R214)</x:f>
        <x:v>0</x:v>
      </x:c>
      <x:c r="U214" s="62" t="n">
        <x:f>MAX(0,-(T213+P214)-MAX(0,'17_Gia_dinh_mo_hinh'!$R$7-S213))</x:f>
        <x:v>0</x:v>
      </x:c>
      <x:c r="V214" s="61" t="str">
        <x:f>IF(B214&lt;'17_Gia_dinh_mo_hinh'!$F$7+D214,"Trước mở bán",IF(B214&lt;'17_Gia_dinh_mo_hinh'!$H$7+D214,"Bán hàng/thi công",IF(G214&gt;0,"Ghi nhận/bàn giao","Hậu bàn giao")))</x:f>
        <x:v>Hậu bàn giao</x:v>
      </x:c>
    </x:row>
    <x:row r="215">
      <x:c r="A215" s="54" t="str">
        <x:v>DA04</x:v>
      </x:c>
      <x:c r="B215" s="54" t="n">
        <x:v>32</x:v>
      </x:c>
      <x:c r="C215" s="60" t="n">
        <x:f>EDATE('17_Gia_dinh_mo_hinh'!$C$7,B215-1)</x:f>
        <x:v>47178</x:v>
      </x:c>
      <x:c r="D215" s="61" t="n">
        <x:f>ROUNDUP('17_Gia_dinh_mo_hinh'!$E$7/30,0)</x:f>
        <x:v>0</x:v>
      </x:c>
      <x:c r="E215" s="62" t="n">
        <x:f>IF(AND(B215&gt;='17_Gia_dinh_mo_hinh'!$F$7+D215,B215&lt;'17_Gia_dinh_mo_hinh'!$F$7+D215+'17_Gia_dinh_mo_hinh'!$G$7),'17_Gia_dinh_mo_hinh'!$L$7*(1-'17_Gia_dinh_mo_hinh'!$M$7)/'17_Gia_dinh_mo_hinh'!$G$7,0)</x:f>
        <x:v>0</x:v>
      </x:c>
      <x:c r="F215" s="62" t="n">
        <x:f>0.70*E215+0.30*E214</x:f>
        <x:v>0</x:v>
      </x:c>
      <x:c r="G215" s="62" t="n">
        <x:f>IF(AND(B215&gt;='17_Gia_dinh_mo_hinh'!$H$7+D215,B215&lt;'17_Gia_dinh_mo_hinh'!$H$7+D215+'17_Gia_dinh_mo_hinh'!$I$7),'17_Gia_dinh_mo_hinh'!$L$7*(1-'17_Gia_dinh_mo_hinh'!$M$7)/'17_Gia_dinh_mo_hinh'!$I$7,0)</x:f>
        <x:v>0</x:v>
      </x:c>
      <x:c r="H215" s="62" t="n">
        <x:f>G215*(1-'17_Gia_dinh_mo_hinh'!$N$7)</x:f>
        <x:v>0</x:v>
      </x:c>
      <x:c r="I215" s="62" t="n">
        <x:f>G215*'17_Gia_dinh_mo_hinh'!$O$7</x:f>
        <x:v>0</x:v>
      </x:c>
      <x:c r="J215" s="62" t="n">
        <x:f>G215*'17_Gia_dinh_mo_hinh'!$P$7</x:f>
        <x:v>0</x:v>
      </x:c>
      <x:c r="K215" s="62" t="n">
        <x:f>IF(B215&lt;='17_Gia_dinh_mo_hinh'!$J$7,'17_Gia_dinh_mo_hinh'!$K$7*(1-MIN(0.95,'17_Gia_dinh_mo_hinh'!$M$7*0.75))/'17_Gia_dinh_mo_hinh'!$J$7,0)</x:f>
        <x:v>0</x:v>
      </x:c>
      <x:c r="L215" s="62" t="n">
        <x:f>S214*'17_Gia_dinh_mo_hinh'!$Q$7/12</x:f>
        <x:v>22.059439853935455</x:v>
      </x:c>
      <x:c r="M215" s="62" t="n">
        <x:f>G215-H215-I215-J215-L215</x:f>
        <x:v>-22.059439853935455</x:v>
      </x:c>
      <x:c r="N215" s="62" t="n">
        <x:f>MAX(0,M215*'17_Gia_dinh_mo_hinh'!$S$7)</x:f>
        <x:v>0</x:v>
      </x:c>
      <x:c r="O215" s="62" t="n">
        <x:f>M215-N215</x:f>
        <x:v>-22.059439853935455</x:v>
      </x:c>
      <x:c r="P215" s="62" t="n">
        <x:f>F215-K215-I215-J215-N215-L215</x:f>
        <x:v>-22.059439853935455</x:v>
      </x:c>
      <x:c r="Q215" s="62" t="n">
        <x:f>MIN(MAX(0,-(T214+P215)),MAX(0,'17_Gia_dinh_mo_hinh'!$R$7-S214))</x:f>
        <x:v>22.059439853935455</x:v>
      </x:c>
      <x:c r="R215" s="62" t="n">
        <x:f>MIN(MAX(0,T214+P215+Q215),S214+Q215)</x:f>
        <x:v>0</x:v>
      </x:c>
      <x:c r="S215" s="62" t="n">
        <x:f>S214+Q215-R215</x:f>
        <x:v>2808.5150003510457</x:v>
      </x:c>
      <x:c r="T215" s="62" t="n">
        <x:f>MAX(0,T214+P215+Q215-R215)</x:f>
        <x:v>0</x:v>
      </x:c>
      <x:c r="U215" s="62" t="n">
        <x:f>MAX(0,-(T214+P215)-MAX(0,'17_Gia_dinh_mo_hinh'!$R$7-S214))</x:f>
        <x:v>0</x:v>
      </x:c>
      <x:c r="V215" s="61" t="str">
        <x:f>IF(B215&lt;'17_Gia_dinh_mo_hinh'!$F$7+D215,"Trước mở bán",IF(B215&lt;'17_Gia_dinh_mo_hinh'!$H$7+D215,"Bán hàng/thi công",IF(G215&gt;0,"Ghi nhận/bàn giao","Hậu bàn giao")))</x:f>
        <x:v>Hậu bàn giao</x:v>
      </x:c>
    </x:row>
    <x:row r="216">
      <x:c r="A216" s="54" t="str">
        <x:v>DA04</x:v>
      </x:c>
      <x:c r="B216" s="54" t="n">
        <x:v>33</x:v>
      </x:c>
      <x:c r="C216" s="60" t="n">
        <x:f>EDATE('17_Gia_dinh_mo_hinh'!$C$7,B216-1)</x:f>
        <x:v>47209</x:v>
      </x:c>
      <x:c r="D216" s="61" t="n">
        <x:f>ROUNDUP('17_Gia_dinh_mo_hinh'!$E$7/30,0)</x:f>
        <x:v>0</x:v>
      </x:c>
      <x:c r="E216" s="62" t="n">
        <x:f>IF(AND(B216&gt;='17_Gia_dinh_mo_hinh'!$F$7+D216,B216&lt;'17_Gia_dinh_mo_hinh'!$F$7+D216+'17_Gia_dinh_mo_hinh'!$G$7),'17_Gia_dinh_mo_hinh'!$L$7*(1-'17_Gia_dinh_mo_hinh'!$M$7)/'17_Gia_dinh_mo_hinh'!$G$7,0)</x:f>
        <x:v>0</x:v>
      </x:c>
      <x:c r="F216" s="62" t="n">
        <x:f>0.70*E216+0.30*E215</x:f>
        <x:v>0</x:v>
      </x:c>
      <x:c r="G216" s="62" t="n">
        <x:f>IF(AND(B216&gt;='17_Gia_dinh_mo_hinh'!$H$7+D216,B216&lt;'17_Gia_dinh_mo_hinh'!$H$7+D216+'17_Gia_dinh_mo_hinh'!$I$7),'17_Gia_dinh_mo_hinh'!$L$7*(1-'17_Gia_dinh_mo_hinh'!$M$7)/'17_Gia_dinh_mo_hinh'!$I$7,0)</x:f>
        <x:v>0</x:v>
      </x:c>
      <x:c r="H216" s="62" t="n">
        <x:f>G216*(1-'17_Gia_dinh_mo_hinh'!$N$7)</x:f>
        <x:v>0</x:v>
      </x:c>
      <x:c r="I216" s="62" t="n">
        <x:f>G216*'17_Gia_dinh_mo_hinh'!$O$7</x:f>
        <x:v>0</x:v>
      </x:c>
      <x:c r="J216" s="62" t="n">
        <x:f>G216*'17_Gia_dinh_mo_hinh'!$P$7</x:f>
        <x:v>0</x:v>
      </x:c>
      <x:c r="K216" s="62" t="n">
        <x:f>IF(B216&lt;='17_Gia_dinh_mo_hinh'!$J$7,'17_Gia_dinh_mo_hinh'!$K$7*(1-MIN(0.95,'17_Gia_dinh_mo_hinh'!$M$7*0.75))/'17_Gia_dinh_mo_hinh'!$J$7,0)</x:f>
        <x:v>0</x:v>
      </x:c>
      <x:c r="L216" s="62" t="n">
        <x:f>S215*'17_Gia_dinh_mo_hinh'!$Q$7/12</x:f>
        <x:v>22.234077086112446</x:v>
      </x:c>
      <x:c r="M216" s="62" t="n">
        <x:f>G216-H216-I216-J216-L216</x:f>
        <x:v>-22.234077086112446</x:v>
      </x:c>
      <x:c r="N216" s="62" t="n">
        <x:f>MAX(0,M216*'17_Gia_dinh_mo_hinh'!$S$7)</x:f>
        <x:v>0</x:v>
      </x:c>
      <x:c r="O216" s="62" t="n">
        <x:f>M216-N216</x:f>
        <x:v>-22.234077086112446</x:v>
      </x:c>
      <x:c r="P216" s="62" t="n">
        <x:f>F216-K216-I216-J216-N216-L216</x:f>
        <x:v>-22.234077086112446</x:v>
      </x:c>
      <x:c r="Q216" s="62" t="n">
        <x:f>MIN(MAX(0,-(T215+P216)),MAX(0,'17_Gia_dinh_mo_hinh'!$R$7-S215))</x:f>
        <x:v>22.234077086112446</x:v>
      </x:c>
      <x:c r="R216" s="62" t="n">
        <x:f>MIN(MAX(0,T215+P216+Q216),S215+Q216)</x:f>
        <x:v>0</x:v>
      </x:c>
      <x:c r="S216" s="62" t="n">
        <x:f>S215+Q216-R216</x:f>
        <x:v>2830.749077437158</x:v>
      </x:c>
      <x:c r="T216" s="62" t="n">
        <x:f>MAX(0,T215+P216+Q216-R216)</x:f>
        <x:v>0</x:v>
      </x:c>
      <x:c r="U216" s="62" t="n">
        <x:f>MAX(0,-(T215+P216)-MAX(0,'17_Gia_dinh_mo_hinh'!$R$7-S215))</x:f>
        <x:v>0</x:v>
      </x:c>
      <x:c r="V216" s="61" t="str">
        <x:f>IF(B216&lt;'17_Gia_dinh_mo_hinh'!$F$7+D216,"Trước mở bán",IF(B216&lt;'17_Gia_dinh_mo_hinh'!$H$7+D216,"Bán hàng/thi công",IF(G216&gt;0,"Ghi nhận/bàn giao","Hậu bàn giao")))</x:f>
        <x:v>Hậu bàn giao</x:v>
      </x:c>
    </x:row>
    <x:row r="217">
      <x:c r="A217" s="54" t="str">
        <x:v>DA04</x:v>
      </x:c>
      <x:c r="B217" s="54" t="n">
        <x:v>34</x:v>
      </x:c>
      <x:c r="C217" s="60" t="n">
        <x:f>EDATE('17_Gia_dinh_mo_hinh'!$C$7,B217-1)</x:f>
        <x:v>47239</x:v>
      </x:c>
      <x:c r="D217" s="61" t="n">
        <x:f>ROUNDUP('17_Gia_dinh_mo_hinh'!$E$7/30,0)</x:f>
        <x:v>0</x:v>
      </x:c>
      <x:c r="E217" s="62" t="n">
        <x:f>IF(AND(B217&gt;='17_Gia_dinh_mo_hinh'!$F$7+D217,B217&lt;'17_Gia_dinh_mo_hinh'!$F$7+D217+'17_Gia_dinh_mo_hinh'!$G$7),'17_Gia_dinh_mo_hinh'!$L$7*(1-'17_Gia_dinh_mo_hinh'!$M$7)/'17_Gia_dinh_mo_hinh'!$G$7,0)</x:f>
        <x:v>0</x:v>
      </x:c>
      <x:c r="F217" s="62" t="n">
        <x:f>0.70*E217+0.30*E216</x:f>
        <x:v>0</x:v>
      </x:c>
      <x:c r="G217" s="62" t="n">
        <x:f>IF(AND(B217&gt;='17_Gia_dinh_mo_hinh'!$H$7+D217,B217&lt;'17_Gia_dinh_mo_hinh'!$H$7+D217+'17_Gia_dinh_mo_hinh'!$I$7),'17_Gia_dinh_mo_hinh'!$L$7*(1-'17_Gia_dinh_mo_hinh'!$M$7)/'17_Gia_dinh_mo_hinh'!$I$7,0)</x:f>
        <x:v>0</x:v>
      </x:c>
      <x:c r="H217" s="62" t="n">
        <x:f>G217*(1-'17_Gia_dinh_mo_hinh'!$N$7)</x:f>
        <x:v>0</x:v>
      </x:c>
      <x:c r="I217" s="62" t="n">
        <x:f>G217*'17_Gia_dinh_mo_hinh'!$O$7</x:f>
        <x:v>0</x:v>
      </x:c>
      <x:c r="J217" s="62" t="n">
        <x:f>G217*'17_Gia_dinh_mo_hinh'!$P$7</x:f>
        <x:v>0</x:v>
      </x:c>
      <x:c r="K217" s="62" t="n">
        <x:f>IF(B217&lt;='17_Gia_dinh_mo_hinh'!$J$7,'17_Gia_dinh_mo_hinh'!$K$7*(1-MIN(0.95,'17_Gia_dinh_mo_hinh'!$M$7*0.75))/'17_Gia_dinh_mo_hinh'!$J$7,0)</x:f>
        <x:v>0</x:v>
      </x:c>
      <x:c r="L217" s="62" t="n">
        <x:f>S216*'17_Gia_dinh_mo_hinh'!$Q$7/12</x:f>
        <x:v>22.41009686304417</x:v>
      </x:c>
      <x:c r="M217" s="62" t="n">
        <x:f>G217-H217-I217-J217-L217</x:f>
        <x:v>-22.41009686304417</x:v>
      </x:c>
      <x:c r="N217" s="62" t="n">
        <x:f>MAX(0,M217*'17_Gia_dinh_mo_hinh'!$S$7)</x:f>
        <x:v>0</x:v>
      </x:c>
      <x:c r="O217" s="62" t="n">
        <x:f>M217-N217</x:f>
        <x:v>-22.41009686304417</x:v>
      </x:c>
      <x:c r="P217" s="62" t="n">
        <x:f>F217-K217-I217-J217-N217-L217</x:f>
        <x:v>-22.41009686304417</x:v>
      </x:c>
      <x:c r="Q217" s="62" t="n">
        <x:f>MIN(MAX(0,-(T216+P217)),MAX(0,'17_Gia_dinh_mo_hinh'!$R$7-S216))</x:f>
        <x:v>22.41009686304417</x:v>
      </x:c>
      <x:c r="R217" s="62" t="n">
        <x:f>MIN(MAX(0,T216+P217+Q217),S216+Q217)</x:f>
        <x:v>0</x:v>
      </x:c>
      <x:c r="S217" s="62" t="n">
        <x:f>S216+Q217-R217</x:f>
        <x:v>2853.1591743002023</x:v>
      </x:c>
      <x:c r="T217" s="62" t="n">
        <x:f>MAX(0,T216+P217+Q217-R217)</x:f>
        <x:v>0</x:v>
      </x:c>
      <x:c r="U217" s="62" t="n">
        <x:f>MAX(0,-(T216+P217)-MAX(0,'17_Gia_dinh_mo_hinh'!$R$7-S216))</x:f>
        <x:v>0</x:v>
      </x:c>
      <x:c r="V217" s="61" t="str">
        <x:f>IF(B217&lt;'17_Gia_dinh_mo_hinh'!$F$7+D217,"Trước mở bán",IF(B217&lt;'17_Gia_dinh_mo_hinh'!$H$7+D217,"Bán hàng/thi công",IF(G217&gt;0,"Ghi nhận/bàn giao","Hậu bàn giao")))</x:f>
        <x:v>Hậu bàn giao</x:v>
      </x:c>
    </x:row>
    <x:row r="218">
      <x:c r="A218" s="54" t="str">
        <x:v>DA04</x:v>
      </x:c>
      <x:c r="B218" s="54" t="n">
        <x:v>35</x:v>
      </x:c>
      <x:c r="C218" s="60" t="n">
        <x:f>EDATE('17_Gia_dinh_mo_hinh'!$C$7,B218-1)</x:f>
        <x:v>47270</x:v>
      </x:c>
      <x:c r="D218" s="61" t="n">
        <x:f>ROUNDUP('17_Gia_dinh_mo_hinh'!$E$7/30,0)</x:f>
        <x:v>0</x:v>
      </x:c>
      <x:c r="E218" s="62" t="n">
        <x:f>IF(AND(B218&gt;='17_Gia_dinh_mo_hinh'!$F$7+D218,B218&lt;'17_Gia_dinh_mo_hinh'!$F$7+D218+'17_Gia_dinh_mo_hinh'!$G$7),'17_Gia_dinh_mo_hinh'!$L$7*(1-'17_Gia_dinh_mo_hinh'!$M$7)/'17_Gia_dinh_mo_hinh'!$G$7,0)</x:f>
        <x:v>0</x:v>
      </x:c>
      <x:c r="F218" s="62" t="n">
        <x:f>0.70*E218+0.30*E217</x:f>
        <x:v>0</x:v>
      </x:c>
      <x:c r="G218" s="62" t="n">
        <x:f>IF(AND(B218&gt;='17_Gia_dinh_mo_hinh'!$H$7+D218,B218&lt;'17_Gia_dinh_mo_hinh'!$H$7+D218+'17_Gia_dinh_mo_hinh'!$I$7),'17_Gia_dinh_mo_hinh'!$L$7*(1-'17_Gia_dinh_mo_hinh'!$M$7)/'17_Gia_dinh_mo_hinh'!$I$7,0)</x:f>
        <x:v>0</x:v>
      </x:c>
      <x:c r="H218" s="62" t="n">
        <x:f>G218*(1-'17_Gia_dinh_mo_hinh'!$N$7)</x:f>
        <x:v>0</x:v>
      </x:c>
      <x:c r="I218" s="62" t="n">
        <x:f>G218*'17_Gia_dinh_mo_hinh'!$O$7</x:f>
        <x:v>0</x:v>
      </x:c>
      <x:c r="J218" s="62" t="n">
        <x:f>G218*'17_Gia_dinh_mo_hinh'!$P$7</x:f>
        <x:v>0</x:v>
      </x:c>
      <x:c r="K218" s="62" t="n">
        <x:f>IF(B218&lt;='17_Gia_dinh_mo_hinh'!$J$7,'17_Gia_dinh_mo_hinh'!$K$7*(1-MIN(0.95,'17_Gia_dinh_mo_hinh'!$M$7*0.75))/'17_Gia_dinh_mo_hinh'!$J$7,0)</x:f>
        <x:v>0</x:v>
      </x:c>
      <x:c r="L218" s="62" t="n">
        <x:f>S217*'17_Gia_dinh_mo_hinh'!$Q$7/12</x:f>
        <x:v>22.587510129876602</x:v>
      </x:c>
      <x:c r="M218" s="62" t="n">
        <x:f>G218-H218-I218-J218-L218</x:f>
        <x:v>-22.587510129876602</x:v>
      </x:c>
      <x:c r="N218" s="62" t="n">
        <x:f>MAX(0,M218*'17_Gia_dinh_mo_hinh'!$S$7)</x:f>
        <x:v>0</x:v>
      </x:c>
      <x:c r="O218" s="62" t="n">
        <x:f>M218-N218</x:f>
        <x:v>-22.587510129876602</x:v>
      </x:c>
      <x:c r="P218" s="62" t="n">
        <x:f>F218-K218-I218-J218-N218-L218</x:f>
        <x:v>-22.587510129876602</x:v>
      </x:c>
      <x:c r="Q218" s="62" t="n">
        <x:f>MIN(MAX(0,-(T217+P218)),MAX(0,'17_Gia_dinh_mo_hinh'!$R$7-S217))</x:f>
        <x:v>22.587510129876602</x:v>
      </x:c>
      <x:c r="R218" s="62" t="n">
        <x:f>MIN(MAX(0,T217+P218+Q218),S217+Q218)</x:f>
        <x:v>0</x:v>
      </x:c>
      <x:c r="S218" s="62" t="n">
        <x:f>S217+Q218-R218</x:f>
        <x:v>2875.746684430079</x:v>
      </x:c>
      <x:c r="T218" s="62" t="n">
        <x:f>MAX(0,T217+P218+Q218-R218)</x:f>
        <x:v>0</x:v>
      </x:c>
      <x:c r="U218" s="62" t="n">
        <x:f>MAX(0,-(T217+P218)-MAX(0,'17_Gia_dinh_mo_hinh'!$R$7-S217))</x:f>
        <x:v>0</x:v>
      </x:c>
      <x:c r="V218" s="61" t="str">
        <x:f>IF(B218&lt;'17_Gia_dinh_mo_hinh'!$F$7+D218,"Trước mở bán",IF(B218&lt;'17_Gia_dinh_mo_hinh'!$H$7+D218,"Bán hàng/thi công",IF(G218&gt;0,"Ghi nhận/bàn giao","Hậu bàn giao")))</x:f>
        <x:v>Hậu bàn giao</x:v>
      </x:c>
    </x:row>
    <x:row r="219">
      <x:c r="A219" s="54" t="str">
        <x:v>DA04</x:v>
      </x:c>
      <x:c r="B219" s="54" t="n">
        <x:v>36</x:v>
      </x:c>
      <x:c r="C219" s="60" t="n">
        <x:f>EDATE('17_Gia_dinh_mo_hinh'!$C$7,B219-1)</x:f>
        <x:v>47300</x:v>
      </x:c>
      <x:c r="D219" s="61" t="n">
        <x:f>ROUNDUP('17_Gia_dinh_mo_hinh'!$E$7/30,0)</x:f>
        <x:v>0</x:v>
      </x:c>
      <x:c r="E219" s="62" t="n">
        <x:f>IF(AND(B219&gt;='17_Gia_dinh_mo_hinh'!$F$7+D219,B219&lt;'17_Gia_dinh_mo_hinh'!$F$7+D219+'17_Gia_dinh_mo_hinh'!$G$7),'17_Gia_dinh_mo_hinh'!$L$7*(1-'17_Gia_dinh_mo_hinh'!$M$7)/'17_Gia_dinh_mo_hinh'!$G$7,0)</x:f>
        <x:v>0</x:v>
      </x:c>
      <x:c r="F219" s="62" t="n">
        <x:f>0.70*E219+0.30*E218</x:f>
        <x:v>0</x:v>
      </x:c>
      <x:c r="G219" s="62" t="n">
        <x:f>IF(AND(B219&gt;='17_Gia_dinh_mo_hinh'!$H$7+D219,B219&lt;'17_Gia_dinh_mo_hinh'!$H$7+D219+'17_Gia_dinh_mo_hinh'!$I$7),'17_Gia_dinh_mo_hinh'!$L$7*(1-'17_Gia_dinh_mo_hinh'!$M$7)/'17_Gia_dinh_mo_hinh'!$I$7,0)</x:f>
        <x:v>0</x:v>
      </x:c>
      <x:c r="H219" s="62" t="n">
        <x:f>G219*(1-'17_Gia_dinh_mo_hinh'!$N$7)</x:f>
        <x:v>0</x:v>
      </x:c>
      <x:c r="I219" s="62" t="n">
        <x:f>G219*'17_Gia_dinh_mo_hinh'!$O$7</x:f>
        <x:v>0</x:v>
      </x:c>
      <x:c r="J219" s="62" t="n">
        <x:f>G219*'17_Gia_dinh_mo_hinh'!$P$7</x:f>
        <x:v>0</x:v>
      </x:c>
      <x:c r="K219" s="62" t="n">
        <x:f>IF(B219&lt;='17_Gia_dinh_mo_hinh'!$J$7,'17_Gia_dinh_mo_hinh'!$K$7*(1-MIN(0.95,'17_Gia_dinh_mo_hinh'!$M$7*0.75))/'17_Gia_dinh_mo_hinh'!$J$7,0)</x:f>
        <x:v>0</x:v>
      </x:c>
      <x:c r="L219" s="62" t="n">
        <x:f>S218*'17_Gia_dinh_mo_hinh'!$Q$7/12</x:f>
        <x:v>22.766327918404794</x:v>
      </x:c>
      <x:c r="M219" s="62" t="n">
        <x:f>G219-H219-I219-J219-L219</x:f>
        <x:v>-22.766327918404794</x:v>
      </x:c>
      <x:c r="N219" s="62" t="n">
        <x:f>MAX(0,M219*'17_Gia_dinh_mo_hinh'!$S$7)</x:f>
        <x:v>0</x:v>
      </x:c>
      <x:c r="O219" s="62" t="n">
        <x:f>M219-N219</x:f>
        <x:v>-22.766327918404794</x:v>
      </x:c>
      <x:c r="P219" s="62" t="n">
        <x:f>F219-K219-I219-J219-N219-L219</x:f>
        <x:v>-22.766327918404794</x:v>
      </x:c>
      <x:c r="Q219" s="62" t="n">
        <x:f>MIN(MAX(0,-(T218+P219)),MAX(0,'17_Gia_dinh_mo_hinh'!$R$7-S218))</x:f>
        <x:v>22.766327918404794</x:v>
      </x:c>
      <x:c r="R219" s="62" t="n">
        <x:f>MIN(MAX(0,T218+P219+Q219),S218+Q219)</x:f>
        <x:v>0</x:v>
      </x:c>
      <x:c r="S219" s="62" t="n">
        <x:f>S218+Q219-R219</x:f>
        <x:v>2898.5130123484837</x:v>
      </x:c>
      <x:c r="T219" s="62" t="n">
        <x:f>MAX(0,T218+P219+Q219-R219)</x:f>
        <x:v>0</x:v>
      </x:c>
      <x:c r="U219" s="62" t="n">
        <x:f>MAX(0,-(T218+P219)-MAX(0,'17_Gia_dinh_mo_hinh'!$R$7-S218))</x:f>
        <x:v>0</x:v>
      </x:c>
      <x:c r="V219" s="61" t="str">
        <x:f>IF(B219&lt;'17_Gia_dinh_mo_hinh'!$F$7+D219,"Trước mở bán",IF(B219&lt;'17_Gia_dinh_mo_hinh'!$H$7+D219,"Bán hàng/thi công",IF(G219&gt;0,"Ghi nhận/bàn giao","Hậu bàn giao")))</x:f>
        <x:v>Hậu bàn giao</x:v>
      </x:c>
    </x:row>
    <x:row r="220">
      <x:c r="A220" s="54" t="str">
        <x:v>DA04</x:v>
      </x:c>
      <x:c r="B220" s="54" t="n">
        <x:v>37</x:v>
      </x:c>
      <x:c r="C220" s="60" t="n">
        <x:f>EDATE('17_Gia_dinh_mo_hinh'!$C$7,B220-1)</x:f>
        <x:v>47331</x:v>
      </x:c>
      <x:c r="D220" s="61" t="n">
        <x:f>ROUNDUP('17_Gia_dinh_mo_hinh'!$E$7/30,0)</x:f>
        <x:v>0</x:v>
      </x:c>
      <x:c r="E220" s="62" t="n">
        <x:f>IF(AND(B220&gt;='17_Gia_dinh_mo_hinh'!$F$7+D220,B220&lt;'17_Gia_dinh_mo_hinh'!$F$7+D220+'17_Gia_dinh_mo_hinh'!$G$7),'17_Gia_dinh_mo_hinh'!$L$7*(1-'17_Gia_dinh_mo_hinh'!$M$7)/'17_Gia_dinh_mo_hinh'!$G$7,0)</x:f>
        <x:v>0</x:v>
      </x:c>
      <x:c r="F220" s="62" t="n">
        <x:f>0.70*E220+0.30*E219</x:f>
        <x:v>0</x:v>
      </x:c>
      <x:c r="G220" s="62" t="n">
        <x:f>IF(AND(B220&gt;='17_Gia_dinh_mo_hinh'!$H$7+D220,B220&lt;'17_Gia_dinh_mo_hinh'!$H$7+D220+'17_Gia_dinh_mo_hinh'!$I$7),'17_Gia_dinh_mo_hinh'!$L$7*(1-'17_Gia_dinh_mo_hinh'!$M$7)/'17_Gia_dinh_mo_hinh'!$I$7,0)</x:f>
        <x:v>0</x:v>
      </x:c>
      <x:c r="H220" s="62" t="n">
        <x:f>G220*(1-'17_Gia_dinh_mo_hinh'!$N$7)</x:f>
        <x:v>0</x:v>
      </x:c>
      <x:c r="I220" s="62" t="n">
        <x:f>G220*'17_Gia_dinh_mo_hinh'!$O$7</x:f>
        <x:v>0</x:v>
      </x:c>
      <x:c r="J220" s="62" t="n">
        <x:f>G220*'17_Gia_dinh_mo_hinh'!$P$7</x:f>
        <x:v>0</x:v>
      </x:c>
      <x:c r="K220" s="62" t="n">
        <x:f>IF(B220&lt;='17_Gia_dinh_mo_hinh'!$J$7,'17_Gia_dinh_mo_hinh'!$K$7*(1-MIN(0.95,'17_Gia_dinh_mo_hinh'!$M$7*0.75))/'17_Gia_dinh_mo_hinh'!$J$7,0)</x:f>
        <x:v>0</x:v>
      </x:c>
      <x:c r="L220" s="62" t="n">
        <x:f>S219*'17_Gia_dinh_mo_hinh'!$Q$7/12</x:f>
        <x:v>22.94656134775883</x:v>
      </x:c>
      <x:c r="M220" s="62" t="n">
        <x:f>G220-H220-I220-J220-L220</x:f>
        <x:v>-22.94656134775883</x:v>
      </x:c>
      <x:c r="N220" s="62" t="n">
        <x:f>MAX(0,M220*'17_Gia_dinh_mo_hinh'!$S$7)</x:f>
        <x:v>0</x:v>
      </x:c>
      <x:c r="O220" s="62" t="n">
        <x:f>M220-N220</x:f>
        <x:v>-22.94656134775883</x:v>
      </x:c>
      <x:c r="P220" s="62" t="n">
        <x:f>F220-K220-I220-J220-N220-L220</x:f>
        <x:v>-22.94656134775883</x:v>
      </x:c>
      <x:c r="Q220" s="62" t="n">
        <x:f>MIN(MAX(0,-(T219+P220)),MAX(0,'17_Gia_dinh_mo_hinh'!$R$7-S219))</x:f>
        <x:v>22.94656134775883</x:v>
      </x:c>
      <x:c r="R220" s="62" t="n">
        <x:f>MIN(MAX(0,T219+P220+Q220),S219+Q220)</x:f>
        <x:v>0</x:v>
      </x:c>
      <x:c r="S220" s="62" t="n">
        <x:f>S219+Q220-R220</x:f>
        <x:v>2921.4595736962424</x:v>
      </x:c>
      <x:c r="T220" s="62" t="n">
        <x:f>MAX(0,T219+P220+Q220-R220)</x:f>
        <x:v>0</x:v>
      </x:c>
      <x:c r="U220" s="62" t="n">
        <x:f>MAX(0,-(T219+P220)-MAX(0,'17_Gia_dinh_mo_hinh'!$R$7-S219))</x:f>
        <x:v>0</x:v>
      </x:c>
      <x:c r="V220" s="61" t="str">
        <x:f>IF(B220&lt;'17_Gia_dinh_mo_hinh'!$F$7+D220,"Trước mở bán",IF(B220&lt;'17_Gia_dinh_mo_hinh'!$H$7+D220,"Bán hàng/thi công",IF(G220&gt;0,"Ghi nhận/bàn giao","Hậu bàn giao")))</x:f>
        <x:v>Hậu bàn giao</x:v>
      </x:c>
    </x:row>
    <x:row r="221">
      <x:c r="A221" s="54" t="str">
        <x:v>DA04</x:v>
      </x:c>
      <x:c r="B221" s="54" t="n">
        <x:v>38</x:v>
      </x:c>
      <x:c r="C221" s="60" t="n">
        <x:f>EDATE('17_Gia_dinh_mo_hinh'!$C$7,B221-1)</x:f>
        <x:v>47362</x:v>
      </x:c>
      <x:c r="D221" s="61" t="n">
        <x:f>ROUNDUP('17_Gia_dinh_mo_hinh'!$E$7/30,0)</x:f>
        <x:v>0</x:v>
      </x:c>
      <x:c r="E221" s="62" t="n">
        <x:f>IF(AND(B221&gt;='17_Gia_dinh_mo_hinh'!$F$7+D221,B221&lt;'17_Gia_dinh_mo_hinh'!$F$7+D221+'17_Gia_dinh_mo_hinh'!$G$7),'17_Gia_dinh_mo_hinh'!$L$7*(1-'17_Gia_dinh_mo_hinh'!$M$7)/'17_Gia_dinh_mo_hinh'!$G$7,0)</x:f>
        <x:v>0</x:v>
      </x:c>
      <x:c r="F221" s="62" t="n">
        <x:f>0.70*E221+0.30*E220</x:f>
        <x:v>0</x:v>
      </x:c>
      <x:c r="G221" s="62" t="n">
        <x:f>IF(AND(B221&gt;='17_Gia_dinh_mo_hinh'!$H$7+D221,B221&lt;'17_Gia_dinh_mo_hinh'!$H$7+D221+'17_Gia_dinh_mo_hinh'!$I$7),'17_Gia_dinh_mo_hinh'!$L$7*(1-'17_Gia_dinh_mo_hinh'!$M$7)/'17_Gia_dinh_mo_hinh'!$I$7,0)</x:f>
        <x:v>0</x:v>
      </x:c>
      <x:c r="H221" s="62" t="n">
        <x:f>G221*(1-'17_Gia_dinh_mo_hinh'!$N$7)</x:f>
        <x:v>0</x:v>
      </x:c>
      <x:c r="I221" s="62" t="n">
        <x:f>G221*'17_Gia_dinh_mo_hinh'!$O$7</x:f>
        <x:v>0</x:v>
      </x:c>
      <x:c r="J221" s="62" t="n">
        <x:f>G221*'17_Gia_dinh_mo_hinh'!$P$7</x:f>
        <x:v>0</x:v>
      </x:c>
      <x:c r="K221" s="62" t="n">
        <x:f>IF(B221&lt;='17_Gia_dinh_mo_hinh'!$J$7,'17_Gia_dinh_mo_hinh'!$K$7*(1-MIN(0.95,'17_Gia_dinh_mo_hinh'!$M$7*0.75))/'17_Gia_dinh_mo_hinh'!$J$7,0)</x:f>
        <x:v>0</x:v>
      </x:c>
      <x:c r="L221" s="62" t="n">
        <x:f>S220*'17_Gia_dinh_mo_hinh'!$Q$7/12</x:f>
        <x:v>23.12822162509525</x:v>
      </x:c>
      <x:c r="M221" s="62" t="n">
        <x:f>G221-H221-I221-J221-L221</x:f>
        <x:v>-23.12822162509525</x:v>
      </x:c>
      <x:c r="N221" s="62" t="n">
        <x:f>MAX(0,M221*'17_Gia_dinh_mo_hinh'!$S$7)</x:f>
        <x:v>0</x:v>
      </x:c>
      <x:c r="O221" s="62" t="n">
        <x:f>M221-N221</x:f>
        <x:v>-23.12822162509525</x:v>
      </x:c>
      <x:c r="P221" s="62" t="n">
        <x:f>F221-K221-I221-J221-N221-L221</x:f>
        <x:v>-23.12822162509525</x:v>
      </x:c>
      <x:c r="Q221" s="62" t="n">
        <x:f>MIN(MAX(0,-(T220+P221)),MAX(0,'17_Gia_dinh_mo_hinh'!$R$7-S220))</x:f>
        <x:v>23.12822162509525</x:v>
      </x:c>
      <x:c r="R221" s="62" t="n">
        <x:f>MIN(MAX(0,T220+P221+Q221),S220+Q221)</x:f>
        <x:v>0</x:v>
      </x:c>
      <x:c r="S221" s="62" t="n">
        <x:f>S220+Q221-R221</x:f>
        <x:v>2944.5877953213376</x:v>
      </x:c>
      <x:c r="T221" s="62" t="n">
        <x:f>MAX(0,T220+P221+Q221-R221)</x:f>
        <x:v>0</x:v>
      </x:c>
      <x:c r="U221" s="62" t="n">
        <x:f>MAX(0,-(T220+P221)-MAX(0,'17_Gia_dinh_mo_hinh'!$R$7-S220))</x:f>
        <x:v>0</x:v>
      </x:c>
      <x:c r="V221" s="61" t="str">
        <x:f>IF(B221&lt;'17_Gia_dinh_mo_hinh'!$F$7+D221,"Trước mở bán",IF(B221&lt;'17_Gia_dinh_mo_hinh'!$H$7+D221,"Bán hàng/thi công",IF(G221&gt;0,"Ghi nhận/bàn giao","Hậu bàn giao")))</x:f>
        <x:v>Hậu bàn giao</x:v>
      </x:c>
    </x:row>
    <x:row r="222">
      <x:c r="A222" s="54" t="str">
        <x:v>DA04</x:v>
      </x:c>
      <x:c r="B222" s="54" t="n">
        <x:v>39</x:v>
      </x:c>
      <x:c r="C222" s="60" t="n">
        <x:f>EDATE('17_Gia_dinh_mo_hinh'!$C$7,B222-1)</x:f>
        <x:v>47392</x:v>
      </x:c>
      <x:c r="D222" s="61" t="n">
        <x:f>ROUNDUP('17_Gia_dinh_mo_hinh'!$E$7/30,0)</x:f>
        <x:v>0</x:v>
      </x:c>
      <x:c r="E222" s="62" t="n">
        <x:f>IF(AND(B222&gt;='17_Gia_dinh_mo_hinh'!$F$7+D222,B222&lt;'17_Gia_dinh_mo_hinh'!$F$7+D222+'17_Gia_dinh_mo_hinh'!$G$7),'17_Gia_dinh_mo_hinh'!$L$7*(1-'17_Gia_dinh_mo_hinh'!$M$7)/'17_Gia_dinh_mo_hinh'!$G$7,0)</x:f>
        <x:v>0</x:v>
      </x:c>
      <x:c r="F222" s="62" t="n">
        <x:f>0.70*E222+0.30*E221</x:f>
        <x:v>0</x:v>
      </x:c>
      <x:c r="G222" s="62" t="n">
        <x:f>IF(AND(B222&gt;='17_Gia_dinh_mo_hinh'!$H$7+D222,B222&lt;'17_Gia_dinh_mo_hinh'!$H$7+D222+'17_Gia_dinh_mo_hinh'!$I$7),'17_Gia_dinh_mo_hinh'!$L$7*(1-'17_Gia_dinh_mo_hinh'!$M$7)/'17_Gia_dinh_mo_hinh'!$I$7,0)</x:f>
        <x:v>0</x:v>
      </x:c>
      <x:c r="H222" s="62" t="n">
        <x:f>G222*(1-'17_Gia_dinh_mo_hinh'!$N$7)</x:f>
        <x:v>0</x:v>
      </x:c>
      <x:c r="I222" s="62" t="n">
        <x:f>G222*'17_Gia_dinh_mo_hinh'!$O$7</x:f>
        <x:v>0</x:v>
      </x:c>
      <x:c r="J222" s="62" t="n">
        <x:f>G222*'17_Gia_dinh_mo_hinh'!$P$7</x:f>
        <x:v>0</x:v>
      </x:c>
      <x:c r="K222" s="62" t="n">
        <x:f>IF(B222&lt;='17_Gia_dinh_mo_hinh'!$J$7,'17_Gia_dinh_mo_hinh'!$K$7*(1-MIN(0.95,'17_Gia_dinh_mo_hinh'!$M$7*0.75))/'17_Gia_dinh_mo_hinh'!$J$7,0)</x:f>
        <x:v>0</x:v>
      </x:c>
      <x:c r="L222" s="62" t="n">
        <x:f>S221*'17_Gia_dinh_mo_hinh'!$Q$7/12</x:f>
        <x:v>23.311320046293925</x:v>
      </x:c>
      <x:c r="M222" s="62" t="n">
        <x:f>G222-H222-I222-J222-L222</x:f>
        <x:v>-23.311320046293925</x:v>
      </x:c>
      <x:c r="N222" s="62" t="n">
        <x:f>MAX(0,M222*'17_Gia_dinh_mo_hinh'!$S$7)</x:f>
        <x:v>0</x:v>
      </x:c>
      <x:c r="O222" s="62" t="n">
        <x:f>M222-N222</x:f>
        <x:v>-23.311320046293925</x:v>
      </x:c>
      <x:c r="P222" s="62" t="n">
        <x:f>F222-K222-I222-J222-N222-L222</x:f>
        <x:v>-23.311320046293925</x:v>
      </x:c>
      <x:c r="Q222" s="62" t="n">
        <x:f>MIN(MAX(0,-(T221+P222)),MAX(0,'17_Gia_dinh_mo_hinh'!$R$7-S221))</x:f>
        <x:v>23.311320046293925</x:v>
      </x:c>
      <x:c r="R222" s="62" t="n">
        <x:f>MIN(MAX(0,T221+P222+Q222),S221+Q222)</x:f>
        <x:v>0</x:v>
      </x:c>
      <x:c r="S222" s="62" t="n">
        <x:f>S221+Q222-R222</x:f>
        <x:v>2967.8991153676316</x:v>
      </x:c>
      <x:c r="T222" s="62" t="n">
        <x:f>MAX(0,T221+P222+Q222-R222)</x:f>
        <x:v>0</x:v>
      </x:c>
      <x:c r="U222" s="62" t="n">
        <x:f>MAX(0,-(T221+P222)-MAX(0,'17_Gia_dinh_mo_hinh'!$R$7-S221))</x:f>
        <x:v>0</x:v>
      </x:c>
      <x:c r="V222" s="61" t="str">
        <x:f>IF(B222&lt;'17_Gia_dinh_mo_hinh'!$F$7+D222,"Trước mở bán",IF(B222&lt;'17_Gia_dinh_mo_hinh'!$H$7+D222,"Bán hàng/thi công",IF(G222&gt;0,"Ghi nhận/bàn giao","Hậu bàn giao")))</x:f>
        <x:v>Hậu bàn giao</x:v>
      </x:c>
    </x:row>
    <x:row r="223">
      <x:c r="A223" s="54" t="str">
        <x:v>DA04</x:v>
      </x:c>
      <x:c r="B223" s="54" t="n">
        <x:v>40</x:v>
      </x:c>
      <x:c r="C223" s="60" t="n">
        <x:f>EDATE('17_Gia_dinh_mo_hinh'!$C$7,B223-1)</x:f>
        <x:v>47423</x:v>
      </x:c>
      <x:c r="D223" s="61" t="n">
        <x:f>ROUNDUP('17_Gia_dinh_mo_hinh'!$E$7/30,0)</x:f>
        <x:v>0</x:v>
      </x:c>
      <x:c r="E223" s="62" t="n">
        <x:f>IF(AND(B223&gt;='17_Gia_dinh_mo_hinh'!$F$7+D223,B223&lt;'17_Gia_dinh_mo_hinh'!$F$7+D223+'17_Gia_dinh_mo_hinh'!$G$7),'17_Gia_dinh_mo_hinh'!$L$7*(1-'17_Gia_dinh_mo_hinh'!$M$7)/'17_Gia_dinh_mo_hinh'!$G$7,0)</x:f>
        <x:v>0</x:v>
      </x:c>
      <x:c r="F223" s="62" t="n">
        <x:f>0.70*E223+0.30*E222</x:f>
        <x:v>0</x:v>
      </x:c>
      <x:c r="G223" s="62" t="n">
        <x:f>IF(AND(B223&gt;='17_Gia_dinh_mo_hinh'!$H$7+D223,B223&lt;'17_Gia_dinh_mo_hinh'!$H$7+D223+'17_Gia_dinh_mo_hinh'!$I$7),'17_Gia_dinh_mo_hinh'!$L$7*(1-'17_Gia_dinh_mo_hinh'!$M$7)/'17_Gia_dinh_mo_hinh'!$I$7,0)</x:f>
        <x:v>0</x:v>
      </x:c>
      <x:c r="H223" s="62" t="n">
        <x:f>G223*(1-'17_Gia_dinh_mo_hinh'!$N$7)</x:f>
        <x:v>0</x:v>
      </x:c>
      <x:c r="I223" s="62" t="n">
        <x:f>G223*'17_Gia_dinh_mo_hinh'!$O$7</x:f>
        <x:v>0</x:v>
      </x:c>
      <x:c r="J223" s="62" t="n">
        <x:f>G223*'17_Gia_dinh_mo_hinh'!$P$7</x:f>
        <x:v>0</x:v>
      </x:c>
      <x:c r="K223" s="62" t="n">
        <x:f>IF(B223&lt;='17_Gia_dinh_mo_hinh'!$J$7,'17_Gia_dinh_mo_hinh'!$K$7*(1-MIN(0.95,'17_Gia_dinh_mo_hinh'!$M$7*0.75))/'17_Gia_dinh_mo_hinh'!$J$7,0)</x:f>
        <x:v>0</x:v>
      </x:c>
      <x:c r="L223" s="62" t="n">
        <x:f>S222*'17_Gia_dinh_mo_hinh'!$Q$7/12</x:f>
        <x:v>23.49586799666042</x:v>
      </x:c>
      <x:c r="M223" s="62" t="n">
        <x:f>G223-H223-I223-J223-L223</x:f>
        <x:v>-23.49586799666042</x:v>
      </x:c>
      <x:c r="N223" s="62" t="n">
        <x:f>MAX(0,M223*'17_Gia_dinh_mo_hinh'!$S$7)</x:f>
        <x:v>0</x:v>
      </x:c>
      <x:c r="O223" s="62" t="n">
        <x:f>M223-N223</x:f>
        <x:v>-23.49586799666042</x:v>
      </x:c>
      <x:c r="P223" s="62" t="n">
        <x:f>F223-K223-I223-J223-N223-L223</x:f>
        <x:v>-23.49586799666042</x:v>
      </x:c>
      <x:c r="Q223" s="62" t="n">
        <x:f>MIN(MAX(0,-(T222+P223)),MAX(0,'17_Gia_dinh_mo_hinh'!$R$7-S222))</x:f>
        <x:v>23.49586799666042</x:v>
      </x:c>
      <x:c r="R223" s="62" t="n">
        <x:f>MIN(MAX(0,T222+P223+Q223),S222+Q223)</x:f>
        <x:v>0</x:v>
      </x:c>
      <x:c r="S223" s="62" t="n">
        <x:f>S222+Q223-R223</x:f>
        <x:v>2991.394983364292</x:v>
      </x:c>
      <x:c r="T223" s="62" t="n">
        <x:f>MAX(0,T222+P223+Q223-R223)</x:f>
        <x:v>0</x:v>
      </x:c>
      <x:c r="U223" s="62" t="n">
        <x:f>MAX(0,-(T222+P223)-MAX(0,'17_Gia_dinh_mo_hinh'!$R$7-S222))</x:f>
        <x:v>0</x:v>
      </x:c>
      <x:c r="V223" s="61" t="str">
        <x:f>IF(B223&lt;'17_Gia_dinh_mo_hinh'!$F$7+D223,"Trước mở bán",IF(B223&lt;'17_Gia_dinh_mo_hinh'!$H$7+D223,"Bán hàng/thi công",IF(G223&gt;0,"Ghi nhận/bàn giao","Hậu bàn giao")))</x:f>
        <x:v>Hậu bàn giao</x:v>
      </x:c>
    </x:row>
    <x:row r="224">
      <x:c r="A224" s="54" t="str">
        <x:v>DA04</x:v>
      </x:c>
      <x:c r="B224" s="54" t="n">
        <x:v>41</x:v>
      </x:c>
      <x:c r="C224" s="60" t="n">
        <x:f>EDATE('17_Gia_dinh_mo_hinh'!$C$7,B224-1)</x:f>
        <x:v>47453</x:v>
      </x:c>
      <x:c r="D224" s="61" t="n">
        <x:f>ROUNDUP('17_Gia_dinh_mo_hinh'!$E$7/30,0)</x:f>
        <x:v>0</x:v>
      </x:c>
      <x:c r="E224" s="62" t="n">
        <x:f>IF(AND(B224&gt;='17_Gia_dinh_mo_hinh'!$F$7+D224,B224&lt;'17_Gia_dinh_mo_hinh'!$F$7+D224+'17_Gia_dinh_mo_hinh'!$G$7),'17_Gia_dinh_mo_hinh'!$L$7*(1-'17_Gia_dinh_mo_hinh'!$M$7)/'17_Gia_dinh_mo_hinh'!$G$7,0)</x:f>
        <x:v>0</x:v>
      </x:c>
      <x:c r="F224" s="62" t="n">
        <x:f>0.70*E224+0.30*E223</x:f>
        <x:v>0</x:v>
      </x:c>
      <x:c r="G224" s="62" t="n">
        <x:f>IF(AND(B224&gt;='17_Gia_dinh_mo_hinh'!$H$7+D224,B224&lt;'17_Gia_dinh_mo_hinh'!$H$7+D224+'17_Gia_dinh_mo_hinh'!$I$7),'17_Gia_dinh_mo_hinh'!$L$7*(1-'17_Gia_dinh_mo_hinh'!$M$7)/'17_Gia_dinh_mo_hinh'!$I$7,0)</x:f>
        <x:v>0</x:v>
      </x:c>
      <x:c r="H224" s="62" t="n">
        <x:f>G224*(1-'17_Gia_dinh_mo_hinh'!$N$7)</x:f>
        <x:v>0</x:v>
      </x:c>
      <x:c r="I224" s="62" t="n">
        <x:f>G224*'17_Gia_dinh_mo_hinh'!$O$7</x:f>
        <x:v>0</x:v>
      </x:c>
      <x:c r="J224" s="62" t="n">
        <x:f>G224*'17_Gia_dinh_mo_hinh'!$P$7</x:f>
        <x:v>0</x:v>
      </x:c>
      <x:c r="K224" s="62" t="n">
        <x:f>IF(B224&lt;='17_Gia_dinh_mo_hinh'!$J$7,'17_Gia_dinh_mo_hinh'!$K$7*(1-MIN(0.95,'17_Gia_dinh_mo_hinh'!$M$7*0.75))/'17_Gia_dinh_mo_hinh'!$J$7,0)</x:f>
        <x:v>0</x:v>
      </x:c>
      <x:c r="L224" s="62" t="n">
        <x:f>S223*'17_Gia_dinh_mo_hinh'!$Q$7/12</x:f>
        <x:v>23.681876951633978</x:v>
      </x:c>
      <x:c r="M224" s="62" t="n">
        <x:f>G224-H224-I224-J224-L224</x:f>
        <x:v>-23.681876951633978</x:v>
      </x:c>
      <x:c r="N224" s="62" t="n">
        <x:f>MAX(0,M224*'17_Gia_dinh_mo_hinh'!$S$7)</x:f>
        <x:v>0</x:v>
      </x:c>
      <x:c r="O224" s="62" t="n">
        <x:f>M224-N224</x:f>
        <x:v>-23.681876951633978</x:v>
      </x:c>
      <x:c r="P224" s="62" t="n">
        <x:f>F224-K224-I224-J224-N224-L224</x:f>
        <x:v>-23.681876951633978</x:v>
      </x:c>
      <x:c r="Q224" s="62" t="n">
        <x:f>MIN(MAX(0,-(T223+P224)),MAX(0,'17_Gia_dinh_mo_hinh'!$R$7-S223))</x:f>
        <x:v>23.681876951633978</x:v>
      </x:c>
      <x:c r="R224" s="62" t="n">
        <x:f>MIN(MAX(0,T223+P224+Q224),S223+Q224)</x:f>
        <x:v>0</x:v>
      </x:c>
      <x:c r="S224" s="62" t="n">
        <x:f>S223+Q224-R224</x:f>
        <x:v>3015.076860315926</x:v>
      </x:c>
      <x:c r="T224" s="62" t="n">
        <x:f>MAX(0,T223+P224+Q224-R224)</x:f>
        <x:v>0</x:v>
      </x:c>
      <x:c r="U224" s="62" t="n">
        <x:f>MAX(0,-(T223+P224)-MAX(0,'17_Gia_dinh_mo_hinh'!$R$7-S223))</x:f>
        <x:v>0</x:v>
      </x:c>
      <x:c r="V224" s="61" t="str">
        <x:f>IF(B224&lt;'17_Gia_dinh_mo_hinh'!$F$7+D224,"Trước mở bán",IF(B224&lt;'17_Gia_dinh_mo_hinh'!$H$7+D224,"Bán hàng/thi công",IF(G224&gt;0,"Ghi nhận/bàn giao","Hậu bàn giao")))</x:f>
        <x:v>Hậu bàn giao</x:v>
      </x:c>
    </x:row>
    <x:row r="225">
      <x:c r="A225" s="54" t="str">
        <x:v>DA04</x:v>
      </x:c>
      <x:c r="B225" s="54" t="n">
        <x:v>42</x:v>
      </x:c>
      <x:c r="C225" s="60" t="n">
        <x:f>EDATE('17_Gia_dinh_mo_hinh'!$C$7,B225-1)</x:f>
        <x:v>47484</x:v>
      </x:c>
      <x:c r="D225" s="61" t="n">
        <x:f>ROUNDUP('17_Gia_dinh_mo_hinh'!$E$7/30,0)</x:f>
        <x:v>0</x:v>
      </x:c>
      <x:c r="E225" s="62" t="n">
        <x:f>IF(AND(B225&gt;='17_Gia_dinh_mo_hinh'!$F$7+D225,B225&lt;'17_Gia_dinh_mo_hinh'!$F$7+D225+'17_Gia_dinh_mo_hinh'!$G$7),'17_Gia_dinh_mo_hinh'!$L$7*(1-'17_Gia_dinh_mo_hinh'!$M$7)/'17_Gia_dinh_mo_hinh'!$G$7,0)</x:f>
        <x:v>0</x:v>
      </x:c>
      <x:c r="F225" s="62" t="n">
        <x:f>0.70*E225+0.30*E224</x:f>
        <x:v>0</x:v>
      </x:c>
      <x:c r="G225" s="62" t="n">
        <x:f>IF(AND(B225&gt;='17_Gia_dinh_mo_hinh'!$H$7+D225,B225&lt;'17_Gia_dinh_mo_hinh'!$H$7+D225+'17_Gia_dinh_mo_hinh'!$I$7),'17_Gia_dinh_mo_hinh'!$L$7*(1-'17_Gia_dinh_mo_hinh'!$M$7)/'17_Gia_dinh_mo_hinh'!$I$7,0)</x:f>
        <x:v>0</x:v>
      </x:c>
      <x:c r="H225" s="62" t="n">
        <x:f>G225*(1-'17_Gia_dinh_mo_hinh'!$N$7)</x:f>
        <x:v>0</x:v>
      </x:c>
      <x:c r="I225" s="62" t="n">
        <x:f>G225*'17_Gia_dinh_mo_hinh'!$O$7</x:f>
        <x:v>0</x:v>
      </x:c>
      <x:c r="J225" s="62" t="n">
        <x:f>G225*'17_Gia_dinh_mo_hinh'!$P$7</x:f>
        <x:v>0</x:v>
      </x:c>
      <x:c r="K225" s="62" t="n">
        <x:f>IF(B225&lt;='17_Gia_dinh_mo_hinh'!$J$7,'17_Gia_dinh_mo_hinh'!$K$7*(1-MIN(0.95,'17_Gia_dinh_mo_hinh'!$M$7*0.75))/'17_Gia_dinh_mo_hinh'!$J$7,0)</x:f>
        <x:v>0</x:v>
      </x:c>
      <x:c r="L225" s="62" t="n">
        <x:f>S224*'17_Gia_dinh_mo_hinh'!$Q$7/12</x:f>
        <x:v>23.86935847750108</x:v>
      </x:c>
      <x:c r="M225" s="62" t="n">
        <x:f>G225-H225-I225-J225-L225</x:f>
        <x:v>-23.86935847750108</x:v>
      </x:c>
      <x:c r="N225" s="62" t="n">
        <x:f>MAX(0,M225*'17_Gia_dinh_mo_hinh'!$S$7)</x:f>
        <x:v>0</x:v>
      </x:c>
      <x:c r="O225" s="62" t="n">
        <x:f>M225-N225</x:f>
        <x:v>-23.86935847750108</x:v>
      </x:c>
      <x:c r="P225" s="62" t="n">
        <x:f>F225-K225-I225-J225-N225-L225</x:f>
        <x:v>-23.86935847750108</x:v>
      </x:c>
      <x:c r="Q225" s="62" t="n">
        <x:f>MIN(MAX(0,-(T224+P225)),MAX(0,'17_Gia_dinh_mo_hinh'!$R$7-S224))</x:f>
        <x:v>23.86935847750108</x:v>
      </x:c>
      <x:c r="R225" s="62" t="n">
        <x:f>MIN(MAX(0,T224+P225+Q225),S224+Q225)</x:f>
        <x:v>0</x:v>
      </x:c>
      <x:c r="S225" s="62" t="n">
        <x:f>S224+Q225-R225</x:f>
        <x:v>3038.946218793427</x:v>
      </x:c>
      <x:c r="T225" s="62" t="n">
        <x:f>MAX(0,T224+P225+Q225-R225)</x:f>
        <x:v>0</x:v>
      </x:c>
      <x:c r="U225" s="62" t="n">
        <x:f>MAX(0,-(T224+P225)-MAX(0,'17_Gia_dinh_mo_hinh'!$R$7-S224))</x:f>
        <x:v>0</x:v>
      </x:c>
      <x:c r="V225" s="61" t="str">
        <x:f>IF(B225&lt;'17_Gia_dinh_mo_hinh'!$F$7+D225,"Trước mở bán",IF(B225&lt;'17_Gia_dinh_mo_hinh'!$H$7+D225,"Bán hàng/thi công",IF(G225&gt;0,"Ghi nhận/bàn giao","Hậu bàn giao")))</x:f>
        <x:v>Hậu bàn giao</x:v>
      </x:c>
    </x:row>
    <x:row r="226">
      <x:c r="A226" s="54" t="str">
        <x:v>DA04</x:v>
      </x:c>
      <x:c r="B226" s="54" t="n">
        <x:v>43</x:v>
      </x:c>
      <x:c r="C226" s="60" t="n">
        <x:f>EDATE('17_Gia_dinh_mo_hinh'!$C$7,B226-1)</x:f>
        <x:v>47515</x:v>
      </x:c>
      <x:c r="D226" s="61" t="n">
        <x:f>ROUNDUP('17_Gia_dinh_mo_hinh'!$E$7/30,0)</x:f>
        <x:v>0</x:v>
      </x:c>
      <x:c r="E226" s="62" t="n">
        <x:f>IF(AND(B226&gt;='17_Gia_dinh_mo_hinh'!$F$7+D226,B226&lt;'17_Gia_dinh_mo_hinh'!$F$7+D226+'17_Gia_dinh_mo_hinh'!$G$7),'17_Gia_dinh_mo_hinh'!$L$7*(1-'17_Gia_dinh_mo_hinh'!$M$7)/'17_Gia_dinh_mo_hinh'!$G$7,0)</x:f>
        <x:v>0</x:v>
      </x:c>
      <x:c r="F226" s="62" t="n">
        <x:f>0.70*E226+0.30*E225</x:f>
        <x:v>0</x:v>
      </x:c>
      <x:c r="G226" s="62" t="n">
        <x:f>IF(AND(B226&gt;='17_Gia_dinh_mo_hinh'!$H$7+D226,B226&lt;'17_Gia_dinh_mo_hinh'!$H$7+D226+'17_Gia_dinh_mo_hinh'!$I$7),'17_Gia_dinh_mo_hinh'!$L$7*(1-'17_Gia_dinh_mo_hinh'!$M$7)/'17_Gia_dinh_mo_hinh'!$I$7,0)</x:f>
        <x:v>0</x:v>
      </x:c>
      <x:c r="H226" s="62" t="n">
        <x:f>G226*(1-'17_Gia_dinh_mo_hinh'!$N$7)</x:f>
        <x:v>0</x:v>
      </x:c>
      <x:c r="I226" s="62" t="n">
        <x:f>G226*'17_Gia_dinh_mo_hinh'!$O$7</x:f>
        <x:v>0</x:v>
      </x:c>
      <x:c r="J226" s="62" t="n">
        <x:f>G226*'17_Gia_dinh_mo_hinh'!$P$7</x:f>
        <x:v>0</x:v>
      </x:c>
      <x:c r="K226" s="62" t="n">
        <x:f>IF(B226&lt;='17_Gia_dinh_mo_hinh'!$J$7,'17_Gia_dinh_mo_hinh'!$K$7*(1-MIN(0.95,'17_Gia_dinh_mo_hinh'!$M$7*0.75))/'17_Gia_dinh_mo_hinh'!$J$7,0)</x:f>
        <x:v>0</x:v>
      </x:c>
      <x:c r="L226" s="62" t="n">
        <x:f>S225*'17_Gia_dinh_mo_hinh'!$Q$7/12</x:f>
        <x:v>24.05832423211463</x:v>
      </x:c>
      <x:c r="M226" s="62" t="n">
        <x:f>G226-H226-I226-J226-L226</x:f>
        <x:v>-24.05832423211463</x:v>
      </x:c>
      <x:c r="N226" s="62" t="n">
        <x:f>MAX(0,M226*'17_Gia_dinh_mo_hinh'!$S$7)</x:f>
        <x:v>0</x:v>
      </x:c>
      <x:c r="O226" s="62" t="n">
        <x:f>M226-N226</x:f>
        <x:v>-24.05832423211463</x:v>
      </x:c>
      <x:c r="P226" s="62" t="n">
        <x:f>F226-K226-I226-J226-N226-L226</x:f>
        <x:v>-24.05832423211463</x:v>
      </x:c>
      <x:c r="Q226" s="62" t="n">
        <x:f>MIN(MAX(0,-(T225+P226)),MAX(0,'17_Gia_dinh_mo_hinh'!$R$7-S225))</x:f>
        <x:v>24.05832423211463</x:v>
      </x:c>
      <x:c r="R226" s="62" t="n">
        <x:f>MIN(MAX(0,T225+P226+Q226),S225+Q226)</x:f>
        <x:v>0</x:v>
      </x:c>
      <x:c r="S226" s="62" t="n">
        <x:f>S225+Q226-R226</x:f>
        <x:v>3063.0045430255414</x:v>
      </x:c>
      <x:c r="T226" s="62" t="n">
        <x:f>MAX(0,T225+P226+Q226-R226)</x:f>
        <x:v>0</x:v>
      </x:c>
      <x:c r="U226" s="62" t="n">
        <x:f>MAX(0,-(T225+P226)-MAX(0,'17_Gia_dinh_mo_hinh'!$R$7-S225))</x:f>
        <x:v>0</x:v>
      </x:c>
      <x:c r="V226" s="61" t="str">
        <x:f>IF(B226&lt;'17_Gia_dinh_mo_hinh'!$F$7+D226,"Trước mở bán",IF(B226&lt;'17_Gia_dinh_mo_hinh'!$H$7+D226,"Bán hàng/thi công",IF(G226&gt;0,"Ghi nhận/bàn giao","Hậu bàn giao")))</x:f>
        <x:v>Hậu bàn giao</x:v>
      </x:c>
    </x:row>
    <x:row r="227">
      <x:c r="A227" s="54" t="str">
        <x:v>DA04</x:v>
      </x:c>
      <x:c r="B227" s="54" t="n">
        <x:v>44</x:v>
      </x:c>
      <x:c r="C227" s="60" t="n">
        <x:f>EDATE('17_Gia_dinh_mo_hinh'!$C$7,B227-1)</x:f>
        <x:v>47543</x:v>
      </x:c>
      <x:c r="D227" s="61" t="n">
        <x:f>ROUNDUP('17_Gia_dinh_mo_hinh'!$E$7/30,0)</x:f>
        <x:v>0</x:v>
      </x:c>
      <x:c r="E227" s="62" t="n">
        <x:f>IF(AND(B227&gt;='17_Gia_dinh_mo_hinh'!$F$7+D227,B227&lt;'17_Gia_dinh_mo_hinh'!$F$7+D227+'17_Gia_dinh_mo_hinh'!$G$7),'17_Gia_dinh_mo_hinh'!$L$7*(1-'17_Gia_dinh_mo_hinh'!$M$7)/'17_Gia_dinh_mo_hinh'!$G$7,0)</x:f>
        <x:v>0</x:v>
      </x:c>
      <x:c r="F227" s="62" t="n">
        <x:f>0.70*E227+0.30*E226</x:f>
        <x:v>0</x:v>
      </x:c>
      <x:c r="G227" s="62" t="n">
        <x:f>IF(AND(B227&gt;='17_Gia_dinh_mo_hinh'!$H$7+D227,B227&lt;'17_Gia_dinh_mo_hinh'!$H$7+D227+'17_Gia_dinh_mo_hinh'!$I$7),'17_Gia_dinh_mo_hinh'!$L$7*(1-'17_Gia_dinh_mo_hinh'!$M$7)/'17_Gia_dinh_mo_hinh'!$I$7,0)</x:f>
        <x:v>0</x:v>
      </x:c>
      <x:c r="H227" s="62" t="n">
        <x:f>G227*(1-'17_Gia_dinh_mo_hinh'!$N$7)</x:f>
        <x:v>0</x:v>
      </x:c>
      <x:c r="I227" s="62" t="n">
        <x:f>G227*'17_Gia_dinh_mo_hinh'!$O$7</x:f>
        <x:v>0</x:v>
      </x:c>
      <x:c r="J227" s="62" t="n">
        <x:f>G227*'17_Gia_dinh_mo_hinh'!$P$7</x:f>
        <x:v>0</x:v>
      </x:c>
      <x:c r="K227" s="62" t="n">
        <x:f>IF(B227&lt;='17_Gia_dinh_mo_hinh'!$J$7,'17_Gia_dinh_mo_hinh'!$K$7*(1-MIN(0.95,'17_Gia_dinh_mo_hinh'!$M$7*0.75))/'17_Gia_dinh_mo_hinh'!$J$7,0)</x:f>
        <x:v>0</x:v>
      </x:c>
      <x:c r="L227" s="62" t="n">
        <x:f>S226*'17_Gia_dinh_mo_hinh'!$Q$7/12</x:f>
        <x:v>24.24878596561887</x:v>
      </x:c>
      <x:c r="M227" s="62" t="n">
        <x:f>G227-H227-I227-J227-L227</x:f>
        <x:v>-24.24878596561887</x:v>
      </x:c>
      <x:c r="N227" s="62" t="n">
        <x:f>MAX(0,M227*'17_Gia_dinh_mo_hinh'!$S$7)</x:f>
        <x:v>0</x:v>
      </x:c>
      <x:c r="O227" s="62" t="n">
        <x:f>M227-N227</x:f>
        <x:v>-24.24878596561887</x:v>
      </x:c>
      <x:c r="P227" s="62" t="n">
        <x:f>F227-K227-I227-J227-N227-L227</x:f>
        <x:v>-24.24878596561887</x:v>
      </x:c>
      <x:c r="Q227" s="62" t="n">
        <x:f>MIN(MAX(0,-(T226+P227)),MAX(0,'17_Gia_dinh_mo_hinh'!$R$7-S226))</x:f>
        <x:v>24.24878596561887</x:v>
      </x:c>
      <x:c r="R227" s="62" t="n">
        <x:f>MIN(MAX(0,T226+P227+Q227),S226+Q227)</x:f>
        <x:v>0</x:v>
      </x:c>
      <x:c r="S227" s="62" t="n">
        <x:f>S226+Q227-R227</x:f>
        <x:v>3087.2533289911603</x:v>
      </x:c>
      <x:c r="T227" s="62" t="n">
        <x:f>MAX(0,T226+P227+Q227-R227)</x:f>
        <x:v>0</x:v>
      </x:c>
      <x:c r="U227" s="62" t="n">
        <x:f>MAX(0,-(T226+P227)-MAX(0,'17_Gia_dinh_mo_hinh'!$R$7-S226))</x:f>
        <x:v>0</x:v>
      </x:c>
      <x:c r="V227" s="61" t="str">
        <x:f>IF(B227&lt;'17_Gia_dinh_mo_hinh'!$F$7+D227,"Trước mở bán",IF(B227&lt;'17_Gia_dinh_mo_hinh'!$H$7+D227,"Bán hàng/thi công",IF(G227&gt;0,"Ghi nhận/bàn giao","Hậu bàn giao")))</x:f>
        <x:v>Hậu bàn giao</x:v>
      </x:c>
    </x:row>
    <x:row r="228">
      <x:c r="A228" s="54" t="str">
        <x:v>DA04</x:v>
      </x:c>
      <x:c r="B228" s="54" t="n">
        <x:v>45</x:v>
      </x:c>
      <x:c r="C228" s="60" t="n">
        <x:f>EDATE('17_Gia_dinh_mo_hinh'!$C$7,B228-1)</x:f>
        <x:v>47574</x:v>
      </x:c>
      <x:c r="D228" s="61" t="n">
        <x:f>ROUNDUP('17_Gia_dinh_mo_hinh'!$E$7/30,0)</x:f>
        <x:v>0</x:v>
      </x:c>
      <x:c r="E228" s="62" t="n">
        <x:f>IF(AND(B228&gt;='17_Gia_dinh_mo_hinh'!$F$7+D228,B228&lt;'17_Gia_dinh_mo_hinh'!$F$7+D228+'17_Gia_dinh_mo_hinh'!$G$7),'17_Gia_dinh_mo_hinh'!$L$7*(1-'17_Gia_dinh_mo_hinh'!$M$7)/'17_Gia_dinh_mo_hinh'!$G$7,0)</x:f>
        <x:v>0</x:v>
      </x:c>
      <x:c r="F228" s="62" t="n">
        <x:f>0.70*E228+0.30*E227</x:f>
        <x:v>0</x:v>
      </x:c>
      <x:c r="G228" s="62" t="n">
        <x:f>IF(AND(B228&gt;='17_Gia_dinh_mo_hinh'!$H$7+D228,B228&lt;'17_Gia_dinh_mo_hinh'!$H$7+D228+'17_Gia_dinh_mo_hinh'!$I$7),'17_Gia_dinh_mo_hinh'!$L$7*(1-'17_Gia_dinh_mo_hinh'!$M$7)/'17_Gia_dinh_mo_hinh'!$I$7,0)</x:f>
        <x:v>0</x:v>
      </x:c>
      <x:c r="H228" s="62" t="n">
        <x:f>G228*(1-'17_Gia_dinh_mo_hinh'!$N$7)</x:f>
        <x:v>0</x:v>
      </x:c>
      <x:c r="I228" s="62" t="n">
        <x:f>G228*'17_Gia_dinh_mo_hinh'!$O$7</x:f>
        <x:v>0</x:v>
      </x:c>
      <x:c r="J228" s="62" t="n">
        <x:f>G228*'17_Gia_dinh_mo_hinh'!$P$7</x:f>
        <x:v>0</x:v>
      </x:c>
      <x:c r="K228" s="62" t="n">
        <x:f>IF(B228&lt;='17_Gia_dinh_mo_hinh'!$J$7,'17_Gia_dinh_mo_hinh'!$K$7*(1-MIN(0.95,'17_Gia_dinh_mo_hinh'!$M$7*0.75))/'17_Gia_dinh_mo_hinh'!$J$7,0)</x:f>
        <x:v>0</x:v>
      </x:c>
      <x:c r="L228" s="62" t="n">
        <x:f>S227*'17_Gia_dinh_mo_hinh'!$Q$7/12</x:f>
        <x:v>24.44075552118002</x:v>
      </x:c>
      <x:c r="M228" s="62" t="n">
        <x:f>G228-H228-I228-J228-L228</x:f>
        <x:v>-24.44075552118002</x:v>
      </x:c>
      <x:c r="N228" s="62" t="n">
        <x:f>MAX(0,M228*'17_Gia_dinh_mo_hinh'!$S$7)</x:f>
        <x:v>0</x:v>
      </x:c>
      <x:c r="O228" s="62" t="n">
        <x:f>M228-N228</x:f>
        <x:v>-24.44075552118002</x:v>
      </x:c>
      <x:c r="P228" s="62" t="n">
        <x:f>F228-K228-I228-J228-N228-L228</x:f>
        <x:v>-24.44075552118002</x:v>
      </x:c>
      <x:c r="Q228" s="62" t="n">
        <x:f>MIN(MAX(0,-(T227+P228)),MAX(0,'17_Gia_dinh_mo_hinh'!$R$7-S227))</x:f>
        <x:v>24.44075552118002</x:v>
      </x:c>
      <x:c r="R228" s="62" t="n">
        <x:f>MIN(MAX(0,T227+P228+Q228),S227+Q228)</x:f>
        <x:v>0</x:v>
      </x:c>
      <x:c r="S228" s="62" t="n">
        <x:f>S227+Q228-R228</x:f>
        <x:v>3111.6940845123404</x:v>
      </x:c>
      <x:c r="T228" s="62" t="n">
        <x:f>MAX(0,T227+P228+Q228-R228)</x:f>
        <x:v>0</x:v>
      </x:c>
      <x:c r="U228" s="62" t="n">
        <x:f>MAX(0,-(T227+P228)-MAX(0,'17_Gia_dinh_mo_hinh'!$R$7-S227))</x:f>
        <x:v>0</x:v>
      </x:c>
      <x:c r="V228" s="61" t="str">
        <x:f>IF(B228&lt;'17_Gia_dinh_mo_hinh'!$F$7+D228,"Trước mở bán",IF(B228&lt;'17_Gia_dinh_mo_hinh'!$H$7+D228,"Bán hàng/thi công",IF(G228&gt;0,"Ghi nhận/bàn giao","Hậu bàn giao")))</x:f>
        <x:v>Hậu bàn giao</x:v>
      </x:c>
    </x:row>
    <x:row r="229">
      <x:c r="A229" s="54" t="str">
        <x:v>DA04</x:v>
      </x:c>
      <x:c r="B229" s="54" t="n">
        <x:v>46</x:v>
      </x:c>
      <x:c r="C229" s="60" t="n">
        <x:f>EDATE('17_Gia_dinh_mo_hinh'!$C$7,B229-1)</x:f>
        <x:v>47604</x:v>
      </x:c>
      <x:c r="D229" s="61" t="n">
        <x:f>ROUNDUP('17_Gia_dinh_mo_hinh'!$E$7/30,0)</x:f>
        <x:v>0</x:v>
      </x:c>
      <x:c r="E229" s="62" t="n">
        <x:f>IF(AND(B229&gt;='17_Gia_dinh_mo_hinh'!$F$7+D229,B229&lt;'17_Gia_dinh_mo_hinh'!$F$7+D229+'17_Gia_dinh_mo_hinh'!$G$7),'17_Gia_dinh_mo_hinh'!$L$7*(1-'17_Gia_dinh_mo_hinh'!$M$7)/'17_Gia_dinh_mo_hinh'!$G$7,0)</x:f>
        <x:v>0</x:v>
      </x:c>
      <x:c r="F229" s="62" t="n">
        <x:f>0.70*E229+0.30*E228</x:f>
        <x:v>0</x:v>
      </x:c>
      <x:c r="G229" s="62" t="n">
        <x:f>IF(AND(B229&gt;='17_Gia_dinh_mo_hinh'!$H$7+D229,B229&lt;'17_Gia_dinh_mo_hinh'!$H$7+D229+'17_Gia_dinh_mo_hinh'!$I$7),'17_Gia_dinh_mo_hinh'!$L$7*(1-'17_Gia_dinh_mo_hinh'!$M$7)/'17_Gia_dinh_mo_hinh'!$I$7,0)</x:f>
        <x:v>0</x:v>
      </x:c>
      <x:c r="H229" s="62" t="n">
        <x:f>G229*(1-'17_Gia_dinh_mo_hinh'!$N$7)</x:f>
        <x:v>0</x:v>
      </x:c>
      <x:c r="I229" s="62" t="n">
        <x:f>G229*'17_Gia_dinh_mo_hinh'!$O$7</x:f>
        <x:v>0</x:v>
      </x:c>
      <x:c r="J229" s="62" t="n">
        <x:f>G229*'17_Gia_dinh_mo_hinh'!$P$7</x:f>
        <x:v>0</x:v>
      </x:c>
      <x:c r="K229" s="62" t="n">
        <x:f>IF(B229&lt;='17_Gia_dinh_mo_hinh'!$J$7,'17_Gia_dinh_mo_hinh'!$K$7*(1-MIN(0.95,'17_Gia_dinh_mo_hinh'!$M$7*0.75))/'17_Gia_dinh_mo_hinh'!$J$7,0)</x:f>
        <x:v>0</x:v>
      </x:c>
      <x:c r="L229" s="62" t="n">
        <x:f>S228*'17_Gia_dinh_mo_hinh'!$Q$7/12</x:f>
        <x:v>24.634244835722697</x:v>
      </x:c>
      <x:c r="M229" s="62" t="n">
        <x:f>G229-H229-I229-J229-L229</x:f>
        <x:v>-24.634244835722697</x:v>
      </x:c>
      <x:c r="N229" s="62" t="n">
        <x:f>MAX(0,M229*'17_Gia_dinh_mo_hinh'!$S$7)</x:f>
        <x:v>0</x:v>
      </x:c>
      <x:c r="O229" s="62" t="n">
        <x:f>M229-N229</x:f>
        <x:v>-24.634244835722697</x:v>
      </x:c>
      <x:c r="P229" s="62" t="n">
        <x:f>F229-K229-I229-J229-N229-L229</x:f>
        <x:v>-24.634244835722697</x:v>
      </x:c>
      <x:c r="Q229" s="62" t="n">
        <x:f>MIN(MAX(0,-(T228+P229)),MAX(0,'17_Gia_dinh_mo_hinh'!$R$7-S228))</x:f>
        <x:v>24.634244835722697</x:v>
      </x:c>
      <x:c r="R229" s="62" t="n">
        <x:f>MIN(MAX(0,T228+P229+Q229),S228+Q229)</x:f>
        <x:v>0</x:v>
      </x:c>
      <x:c r="S229" s="62" t="n">
        <x:f>S228+Q229-R229</x:f>
        <x:v>3136.328329348063</x:v>
      </x:c>
      <x:c r="T229" s="62" t="n">
        <x:f>MAX(0,T228+P229+Q229-R229)</x:f>
        <x:v>0</x:v>
      </x:c>
      <x:c r="U229" s="62" t="n">
        <x:f>MAX(0,-(T228+P229)-MAX(0,'17_Gia_dinh_mo_hinh'!$R$7-S228))</x:f>
        <x:v>0</x:v>
      </x:c>
      <x:c r="V229" s="61" t="str">
        <x:f>IF(B229&lt;'17_Gia_dinh_mo_hinh'!$F$7+D229,"Trước mở bán",IF(B229&lt;'17_Gia_dinh_mo_hinh'!$H$7+D229,"Bán hàng/thi công",IF(G229&gt;0,"Ghi nhận/bàn giao","Hậu bàn giao")))</x:f>
        <x:v>Hậu bàn giao</x:v>
      </x:c>
    </x:row>
    <x:row r="230">
      <x:c r="A230" s="54" t="str">
        <x:v>DA04</x:v>
      </x:c>
      <x:c r="B230" s="54" t="n">
        <x:v>47</x:v>
      </x:c>
      <x:c r="C230" s="60" t="n">
        <x:f>EDATE('17_Gia_dinh_mo_hinh'!$C$7,B230-1)</x:f>
        <x:v>47635</x:v>
      </x:c>
      <x:c r="D230" s="61" t="n">
        <x:f>ROUNDUP('17_Gia_dinh_mo_hinh'!$E$7/30,0)</x:f>
        <x:v>0</x:v>
      </x:c>
      <x:c r="E230" s="62" t="n">
        <x:f>IF(AND(B230&gt;='17_Gia_dinh_mo_hinh'!$F$7+D230,B230&lt;'17_Gia_dinh_mo_hinh'!$F$7+D230+'17_Gia_dinh_mo_hinh'!$G$7),'17_Gia_dinh_mo_hinh'!$L$7*(1-'17_Gia_dinh_mo_hinh'!$M$7)/'17_Gia_dinh_mo_hinh'!$G$7,0)</x:f>
        <x:v>0</x:v>
      </x:c>
      <x:c r="F230" s="62" t="n">
        <x:f>0.70*E230+0.30*E229</x:f>
        <x:v>0</x:v>
      </x:c>
      <x:c r="G230" s="62" t="n">
        <x:f>IF(AND(B230&gt;='17_Gia_dinh_mo_hinh'!$H$7+D230,B230&lt;'17_Gia_dinh_mo_hinh'!$H$7+D230+'17_Gia_dinh_mo_hinh'!$I$7),'17_Gia_dinh_mo_hinh'!$L$7*(1-'17_Gia_dinh_mo_hinh'!$M$7)/'17_Gia_dinh_mo_hinh'!$I$7,0)</x:f>
        <x:v>0</x:v>
      </x:c>
      <x:c r="H230" s="62" t="n">
        <x:f>G230*(1-'17_Gia_dinh_mo_hinh'!$N$7)</x:f>
        <x:v>0</x:v>
      </x:c>
      <x:c r="I230" s="62" t="n">
        <x:f>G230*'17_Gia_dinh_mo_hinh'!$O$7</x:f>
        <x:v>0</x:v>
      </x:c>
      <x:c r="J230" s="62" t="n">
        <x:f>G230*'17_Gia_dinh_mo_hinh'!$P$7</x:f>
        <x:v>0</x:v>
      </x:c>
      <x:c r="K230" s="62" t="n">
        <x:f>IF(B230&lt;='17_Gia_dinh_mo_hinh'!$J$7,'17_Gia_dinh_mo_hinh'!$K$7*(1-MIN(0.95,'17_Gia_dinh_mo_hinh'!$M$7*0.75))/'17_Gia_dinh_mo_hinh'!$J$7,0)</x:f>
        <x:v>0</x:v>
      </x:c>
      <x:c r="L230" s="62" t="n">
        <x:f>S229*'17_Gia_dinh_mo_hinh'!$Q$7/12</x:f>
        <x:v>24.82926594067217</x:v>
      </x:c>
      <x:c r="M230" s="62" t="n">
        <x:f>G230-H230-I230-J230-L230</x:f>
        <x:v>-24.82926594067217</x:v>
      </x:c>
      <x:c r="N230" s="62" t="n">
        <x:f>MAX(0,M230*'17_Gia_dinh_mo_hinh'!$S$7)</x:f>
        <x:v>0</x:v>
      </x:c>
      <x:c r="O230" s="62" t="n">
        <x:f>M230-N230</x:f>
        <x:v>-24.82926594067217</x:v>
      </x:c>
      <x:c r="P230" s="62" t="n">
        <x:f>F230-K230-I230-J230-N230-L230</x:f>
        <x:v>-24.82926594067217</x:v>
      </x:c>
      <x:c r="Q230" s="62" t="n">
        <x:f>MIN(MAX(0,-(T229+P230)),MAX(0,'17_Gia_dinh_mo_hinh'!$R$7-S229))</x:f>
        <x:v>24.82926594067217</x:v>
      </x:c>
      <x:c r="R230" s="62" t="n">
        <x:f>MIN(MAX(0,T229+P230+Q230),S229+Q230)</x:f>
        <x:v>0</x:v>
      </x:c>
      <x:c r="S230" s="62" t="n">
        <x:f>S229+Q230-R230</x:f>
        <x:v>3161.157595288735</x:v>
      </x:c>
      <x:c r="T230" s="62" t="n">
        <x:f>MAX(0,T229+P230+Q230-R230)</x:f>
        <x:v>0</x:v>
      </x:c>
      <x:c r="U230" s="62" t="n">
        <x:f>MAX(0,-(T229+P230)-MAX(0,'17_Gia_dinh_mo_hinh'!$R$7-S229))</x:f>
        <x:v>0</x:v>
      </x:c>
      <x:c r="V230" s="61" t="str">
        <x:f>IF(B230&lt;'17_Gia_dinh_mo_hinh'!$F$7+D230,"Trước mở bán",IF(B230&lt;'17_Gia_dinh_mo_hinh'!$H$7+D230,"Bán hàng/thi công",IF(G230&gt;0,"Ghi nhận/bàn giao","Hậu bàn giao")))</x:f>
        <x:v>Hậu bàn giao</x:v>
      </x:c>
    </x:row>
    <x:row r="231">
      <x:c r="A231" s="54" t="str">
        <x:v>DA04</x:v>
      </x:c>
      <x:c r="B231" s="54" t="n">
        <x:v>48</x:v>
      </x:c>
      <x:c r="C231" s="60" t="n">
        <x:f>EDATE('17_Gia_dinh_mo_hinh'!$C$7,B231-1)</x:f>
        <x:v>47665</x:v>
      </x:c>
      <x:c r="D231" s="61" t="n">
        <x:f>ROUNDUP('17_Gia_dinh_mo_hinh'!$E$7/30,0)</x:f>
        <x:v>0</x:v>
      </x:c>
      <x:c r="E231" s="62" t="n">
        <x:f>IF(AND(B231&gt;='17_Gia_dinh_mo_hinh'!$F$7+D231,B231&lt;'17_Gia_dinh_mo_hinh'!$F$7+D231+'17_Gia_dinh_mo_hinh'!$G$7),'17_Gia_dinh_mo_hinh'!$L$7*(1-'17_Gia_dinh_mo_hinh'!$M$7)/'17_Gia_dinh_mo_hinh'!$G$7,0)</x:f>
        <x:v>0</x:v>
      </x:c>
      <x:c r="F231" s="62" t="n">
        <x:f>0.70*E231+0.30*E230</x:f>
        <x:v>0</x:v>
      </x:c>
      <x:c r="G231" s="62" t="n">
        <x:f>IF(AND(B231&gt;='17_Gia_dinh_mo_hinh'!$H$7+D231,B231&lt;'17_Gia_dinh_mo_hinh'!$H$7+D231+'17_Gia_dinh_mo_hinh'!$I$7),'17_Gia_dinh_mo_hinh'!$L$7*(1-'17_Gia_dinh_mo_hinh'!$M$7)/'17_Gia_dinh_mo_hinh'!$I$7,0)</x:f>
        <x:v>0</x:v>
      </x:c>
      <x:c r="H231" s="62" t="n">
        <x:f>G231*(1-'17_Gia_dinh_mo_hinh'!$N$7)</x:f>
        <x:v>0</x:v>
      </x:c>
      <x:c r="I231" s="62" t="n">
        <x:f>G231*'17_Gia_dinh_mo_hinh'!$O$7</x:f>
        <x:v>0</x:v>
      </x:c>
      <x:c r="J231" s="62" t="n">
        <x:f>G231*'17_Gia_dinh_mo_hinh'!$P$7</x:f>
        <x:v>0</x:v>
      </x:c>
      <x:c r="K231" s="62" t="n">
        <x:f>IF(B231&lt;='17_Gia_dinh_mo_hinh'!$J$7,'17_Gia_dinh_mo_hinh'!$K$7*(1-MIN(0.95,'17_Gia_dinh_mo_hinh'!$M$7*0.75))/'17_Gia_dinh_mo_hinh'!$J$7,0)</x:f>
        <x:v>0</x:v>
      </x:c>
      <x:c r="L231" s="62" t="n">
        <x:f>S230*'17_Gia_dinh_mo_hinh'!$Q$7/12</x:f>
        <x:v>25.025830962702486</x:v>
      </x:c>
      <x:c r="M231" s="62" t="n">
        <x:f>G231-H231-I231-J231-L231</x:f>
        <x:v>-25.025830962702486</x:v>
      </x:c>
      <x:c r="N231" s="62" t="n">
        <x:f>MAX(0,M231*'17_Gia_dinh_mo_hinh'!$S$7)</x:f>
        <x:v>0</x:v>
      </x:c>
      <x:c r="O231" s="62" t="n">
        <x:f>M231-N231</x:f>
        <x:v>-25.025830962702486</x:v>
      </x:c>
      <x:c r="P231" s="62" t="n">
        <x:f>F231-K231-I231-J231-N231-L231</x:f>
        <x:v>-25.025830962702486</x:v>
      </x:c>
      <x:c r="Q231" s="62" t="n">
        <x:f>MIN(MAX(0,-(T230+P231)),MAX(0,'17_Gia_dinh_mo_hinh'!$R$7-S230))</x:f>
        <x:v>25.025830962702486</x:v>
      </x:c>
      <x:c r="R231" s="62" t="n">
        <x:f>MIN(MAX(0,T230+P231+Q231),S230+Q231)</x:f>
        <x:v>0</x:v>
      </x:c>
      <x:c r="S231" s="62" t="n">
        <x:f>S230+Q231-R231</x:f>
        <x:v>3186.1834262514376</x:v>
      </x:c>
      <x:c r="T231" s="62" t="n">
        <x:f>MAX(0,T230+P231+Q231-R231)</x:f>
        <x:v>0</x:v>
      </x:c>
      <x:c r="U231" s="62" t="n">
        <x:f>MAX(0,-(T230+P231)-MAX(0,'17_Gia_dinh_mo_hinh'!$R$7-S230))</x:f>
        <x:v>0</x:v>
      </x:c>
      <x:c r="V231" s="61" t="str">
        <x:f>IF(B231&lt;'17_Gia_dinh_mo_hinh'!$F$7+D231,"Trước mở bán",IF(B231&lt;'17_Gia_dinh_mo_hinh'!$H$7+D231,"Bán hàng/thi công",IF(G231&gt;0,"Ghi nhận/bàn giao","Hậu bàn giao")))</x:f>
        <x:v>Hậu bàn giao</x:v>
      </x:c>
    </x:row>
    <x:row r="232">
      <x:c r="A232" s="54" t="str">
        <x:v>DA04</x:v>
      </x:c>
      <x:c r="B232" s="54" t="n">
        <x:v>49</x:v>
      </x:c>
      <x:c r="C232" s="60" t="n">
        <x:f>EDATE('17_Gia_dinh_mo_hinh'!$C$7,B232-1)</x:f>
        <x:v>47696</x:v>
      </x:c>
      <x:c r="D232" s="61" t="n">
        <x:f>ROUNDUP('17_Gia_dinh_mo_hinh'!$E$7/30,0)</x:f>
        <x:v>0</x:v>
      </x:c>
      <x:c r="E232" s="62" t="n">
        <x:f>IF(AND(B232&gt;='17_Gia_dinh_mo_hinh'!$F$7+D232,B232&lt;'17_Gia_dinh_mo_hinh'!$F$7+D232+'17_Gia_dinh_mo_hinh'!$G$7),'17_Gia_dinh_mo_hinh'!$L$7*(1-'17_Gia_dinh_mo_hinh'!$M$7)/'17_Gia_dinh_mo_hinh'!$G$7,0)</x:f>
        <x:v>0</x:v>
      </x:c>
      <x:c r="F232" s="62" t="n">
        <x:f>0.70*E232+0.30*E231</x:f>
        <x:v>0</x:v>
      </x:c>
      <x:c r="G232" s="62" t="n">
        <x:f>IF(AND(B232&gt;='17_Gia_dinh_mo_hinh'!$H$7+D232,B232&lt;'17_Gia_dinh_mo_hinh'!$H$7+D232+'17_Gia_dinh_mo_hinh'!$I$7),'17_Gia_dinh_mo_hinh'!$L$7*(1-'17_Gia_dinh_mo_hinh'!$M$7)/'17_Gia_dinh_mo_hinh'!$I$7,0)</x:f>
        <x:v>0</x:v>
      </x:c>
      <x:c r="H232" s="62" t="n">
        <x:f>G232*(1-'17_Gia_dinh_mo_hinh'!$N$7)</x:f>
        <x:v>0</x:v>
      </x:c>
      <x:c r="I232" s="62" t="n">
        <x:f>G232*'17_Gia_dinh_mo_hinh'!$O$7</x:f>
        <x:v>0</x:v>
      </x:c>
      <x:c r="J232" s="62" t="n">
        <x:f>G232*'17_Gia_dinh_mo_hinh'!$P$7</x:f>
        <x:v>0</x:v>
      </x:c>
      <x:c r="K232" s="62" t="n">
        <x:f>IF(B232&lt;='17_Gia_dinh_mo_hinh'!$J$7,'17_Gia_dinh_mo_hinh'!$K$7*(1-MIN(0.95,'17_Gia_dinh_mo_hinh'!$M$7*0.75))/'17_Gia_dinh_mo_hinh'!$J$7,0)</x:f>
        <x:v>0</x:v>
      </x:c>
      <x:c r="L232" s="62" t="n">
        <x:f>S231*'17_Gia_dinh_mo_hinh'!$Q$7/12</x:f>
        <x:v>25.22395212449055</x:v>
      </x:c>
      <x:c r="M232" s="62" t="n">
        <x:f>G232-H232-I232-J232-L232</x:f>
        <x:v>-25.22395212449055</x:v>
      </x:c>
      <x:c r="N232" s="62" t="n">
        <x:f>MAX(0,M232*'17_Gia_dinh_mo_hinh'!$S$7)</x:f>
        <x:v>0</x:v>
      </x:c>
      <x:c r="O232" s="62" t="n">
        <x:f>M232-N232</x:f>
        <x:v>-25.22395212449055</x:v>
      </x:c>
      <x:c r="P232" s="62" t="n">
        <x:f>F232-K232-I232-J232-N232-L232</x:f>
        <x:v>-25.22395212449055</x:v>
      </x:c>
      <x:c r="Q232" s="62" t="n">
        <x:f>MIN(MAX(0,-(T231+P232)),MAX(0,'17_Gia_dinh_mo_hinh'!$R$7-S231))</x:f>
        <x:v>25.22395212449055</x:v>
      </x:c>
      <x:c r="R232" s="62" t="n">
        <x:f>MIN(MAX(0,T231+P232+Q232),S231+Q232)</x:f>
        <x:v>0</x:v>
      </x:c>
      <x:c r="S232" s="62" t="n">
        <x:f>S231+Q232-R232</x:f>
        <x:v>3211.407378375928</x:v>
      </x:c>
      <x:c r="T232" s="62" t="n">
        <x:f>MAX(0,T231+P232+Q232-R232)</x:f>
        <x:v>0</x:v>
      </x:c>
      <x:c r="U232" s="62" t="n">
        <x:f>MAX(0,-(T231+P232)-MAX(0,'17_Gia_dinh_mo_hinh'!$R$7-S231))</x:f>
        <x:v>0</x:v>
      </x:c>
      <x:c r="V232" s="61" t="str">
        <x:f>IF(B232&lt;'17_Gia_dinh_mo_hinh'!$F$7+D232,"Trước mở bán",IF(B232&lt;'17_Gia_dinh_mo_hinh'!$H$7+D232,"Bán hàng/thi công",IF(G232&gt;0,"Ghi nhận/bàn giao","Hậu bàn giao")))</x:f>
        <x:v>Hậu bàn giao</x:v>
      </x:c>
    </x:row>
    <x:row r="233">
      <x:c r="A233" s="54" t="str">
        <x:v>DA04</x:v>
      </x:c>
      <x:c r="B233" s="54" t="n">
        <x:v>50</x:v>
      </x:c>
      <x:c r="C233" s="60" t="n">
        <x:f>EDATE('17_Gia_dinh_mo_hinh'!$C$7,B233-1)</x:f>
        <x:v>47727</x:v>
      </x:c>
      <x:c r="D233" s="61" t="n">
        <x:f>ROUNDUP('17_Gia_dinh_mo_hinh'!$E$7/30,0)</x:f>
        <x:v>0</x:v>
      </x:c>
      <x:c r="E233" s="62" t="n">
        <x:f>IF(AND(B233&gt;='17_Gia_dinh_mo_hinh'!$F$7+D233,B233&lt;'17_Gia_dinh_mo_hinh'!$F$7+D233+'17_Gia_dinh_mo_hinh'!$G$7),'17_Gia_dinh_mo_hinh'!$L$7*(1-'17_Gia_dinh_mo_hinh'!$M$7)/'17_Gia_dinh_mo_hinh'!$G$7,0)</x:f>
        <x:v>0</x:v>
      </x:c>
      <x:c r="F233" s="62" t="n">
        <x:f>0.70*E233+0.30*E232</x:f>
        <x:v>0</x:v>
      </x:c>
      <x:c r="G233" s="62" t="n">
        <x:f>IF(AND(B233&gt;='17_Gia_dinh_mo_hinh'!$H$7+D233,B233&lt;'17_Gia_dinh_mo_hinh'!$H$7+D233+'17_Gia_dinh_mo_hinh'!$I$7),'17_Gia_dinh_mo_hinh'!$L$7*(1-'17_Gia_dinh_mo_hinh'!$M$7)/'17_Gia_dinh_mo_hinh'!$I$7,0)</x:f>
        <x:v>0</x:v>
      </x:c>
      <x:c r="H233" s="62" t="n">
        <x:f>G233*(1-'17_Gia_dinh_mo_hinh'!$N$7)</x:f>
        <x:v>0</x:v>
      </x:c>
      <x:c r="I233" s="62" t="n">
        <x:f>G233*'17_Gia_dinh_mo_hinh'!$O$7</x:f>
        <x:v>0</x:v>
      </x:c>
      <x:c r="J233" s="62" t="n">
        <x:f>G233*'17_Gia_dinh_mo_hinh'!$P$7</x:f>
        <x:v>0</x:v>
      </x:c>
      <x:c r="K233" s="62" t="n">
        <x:f>IF(B233&lt;='17_Gia_dinh_mo_hinh'!$J$7,'17_Gia_dinh_mo_hinh'!$K$7*(1-MIN(0.95,'17_Gia_dinh_mo_hinh'!$M$7*0.75))/'17_Gia_dinh_mo_hinh'!$J$7,0)</x:f>
        <x:v>0</x:v>
      </x:c>
      <x:c r="L233" s="62" t="n">
        <x:f>S232*'17_Gia_dinh_mo_hinh'!$Q$7/12</x:f>
        <x:v>25.4236417454761</x:v>
      </x:c>
      <x:c r="M233" s="62" t="n">
        <x:f>G233-H233-I233-J233-L233</x:f>
        <x:v>-25.4236417454761</x:v>
      </x:c>
      <x:c r="N233" s="62" t="n">
        <x:f>MAX(0,M233*'17_Gia_dinh_mo_hinh'!$S$7)</x:f>
        <x:v>0</x:v>
      </x:c>
      <x:c r="O233" s="62" t="n">
        <x:f>M233-N233</x:f>
        <x:v>-25.4236417454761</x:v>
      </x:c>
      <x:c r="P233" s="62" t="n">
        <x:f>F233-K233-I233-J233-N233-L233</x:f>
        <x:v>-25.4236417454761</x:v>
      </x:c>
      <x:c r="Q233" s="62" t="n">
        <x:f>MIN(MAX(0,-(T232+P233)),MAX(0,'17_Gia_dinh_mo_hinh'!$R$7-S232))</x:f>
        <x:v>25.4236417454761</x:v>
      </x:c>
      <x:c r="R233" s="62" t="n">
        <x:f>MIN(MAX(0,T232+P233+Q233),S232+Q233)</x:f>
        <x:v>0</x:v>
      </x:c>
      <x:c r="S233" s="62" t="n">
        <x:f>S232+Q233-R233</x:f>
        <x:v>3236.8310201214044</x:v>
      </x:c>
      <x:c r="T233" s="62" t="n">
        <x:f>MAX(0,T232+P233+Q233-R233)</x:f>
        <x:v>0</x:v>
      </x:c>
      <x:c r="U233" s="62" t="n">
        <x:f>MAX(0,-(T232+P233)-MAX(0,'17_Gia_dinh_mo_hinh'!$R$7-S232))</x:f>
        <x:v>0</x:v>
      </x:c>
      <x:c r="V233" s="61" t="str">
        <x:f>IF(B233&lt;'17_Gia_dinh_mo_hinh'!$F$7+D233,"Trước mở bán",IF(B233&lt;'17_Gia_dinh_mo_hinh'!$H$7+D233,"Bán hàng/thi công",IF(G233&gt;0,"Ghi nhận/bàn giao","Hậu bàn giao")))</x:f>
        <x:v>Hậu bàn giao</x:v>
      </x:c>
    </x:row>
    <x:row r="234">
      <x:c r="A234" s="54" t="str">
        <x:v>DA04</x:v>
      </x:c>
      <x:c r="B234" s="54" t="n">
        <x:v>51</x:v>
      </x:c>
      <x:c r="C234" s="60" t="n">
        <x:f>EDATE('17_Gia_dinh_mo_hinh'!$C$7,B234-1)</x:f>
        <x:v>47757</x:v>
      </x:c>
      <x:c r="D234" s="61" t="n">
        <x:f>ROUNDUP('17_Gia_dinh_mo_hinh'!$E$7/30,0)</x:f>
        <x:v>0</x:v>
      </x:c>
      <x:c r="E234" s="62" t="n">
        <x:f>IF(AND(B234&gt;='17_Gia_dinh_mo_hinh'!$F$7+D234,B234&lt;'17_Gia_dinh_mo_hinh'!$F$7+D234+'17_Gia_dinh_mo_hinh'!$G$7),'17_Gia_dinh_mo_hinh'!$L$7*(1-'17_Gia_dinh_mo_hinh'!$M$7)/'17_Gia_dinh_mo_hinh'!$G$7,0)</x:f>
        <x:v>0</x:v>
      </x:c>
      <x:c r="F234" s="62" t="n">
        <x:f>0.70*E234+0.30*E233</x:f>
        <x:v>0</x:v>
      </x:c>
      <x:c r="G234" s="62" t="n">
        <x:f>IF(AND(B234&gt;='17_Gia_dinh_mo_hinh'!$H$7+D234,B234&lt;'17_Gia_dinh_mo_hinh'!$H$7+D234+'17_Gia_dinh_mo_hinh'!$I$7),'17_Gia_dinh_mo_hinh'!$L$7*(1-'17_Gia_dinh_mo_hinh'!$M$7)/'17_Gia_dinh_mo_hinh'!$I$7,0)</x:f>
        <x:v>0</x:v>
      </x:c>
      <x:c r="H234" s="62" t="n">
        <x:f>G234*(1-'17_Gia_dinh_mo_hinh'!$N$7)</x:f>
        <x:v>0</x:v>
      </x:c>
      <x:c r="I234" s="62" t="n">
        <x:f>G234*'17_Gia_dinh_mo_hinh'!$O$7</x:f>
        <x:v>0</x:v>
      </x:c>
      <x:c r="J234" s="62" t="n">
        <x:f>G234*'17_Gia_dinh_mo_hinh'!$P$7</x:f>
        <x:v>0</x:v>
      </x:c>
      <x:c r="K234" s="62" t="n">
        <x:f>IF(B234&lt;='17_Gia_dinh_mo_hinh'!$J$7,'17_Gia_dinh_mo_hinh'!$K$7*(1-MIN(0.95,'17_Gia_dinh_mo_hinh'!$M$7*0.75))/'17_Gia_dinh_mo_hinh'!$J$7,0)</x:f>
        <x:v>0</x:v>
      </x:c>
      <x:c r="L234" s="62" t="n">
        <x:f>S233*'17_Gia_dinh_mo_hinh'!$Q$7/12</x:f>
        <x:v>25.624912242627786</x:v>
      </x:c>
      <x:c r="M234" s="62" t="n">
        <x:f>G234-H234-I234-J234-L234</x:f>
        <x:v>-25.624912242627786</x:v>
      </x:c>
      <x:c r="N234" s="62" t="n">
        <x:f>MAX(0,M234*'17_Gia_dinh_mo_hinh'!$S$7)</x:f>
        <x:v>0</x:v>
      </x:c>
      <x:c r="O234" s="62" t="n">
        <x:f>M234-N234</x:f>
        <x:v>-25.624912242627786</x:v>
      </x:c>
      <x:c r="P234" s="62" t="n">
        <x:f>F234-K234-I234-J234-N234-L234</x:f>
        <x:v>-25.624912242627786</x:v>
      </x:c>
      <x:c r="Q234" s="62" t="n">
        <x:f>MIN(MAX(0,-(T233+P234)),MAX(0,'17_Gia_dinh_mo_hinh'!$R$7-S233))</x:f>
        <x:v>25.624912242627786</x:v>
      </x:c>
      <x:c r="R234" s="62" t="n">
        <x:f>MIN(MAX(0,T233+P234+Q234),S233+Q234)</x:f>
        <x:v>0</x:v>
      </x:c>
      <x:c r="S234" s="62" t="n">
        <x:f>S233+Q234-R234</x:f>
        <x:v>3262.4559323640324</x:v>
      </x:c>
      <x:c r="T234" s="62" t="n">
        <x:f>MAX(0,T233+P234+Q234-R234)</x:f>
        <x:v>0</x:v>
      </x:c>
      <x:c r="U234" s="62" t="n">
        <x:f>MAX(0,-(T233+P234)-MAX(0,'17_Gia_dinh_mo_hinh'!$R$7-S233))</x:f>
        <x:v>0</x:v>
      </x:c>
      <x:c r="V234" s="61" t="str">
        <x:f>IF(B234&lt;'17_Gia_dinh_mo_hinh'!$F$7+D234,"Trước mở bán",IF(B234&lt;'17_Gia_dinh_mo_hinh'!$H$7+D234,"Bán hàng/thi công",IF(G234&gt;0,"Ghi nhận/bàn giao","Hậu bàn giao")))</x:f>
        <x:v>Hậu bàn giao</x:v>
      </x:c>
    </x:row>
    <x:row r="235">
      <x:c r="A235" s="54" t="str">
        <x:v>DA04</x:v>
      </x:c>
      <x:c r="B235" s="54" t="n">
        <x:v>52</x:v>
      </x:c>
      <x:c r="C235" s="60" t="n">
        <x:f>EDATE('17_Gia_dinh_mo_hinh'!$C$7,B235-1)</x:f>
        <x:v>47788</x:v>
      </x:c>
      <x:c r="D235" s="61" t="n">
        <x:f>ROUNDUP('17_Gia_dinh_mo_hinh'!$E$7/30,0)</x:f>
        <x:v>0</x:v>
      </x:c>
      <x:c r="E235" s="62" t="n">
        <x:f>IF(AND(B235&gt;='17_Gia_dinh_mo_hinh'!$F$7+D235,B235&lt;'17_Gia_dinh_mo_hinh'!$F$7+D235+'17_Gia_dinh_mo_hinh'!$G$7),'17_Gia_dinh_mo_hinh'!$L$7*(1-'17_Gia_dinh_mo_hinh'!$M$7)/'17_Gia_dinh_mo_hinh'!$G$7,0)</x:f>
        <x:v>0</x:v>
      </x:c>
      <x:c r="F235" s="62" t="n">
        <x:f>0.70*E235+0.30*E234</x:f>
        <x:v>0</x:v>
      </x:c>
      <x:c r="G235" s="62" t="n">
        <x:f>IF(AND(B235&gt;='17_Gia_dinh_mo_hinh'!$H$7+D235,B235&lt;'17_Gia_dinh_mo_hinh'!$H$7+D235+'17_Gia_dinh_mo_hinh'!$I$7),'17_Gia_dinh_mo_hinh'!$L$7*(1-'17_Gia_dinh_mo_hinh'!$M$7)/'17_Gia_dinh_mo_hinh'!$I$7,0)</x:f>
        <x:v>0</x:v>
      </x:c>
      <x:c r="H235" s="62" t="n">
        <x:f>G235*(1-'17_Gia_dinh_mo_hinh'!$N$7)</x:f>
        <x:v>0</x:v>
      </x:c>
      <x:c r="I235" s="62" t="n">
        <x:f>G235*'17_Gia_dinh_mo_hinh'!$O$7</x:f>
        <x:v>0</x:v>
      </x:c>
      <x:c r="J235" s="62" t="n">
        <x:f>G235*'17_Gia_dinh_mo_hinh'!$P$7</x:f>
        <x:v>0</x:v>
      </x:c>
      <x:c r="K235" s="62" t="n">
        <x:f>IF(B235&lt;='17_Gia_dinh_mo_hinh'!$J$7,'17_Gia_dinh_mo_hinh'!$K$7*(1-MIN(0.95,'17_Gia_dinh_mo_hinh'!$M$7*0.75))/'17_Gia_dinh_mo_hinh'!$J$7,0)</x:f>
        <x:v>0</x:v>
      </x:c>
      <x:c r="L235" s="62" t="n">
        <x:f>S234*'17_Gia_dinh_mo_hinh'!$Q$7/12</x:f>
        <x:v>25.827776131215256</x:v>
      </x:c>
      <x:c r="M235" s="62" t="n">
        <x:f>G235-H235-I235-J235-L235</x:f>
        <x:v>-25.827776131215256</x:v>
      </x:c>
      <x:c r="N235" s="62" t="n">
        <x:f>MAX(0,M235*'17_Gia_dinh_mo_hinh'!$S$7)</x:f>
        <x:v>0</x:v>
      </x:c>
      <x:c r="O235" s="62" t="n">
        <x:f>M235-N235</x:f>
        <x:v>-25.827776131215256</x:v>
      </x:c>
      <x:c r="P235" s="62" t="n">
        <x:f>F235-K235-I235-J235-N235-L235</x:f>
        <x:v>-25.827776131215256</x:v>
      </x:c>
      <x:c r="Q235" s="62" t="n">
        <x:f>MIN(MAX(0,-(T234+P235)),MAX(0,'17_Gia_dinh_mo_hinh'!$R$7-S234))</x:f>
        <x:v>25.827776131215256</x:v>
      </x:c>
      <x:c r="R235" s="62" t="n">
        <x:f>MIN(MAX(0,T234+P235+Q235),S234+Q235)</x:f>
        <x:v>0</x:v>
      </x:c>
      <x:c r="S235" s="62" t="n">
        <x:f>S234+Q235-R235</x:f>
        <x:v>3288.2837084952475</x:v>
      </x:c>
      <x:c r="T235" s="62" t="n">
        <x:f>MAX(0,T234+P235+Q235-R235)</x:f>
        <x:v>0</x:v>
      </x:c>
      <x:c r="U235" s="62" t="n">
        <x:f>MAX(0,-(T234+P235)-MAX(0,'17_Gia_dinh_mo_hinh'!$R$7-S234))</x:f>
        <x:v>0</x:v>
      </x:c>
      <x:c r="V235" s="61" t="str">
        <x:f>IF(B235&lt;'17_Gia_dinh_mo_hinh'!$F$7+D235,"Trước mở bán",IF(B235&lt;'17_Gia_dinh_mo_hinh'!$H$7+D235,"Bán hàng/thi công",IF(G235&gt;0,"Ghi nhận/bàn giao","Hậu bàn giao")))</x:f>
        <x:v>Hậu bàn giao</x:v>
      </x:c>
    </x:row>
    <x:row r="236">
      <x:c r="A236" s="54" t="str">
        <x:v>DA04</x:v>
      </x:c>
      <x:c r="B236" s="54" t="n">
        <x:v>53</x:v>
      </x:c>
      <x:c r="C236" s="60" t="n">
        <x:f>EDATE('17_Gia_dinh_mo_hinh'!$C$7,B236-1)</x:f>
        <x:v>47818</x:v>
      </x:c>
      <x:c r="D236" s="61" t="n">
        <x:f>ROUNDUP('17_Gia_dinh_mo_hinh'!$E$7/30,0)</x:f>
        <x:v>0</x:v>
      </x:c>
      <x:c r="E236" s="62" t="n">
        <x:f>IF(AND(B236&gt;='17_Gia_dinh_mo_hinh'!$F$7+D236,B236&lt;'17_Gia_dinh_mo_hinh'!$F$7+D236+'17_Gia_dinh_mo_hinh'!$G$7),'17_Gia_dinh_mo_hinh'!$L$7*(1-'17_Gia_dinh_mo_hinh'!$M$7)/'17_Gia_dinh_mo_hinh'!$G$7,0)</x:f>
        <x:v>0</x:v>
      </x:c>
      <x:c r="F236" s="62" t="n">
        <x:f>0.70*E236+0.30*E235</x:f>
        <x:v>0</x:v>
      </x:c>
      <x:c r="G236" s="62" t="n">
        <x:f>IF(AND(B236&gt;='17_Gia_dinh_mo_hinh'!$H$7+D236,B236&lt;'17_Gia_dinh_mo_hinh'!$H$7+D236+'17_Gia_dinh_mo_hinh'!$I$7),'17_Gia_dinh_mo_hinh'!$L$7*(1-'17_Gia_dinh_mo_hinh'!$M$7)/'17_Gia_dinh_mo_hinh'!$I$7,0)</x:f>
        <x:v>0</x:v>
      </x:c>
      <x:c r="H236" s="62" t="n">
        <x:f>G236*(1-'17_Gia_dinh_mo_hinh'!$N$7)</x:f>
        <x:v>0</x:v>
      </x:c>
      <x:c r="I236" s="62" t="n">
        <x:f>G236*'17_Gia_dinh_mo_hinh'!$O$7</x:f>
        <x:v>0</x:v>
      </x:c>
      <x:c r="J236" s="62" t="n">
        <x:f>G236*'17_Gia_dinh_mo_hinh'!$P$7</x:f>
        <x:v>0</x:v>
      </x:c>
      <x:c r="K236" s="62" t="n">
        <x:f>IF(B236&lt;='17_Gia_dinh_mo_hinh'!$J$7,'17_Gia_dinh_mo_hinh'!$K$7*(1-MIN(0.95,'17_Gia_dinh_mo_hinh'!$M$7*0.75))/'17_Gia_dinh_mo_hinh'!$J$7,0)</x:f>
        <x:v>0</x:v>
      </x:c>
      <x:c r="L236" s="62" t="n">
        <x:f>S235*'17_Gia_dinh_mo_hinh'!$Q$7/12</x:f>
        <x:v>26.03224602558738</x:v>
      </x:c>
      <x:c r="M236" s="62" t="n">
        <x:f>G236-H236-I236-J236-L236</x:f>
        <x:v>-26.03224602558738</x:v>
      </x:c>
      <x:c r="N236" s="62" t="n">
        <x:f>MAX(0,M236*'17_Gia_dinh_mo_hinh'!$S$7)</x:f>
        <x:v>0</x:v>
      </x:c>
      <x:c r="O236" s="62" t="n">
        <x:f>M236-N236</x:f>
        <x:v>-26.03224602558738</x:v>
      </x:c>
      <x:c r="P236" s="62" t="n">
        <x:f>F236-K236-I236-J236-N236-L236</x:f>
        <x:v>-26.03224602558738</x:v>
      </x:c>
      <x:c r="Q236" s="62" t="n">
        <x:f>MIN(MAX(0,-(T235+P236)),MAX(0,'17_Gia_dinh_mo_hinh'!$R$7-S235))</x:f>
        <x:v>26.03224602558738</x:v>
      </x:c>
      <x:c r="R236" s="62" t="n">
        <x:f>MIN(MAX(0,T235+P236+Q236),S235+Q236)</x:f>
        <x:v>0</x:v>
      </x:c>
      <x:c r="S236" s="62" t="n">
        <x:f>S235+Q236-R236</x:f>
        <x:v>3314.315954520835</x:v>
      </x:c>
      <x:c r="T236" s="62" t="n">
        <x:f>MAX(0,T235+P236+Q236-R236)</x:f>
        <x:v>0</x:v>
      </x:c>
      <x:c r="U236" s="62" t="n">
        <x:f>MAX(0,-(T235+P236)-MAX(0,'17_Gia_dinh_mo_hinh'!$R$7-S235))</x:f>
        <x:v>0</x:v>
      </x:c>
      <x:c r="V236" s="61" t="str">
        <x:f>IF(B236&lt;'17_Gia_dinh_mo_hinh'!$F$7+D236,"Trước mở bán",IF(B236&lt;'17_Gia_dinh_mo_hinh'!$H$7+D236,"Bán hàng/thi công",IF(G236&gt;0,"Ghi nhận/bàn giao","Hậu bàn giao")))</x:f>
        <x:v>Hậu bàn giao</x:v>
      </x:c>
    </x:row>
    <x:row r="237">
      <x:c r="A237" s="54" t="str">
        <x:v>DA04</x:v>
      </x:c>
      <x:c r="B237" s="54" t="n">
        <x:v>54</x:v>
      </x:c>
      <x:c r="C237" s="60" t="n">
        <x:f>EDATE('17_Gia_dinh_mo_hinh'!$C$7,B237-1)</x:f>
        <x:v>47849</x:v>
      </x:c>
      <x:c r="D237" s="61" t="n">
        <x:f>ROUNDUP('17_Gia_dinh_mo_hinh'!$E$7/30,0)</x:f>
        <x:v>0</x:v>
      </x:c>
      <x:c r="E237" s="62" t="n">
        <x:f>IF(AND(B237&gt;='17_Gia_dinh_mo_hinh'!$F$7+D237,B237&lt;'17_Gia_dinh_mo_hinh'!$F$7+D237+'17_Gia_dinh_mo_hinh'!$G$7),'17_Gia_dinh_mo_hinh'!$L$7*(1-'17_Gia_dinh_mo_hinh'!$M$7)/'17_Gia_dinh_mo_hinh'!$G$7,0)</x:f>
        <x:v>0</x:v>
      </x:c>
      <x:c r="F237" s="62" t="n">
        <x:f>0.70*E237+0.30*E236</x:f>
        <x:v>0</x:v>
      </x:c>
      <x:c r="G237" s="62" t="n">
        <x:f>IF(AND(B237&gt;='17_Gia_dinh_mo_hinh'!$H$7+D237,B237&lt;'17_Gia_dinh_mo_hinh'!$H$7+D237+'17_Gia_dinh_mo_hinh'!$I$7),'17_Gia_dinh_mo_hinh'!$L$7*(1-'17_Gia_dinh_mo_hinh'!$M$7)/'17_Gia_dinh_mo_hinh'!$I$7,0)</x:f>
        <x:v>0</x:v>
      </x:c>
      <x:c r="H237" s="62" t="n">
        <x:f>G237*(1-'17_Gia_dinh_mo_hinh'!$N$7)</x:f>
        <x:v>0</x:v>
      </x:c>
      <x:c r="I237" s="62" t="n">
        <x:f>G237*'17_Gia_dinh_mo_hinh'!$O$7</x:f>
        <x:v>0</x:v>
      </x:c>
      <x:c r="J237" s="62" t="n">
        <x:f>G237*'17_Gia_dinh_mo_hinh'!$P$7</x:f>
        <x:v>0</x:v>
      </x:c>
      <x:c r="K237" s="62" t="n">
        <x:f>IF(B237&lt;='17_Gia_dinh_mo_hinh'!$J$7,'17_Gia_dinh_mo_hinh'!$K$7*(1-MIN(0.95,'17_Gia_dinh_mo_hinh'!$M$7*0.75))/'17_Gia_dinh_mo_hinh'!$J$7,0)</x:f>
        <x:v>0</x:v>
      </x:c>
      <x:c r="L237" s="62" t="n">
        <x:f>S236*'17_Gia_dinh_mo_hinh'!$Q$7/12</x:f>
        <x:v>26.23833463995661</x:v>
      </x:c>
      <x:c r="M237" s="62" t="n">
        <x:f>G237-H237-I237-J237-L237</x:f>
        <x:v>-26.23833463995661</x:v>
      </x:c>
      <x:c r="N237" s="62" t="n">
        <x:f>MAX(0,M237*'17_Gia_dinh_mo_hinh'!$S$7)</x:f>
        <x:v>0</x:v>
      </x:c>
      <x:c r="O237" s="62" t="n">
        <x:f>M237-N237</x:f>
        <x:v>-26.23833463995661</x:v>
      </x:c>
      <x:c r="P237" s="62" t="n">
        <x:f>F237-K237-I237-J237-N237-L237</x:f>
        <x:v>-26.23833463995661</x:v>
      </x:c>
      <x:c r="Q237" s="62" t="n">
        <x:f>MIN(MAX(0,-(T236+P237)),MAX(0,'17_Gia_dinh_mo_hinh'!$R$7-S236))</x:f>
        <x:v>26.23833463995661</x:v>
      </x:c>
      <x:c r="R237" s="62" t="n">
        <x:f>MIN(MAX(0,T236+P237+Q237),S236+Q237)</x:f>
        <x:v>0</x:v>
      </x:c>
      <x:c r="S237" s="62" t="n">
        <x:f>S236+Q237-R237</x:f>
        <x:v>3340.5542891607915</x:v>
      </x:c>
      <x:c r="T237" s="62" t="n">
        <x:f>MAX(0,T236+P237+Q237-R237)</x:f>
        <x:v>0</x:v>
      </x:c>
      <x:c r="U237" s="62" t="n">
        <x:f>MAX(0,-(T236+P237)-MAX(0,'17_Gia_dinh_mo_hinh'!$R$7-S236))</x:f>
        <x:v>0</x:v>
      </x:c>
      <x:c r="V237" s="61" t="str">
        <x:f>IF(B237&lt;'17_Gia_dinh_mo_hinh'!$F$7+D237,"Trước mở bán",IF(B237&lt;'17_Gia_dinh_mo_hinh'!$H$7+D237,"Bán hàng/thi công",IF(G237&gt;0,"Ghi nhận/bàn giao","Hậu bàn giao")))</x:f>
        <x:v>Hậu bàn giao</x:v>
      </x:c>
    </x:row>
    <x:row r="238">
      <x:c r="A238" s="54" t="str">
        <x:v>DA04</x:v>
      </x:c>
      <x:c r="B238" s="54" t="n">
        <x:v>55</x:v>
      </x:c>
      <x:c r="C238" s="60" t="n">
        <x:f>EDATE('17_Gia_dinh_mo_hinh'!$C$7,B238-1)</x:f>
        <x:v>47880</x:v>
      </x:c>
      <x:c r="D238" s="61" t="n">
        <x:f>ROUNDUP('17_Gia_dinh_mo_hinh'!$E$7/30,0)</x:f>
        <x:v>0</x:v>
      </x:c>
      <x:c r="E238" s="62" t="n">
        <x:f>IF(AND(B238&gt;='17_Gia_dinh_mo_hinh'!$F$7+D238,B238&lt;'17_Gia_dinh_mo_hinh'!$F$7+D238+'17_Gia_dinh_mo_hinh'!$G$7),'17_Gia_dinh_mo_hinh'!$L$7*(1-'17_Gia_dinh_mo_hinh'!$M$7)/'17_Gia_dinh_mo_hinh'!$G$7,0)</x:f>
        <x:v>0</x:v>
      </x:c>
      <x:c r="F238" s="62" t="n">
        <x:f>0.70*E238+0.30*E237</x:f>
        <x:v>0</x:v>
      </x:c>
      <x:c r="G238" s="62" t="n">
        <x:f>IF(AND(B238&gt;='17_Gia_dinh_mo_hinh'!$H$7+D238,B238&lt;'17_Gia_dinh_mo_hinh'!$H$7+D238+'17_Gia_dinh_mo_hinh'!$I$7),'17_Gia_dinh_mo_hinh'!$L$7*(1-'17_Gia_dinh_mo_hinh'!$M$7)/'17_Gia_dinh_mo_hinh'!$I$7,0)</x:f>
        <x:v>0</x:v>
      </x:c>
      <x:c r="H238" s="62" t="n">
        <x:f>G238*(1-'17_Gia_dinh_mo_hinh'!$N$7)</x:f>
        <x:v>0</x:v>
      </x:c>
      <x:c r="I238" s="62" t="n">
        <x:f>G238*'17_Gia_dinh_mo_hinh'!$O$7</x:f>
        <x:v>0</x:v>
      </x:c>
      <x:c r="J238" s="62" t="n">
        <x:f>G238*'17_Gia_dinh_mo_hinh'!$P$7</x:f>
        <x:v>0</x:v>
      </x:c>
      <x:c r="K238" s="62" t="n">
        <x:f>IF(B238&lt;='17_Gia_dinh_mo_hinh'!$J$7,'17_Gia_dinh_mo_hinh'!$K$7*(1-MIN(0.95,'17_Gia_dinh_mo_hinh'!$M$7*0.75))/'17_Gia_dinh_mo_hinh'!$J$7,0)</x:f>
        <x:v>0</x:v>
      </x:c>
      <x:c r="L238" s="62" t="n">
        <x:f>S237*'17_Gia_dinh_mo_hinh'!$Q$7/12</x:f>
        <x:v>26.4460547891896</x:v>
      </x:c>
      <x:c r="M238" s="62" t="n">
        <x:f>G238-H238-I238-J238-L238</x:f>
        <x:v>-26.4460547891896</x:v>
      </x:c>
      <x:c r="N238" s="62" t="n">
        <x:f>MAX(0,M238*'17_Gia_dinh_mo_hinh'!$S$7)</x:f>
        <x:v>0</x:v>
      </x:c>
      <x:c r="O238" s="62" t="n">
        <x:f>M238-N238</x:f>
        <x:v>-26.4460547891896</x:v>
      </x:c>
      <x:c r="P238" s="62" t="n">
        <x:f>F238-K238-I238-J238-N238-L238</x:f>
        <x:v>-26.4460547891896</x:v>
      </x:c>
      <x:c r="Q238" s="62" t="n">
        <x:f>MIN(MAX(0,-(T237+P238)),MAX(0,'17_Gia_dinh_mo_hinh'!$R$7-S237))</x:f>
        <x:v>26.4460547891896</x:v>
      </x:c>
      <x:c r="R238" s="62" t="n">
        <x:f>MIN(MAX(0,T237+P238+Q238),S237+Q238)</x:f>
        <x:v>0</x:v>
      </x:c>
      <x:c r="S238" s="62" t="n">
        <x:f>S237+Q238-R238</x:f>
        <x:v>3367.000343949981</x:v>
      </x:c>
      <x:c r="T238" s="62" t="n">
        <x:f>MAX(0,T237+P238+Q238-R238)</x:f>
        <x:v>0</x:v>
      </x:c>
      <x:c r="U238" s="62" t="n">
        <x:f>MAX(0,-(T237+P238)-MAX(0,'17_Gia_dinh_mo_hinh'!$R$7-S237))</x:f>
        <x:v>0</x:v>
      </x:c>
      <x:c r="V238" s="61" t="str">
        <x:f>IF(B238&lt;'17_Gia_dinh_mo_hinh'!$F$7+D238,"Trước mở bán",IF(B238&lt;'17_Gia_dinh_mo_hinh'!$H$7+D238,"Bán hàng/thi công",IF(G238&gt;0,"Ghi nhận/bàn giao","Hậu bàn giao")))</x:f>
        <x:v>Hậu bàn giao</x:v>
      </x:c>
    </x:row>
    <x:row r="239">
      <x:c r="A239" s="54" t="str">
        <x:v>DA04</x:v>
      </x:c>
      <x:c r="B239" s="54" t="n">
        <x:v>56</x:v>
      </x:c>
      <x:c r="C239" s="60" t="n">
        <x:f>EDATE('17_Gia_dinh_mo_hinh'!$C$7,B239-1)</x:f>
        <x:v>47908</x:v>
      </x:c>
      <x:c r="D239" s="61" t="n">
        <x:f>ROUNDUP('17_Gia_dinh_mo_hinh'!$E$7/30,0)</x:f>
        <x:v>0</x:v>
      </x:c>
      <x:c r="E239" s="62" t="n">
        <x:f>IF(AND(B239&gt;='17_Gia_dinh_mo_hinh'!$F$7+D239,B239&lt;'17_Gia_dinh_mo_hinh'!$F$7+D239+'17_Gia_dinh_mo_hinh'!$G$7),'17_Gia_dinh_mo_hinh'!$L$7*(1-'17_Gia_dinh_mo_hinh'!$M$7)/'17_Gia_dinh_mo_hinh'!$G$7,0)</x:f>
        <x:v>0</x:v>
      </x:c>
      <x:c r="F239" s="62" t="n">
        <x:f>0.70*E239+0.30*E238</x:f>
        <x:v>0</x:v>
      </x:c>
      <x:c r="G239" s="62" t="n">
        <x:f>IF(AND(B239&gt;='17_Gia_dinh_mo_hinh'!$H$7+D239,B239&lt;'17_Gia_dinh_mo_hinh'!$H$7+D239+'17_Gia_dinh_mo_hinh'!$I$7),'17_Gia_dinh_mo_hinh'!$L$7*(1-'17_Gia_dinh_mo_hinh'!$M$7)/'17_Gia_dinh_mo_hinh'!$I$7,0)</x:f>
        <x:v>0</x:v>
      </x:c>
      <x:c r="H239" s="62" t="n">
        <x:f>G239*(1-'17_Gia_dinh_mo_hinh'!$N$7)</x:f>
        <x:v>0</x:v>
      </x:c>
      <x:c r="I239" s="62" t="n">
        <x:f>G239*'17_Gia_dinh_mo_hinh'!$O$7</x:f>
        <x:v>0</x:v>
      </x:c>
      <x:c r="J239" s="62" t="n">
        <x:f>G239*'17_Gia_dinh_mo_hinh'!$P$7</x:f>
        <x:v>0</x:v>
      </x:c>
      <x:c r="K239" s="62" t="n">
        <x:f>IF(B239&lt;='17_Gia_dinh_mo_hinh'!$J$7,'17_Gia_dinh_mo_hinh'!$K$7*(1-MIN(0.95,'17_Gia_dinh_mo_hinh'!$M$7*0.75))/'17_Gia_dinh_mo_hinh'!$J$7,0)</x:f>
        <x:v>0</x:v>
      </x:c>
      <x:c r="L239" s="62" t="n">
        <x:f>S238*'17_Gia_dinh_mo_hinh'!$Q$7/12</x:f>
        <x:v>26.655419389604017</x:v>
      </x:c>
      <x:c r="M239" s="62" t="n">
        <x:f>G239-H239-I239-J239-L239</x:f>
        <x:v>-26.655419389604017</x:v>
      </x:c>
      <x:c r="N239" s="62" t="n">
        <x:f>MAX(0,M239*'17_Gia_dinh_mo_hinh'!$S$7)</x:f>
        <x:v>0</x:v>
      </x:c>
      <x:c r="O239" s="62" t="n">
        <x:f>M239-N239</x:f>
        <x:v>-26.655419389604017</x:v>
      </x:c>
      <x:c r="P239" s="62" t="n">
        <x:f>F239-K239-I239-J239-N239-L239</x:f>
        <x:v>-26.655419389604017</x:v>
      </x:c>
      <x:c r="Q239" s="62" t="n">
        <x:f>MIN(MAX(0,-(T238+P239)),MAX(0,'17_Gia_dinh_mo_hinh'!$R$7-S238))</x:f>
        <x:v>26.655419389604017</x:v>
      </x:c>
      <x:c r="R239" s="62" t="n">
        <x:f>MIN(MAX(0,T238+P239+Q239),S238+Q239)</x:f>
        <x:v>0</x:v>
      </x:c>
      <x:c r="S239" s="62" t="n">
        <x:f>S238+Q239-R239</x:f>
        <x:v>3393.655763339585</x:v>
      </x:c>
      <x:c r="T239" s="62" t="n">
        <x:f>MAX(0,T238+P239+Q239-R239)</x:f>
        <x:v>0</x:v>
      </x:c>
      <x:c r="U239" s="62" t="n">
        <x:f>MAX(0,-(T238+P239)-MAX(0,'17_Gia_dinh_mo_hinh'!$R$7-S238))</x:f>
        <x:v>0</x:v>
      </x:c>
      <x:c r="V239" s="61" t="str">
        <x:f>IF(B239&lt;'17_Gia_dinh_mo_hinh'!$F$7+D239,"Trước mở bán",IF(B239&lt;'17_Gia_dinh_mo_hinh'!$H$7+D239,"Bán hàng/thi công",IF(G239&gt;0,"Ghi nhận/bàn giao","Hậu bàn giao")))</x:f>
        <x:v>Hậu bàn giao</x:v>
      </x:c>
    </x:row>
    <x:row r="240">
      <x:c r="A240" s="54" t="str">
        <x:v>DA04</x:v>
      </x:c>
      <x:c r="B240" s="54" t="n">
        <x:v>57</x:v>
      </x:c>
      <x:c r="C240" s="60" t="n">
        <x:f>EDATE('17_Gia_dinh_mo_hinh'!$C$7,B240-1)</x:f>
        <x:v>47939</x:v>
      </x:c>
      <x:c r="D240" s="61" t="n">
        <x:f>ROUNDUP('17_Gia_dinh_mo_hinh'!$E$7/30,0)</x:f>
        <x:v>0</x:v>
      </x:c>
      <x:c r="E240" s="62" t="n">
        <x:f>IF(AND(B240&gt;='17_Gia_dinh_mo_hinh'!$F$7+D240,B240&lt;'17_Gia_dinh_mo_hinh'!$F$7+D240+'17_Gia_dinh_mo_hinh'!$G$7),'17_Gia_dinh_mo_hinh'!$L$7*(1-'17_Gia_dinh_mo_hinh'!$M$7)/'17_Gia_dinh_mo_hinh'!$G$7,0)</x:f>
        <x:v>0</x:v>
      </x:c>
      <x:c r="F240" s="62" t="n">
        <x:f>0.70*E240+0.30*E239</x:f>
        <x:v>0</x:v>
      </x:c>
      <x:c r="G240" s="62" t="n">
        <x:f>IF(AND(B240&gt;='17_Gia_dinh_mo_hinh'!$H$7+D240,B240&lt;'17_Gia_dinh_mo_hinh'!$H$7+D240+'17_Gia_dinh_mo_hinh'!$I$7),'17_Gia_dinh_mo_hinh'!$L$7*(1-'17_Gia_dinh_mo_hinh'!$M$7)/'17_Gia_dinh_mo_hinh'!$I$7,0)</x:f>
        <x:v>0</x:v>
      </x:c>
      <x:c r="H240" s="62" t="n">
        <x:f>G240*(1-'17_Gia_dinh_mo_hinh'!$N$7)</x:f>
        <x:v>0</x:v>
      </x:c>
      <x:c r="I240" s="62" t="n">
        <x:f>G240*'17_Gia_dinh_mo_hinh'!$O$7</x:f>
        <x:v>0</x:v>
      </x:c>
      <x:c r="J240" s="62" t="n">
        <x:f>G240*'17_Gia_dinh_mo_hinh'!$P$7</x:f>
        <x:v>0</x:v>
      </x:c>
      <x:c r="K240" s="62" t="n">
        <x:f>IF(B240&lt;='17_Gia_dinh_mo_hinh'!$J$7,'17_Gia_dinh_mo_hinh'!$K$7*(1-MIN(0.95,'17_Gia_dinh_mo_hinh'!$M$7*0.75))/'17_Gia_dinh_mo_hinh'!$J$7,0)</x:f>
        <x:v>0</x:v>
      </x:c>
      <x:c r="L240" s="62" t="n">
        <x:f>S239*'17_Gia_dinh_mo_hinh'!$Q$7/12</x:f>
        <x:v>26.866441459771718</x:v>
      </x:c>
      <x:c r="M240" s="62" t="n">
        <x:f>G240-H240-I240-J240-L240</x:f>
        <x:v>-26.866441459771718</x:v>
      </x:c>
      <x:c r="N240" s="62" t="n">
        <x:f>MAX(0,M240*'17_Gia_dinh_mo_hinh'!$S$7)</x:f>
        <x:v>0</x:v>
      </x:c>
      <x:c r="O240" s="62" t="n">
        <x:f>M240-N240</x:f>
        <x:v>-26.866441459771718</x:v>
      </x:c>
      <x:c r="P240" s="62" t="n">
        <x:f>F240-K240-I240-J240-N240-L240</x:f>
        <x:v>-26.866441459771718</x:v>
      </x:c>
      <x:c r="Q240" s="62" t="n">
        <x:f>MIN(MAX(0,-(T239+P240)),MAX(0,'17_Gia_dinh_mo_hinh'!$R$7-S239))</x:f>
        <x:v>26.866441459771718</x:v>
      </x:c>
      <x:c r="R240" s="62" t="n">
        <x:f>MIN(MAX(0,T239+P240+Q240),S239+Q240)</x:f>
        <x:v>0</x:v>
      </x:c>
      <x:c r="S240" s="62" t="n">
        <x:f>S239+Q240-R240</x:f>
        <x:v>3420.5222047993566</x:v>
      </x:c>
      <x:c r="T240" s="62" t="n">
        <x:f>MAX(0,T239+P240+Q240-R240)</x:f>
        <x:v>0</x:v>
      </x:c>
      <x:c r="U240" s="62" t="n">
        <x:f>MAX(0,-(T239+P240)-MAX(0,'17_Gia_dinh_mo_hinh'!$R$7-S239))</x:f>
        <x:v>0</x:v>
      </x:c>
      <x:c r="V240" s="61" t="str">
        <x:f>IF(B240&lt;'17_Gia_dinh_mo_hinh'!$F$7+D240,"Trước mở bán",IF(B240&lt;'17_Gia_dinh_mo_hinh'!$H$7+D240,"Bán hàng/thi công",IF(G240&gt;0,"Ghi nhận/bàn giao","Hậu bàn giao")))</x:f>
        <x:v>Hậu bàn giao</x:v>
      </x:c>
    </x:row>
    <x:row r="241">
      <x:c r="A241" s="54" t="str">
        <x:v>DA04</x:v>
      </x:c>
      <x:c r="B241" s="54" t="n">
        <x:v>58</x:v>
      </x:c>
      <x:c r="C241" s="60" t="n">
        <x:f>EDATE('17_Gia_dinh_mo_hinh'!$C$7,B241-1)</x:f>
        <x:v>47969</x:v>
      </x:c>
      <x:c r="D241" s="61" t="n">
        <x:f>ROUNDUP('17_Gia_dinh_mo_hinh'!$E$7/30,0)</x:f>
        <x:v>0</x:v>
      </x:c>
      <x:c r="E241" s="62" t="n">
        <x:f>IF(AND(B241&gt;='17_Gia_dinh_mo_hinh'!$F$7+D241,B241&lt;'17_Gia_dinh_mo_hinh'!$F$7+D241+'17_Gia_dinh_mo_hinh'!$G$7),'17_Gia_dinh_mo_hinh'!$L$7*(1-'17_Gia_dinh_mo_hinh'!$M$7)/'17_Gia_dinh_mo_hinh'!$G$7,0)</x:f>
        <x:v>0</x:v>
      </x:c>
      <x:c r="F241" s="62" t="n">
        <x:f>0.70*E241+0.30*E240</x:f>
        <x:v>0</x:v>
      </x:c>
      <x:c r="G241" s="62" t="n">
        <x:f>IF(AND(B241&gt;='17_Gia_dinh_mo_hinh'!$H$7+D241,B241&lt;'17_Gia_dinh_mo_hinh'!$H$7+D241+'17_Gia_dinh_mo_hinh'!$I$7),'17_Gia_dinh_mo_hinh'!$L$7*(1-'17_Gia_dinh_mo_hinh'!$M$7)/'17_Gia_dinh_mo_hinh'!$I$7,0)</x:f>
        <x:v>0</x:v>
      </x:c>
      <x:c r="H241" s="62" t="n">
        <x:f>G241*(1-'17_Gia_dinh_mo_hinh'!$N$7)</x:f>
        <x:v>0</x:v>
      </x:c>
      <x:c r="I241" s="62" t="n">
        <x:f>G241*'17_Gia_dinh_mo_hinh'!$O$7</x:f>
        <x:v>0</x:v>
      </x:c>
      <x:c r="J241" s="62" t="n">
        <x:f>G241*'17_Gia_dinh_mo_hinh'!$P$7</x:f>
        <x:v>0</x:v>
      </x:c>
      <x:c r="K241" s="62" t="n">
        <x:f>IF(B241&lt;='17_Gia_dinh_mo_hinh'!$J$7,'17_Gia_dinh_mo_hinh'!$K$7*(1-MIN(0.95,'17_Gia_dinh_mo_hinh'!$M$7*0.75))/'17_Gia_dinh_mo_hinh'!$J$7,0)</x:f>
        <x:v>0</x:v>
      </x:c>
      <x:c r="L241" s="62" t="n">
        <x:f>S240*'17_Gia_dinh_mo_hinh'!$Q$7/12</x:f>
        <x:v>27.079134121328238</x:v>
      </x:c>
      <x:c r="M241" s="62" t="n">
        <x:f>G241-H241-I241-J241-L241</x:f>
        <x:v>-27.079134121328238</x:v>
      </x:c>
      <x:c r="N241" s="62" t="n">
        <x:f>MAX(0,M241*'17_Gia_dinh_mo_hinh'!$S$7)</x:f>
        <x:v>0</x:v>
      </x:c>
      <x:c r="O241" s="62" t="n">
        <x:f>M241-N241</x:f>
        <x:v>-27.079134121328238</x:v>
      </x:c>
      <x:c r="P241" s="62" t="n">
        <x:f>F241-K241-I241-J241-N241-L241</x:f>
        <x:v>-27.079134121328238</x:v>
      </x:c>
      <x:c r="Q241" s="62" t="n">
        <x:f>MIN(MAX(0,-(T240+P241)),MAX(0,'17_Gia_dinh_mo_hinh'!$R$7-S240))</x:f>
        <x:v>27.079134121328238</x:v>
      </x:c>
      <x:c r="R241" s="62" t="n">
        <x:f>MIN(MAX(0,T240+P241+Q241),S240+Q241)</x:f>
        <x:v>0</x:v>
      </x:c>
      <x:c r="S241" s="62" t="n">
        <x:f>S240+Q241-R241</x:f>
        <x:v>3447.6013389206846</x:v>
      </x:c>
      <x:c r="T241" s="62" t="n">
        <x:f>MAX(0,T240+P241+Q241-R241)</x:f>
        <x:v>0</x:v>
      </x:c>
      <x:c r="U241" s="62" t="n">
        <x:f>MAX(0,-(T240+P241)-MAX(0,'17_Gia_dinh_mo_hinh'!$R$7-S240))</x:f>
        <x:v>0</x:v>
      </x:c>
      <x:c r="V241" s="61" t="str">
        <x:f>IF(B241&lt;'17_Gia_dinh_mo_hinh'!$F$7+D241,"Trước mở bán",IF(B241&lt;'17_Gia_dinh_mo_hinh'!$H$7+D241,"Bán hàng/thi công",IF(G241&gt;0,"Ghi nhận/bàn giao","Hậu bàn giao")))</x:f>
        <x:v>Hậu bàn giao</x:v>
      </x:c>
    </x:row>
    <x:row r="242">
      <x:c r="A242" s="54" t="str">
        <x:v>DA04</x:v>
      </x:c>
      <x:c r="B242" s="54" t="n">
        <x:v>59</x:v>
      </x:c>
      <x:c r="C242" s="60" t="n">
        <x:f>EDATE('17_Gia_dinh_mo_hinh'!$C$7,B242-1)</x:f>
        <x:v>48000</x:v>
      </x:c>
      <x:c r="D242" s="61" t="n">
        <x:f>ROUNDUP('17_Gia_dinh_mo_hinh'!$E$7/30,0)</x:f>
        <x:v>0</x:v>
      </x:c>
      <x:c r="E242" s="62" t="n">
        <x:f>IF(AND(B242&gt;='17_Gia_dinh_mo_hinh'!$F$7+D242,B242&lt;'17_Gia_dinh_mo_hinh'!$F$7+D242+'17_Gia_dinh_mo_hinh'!$G$7),'17_Gia_dinh_mo_hinh'!$L$7*(1-'17_Gia_dinh_mo_hinh'!$M$7)/'17_Gia_dinh_mo_hinh'!$G$7,0)</x:f>
        <x:v>0</x:v>
      </x:c>
      <x:c r="F242" s="62" t="n">
        <x:f>0.70*E242+0.30*E241</x:f>
        <x:v>0</x:v>
      </x:c>
      <x:c r="G242" s="62" t="n">
        <x:f>IF(AND(B242&gt;='17_Gia_dinh_mo_hinh'!$H$7+D242,B242&lt;'17_Gia_dinh_mo_hinh'!$H$7+D242+'17_Gia_dinh_mo_hinh'!$I$7),'17_Gia_dinh_mo_hinh'!$L$7*(1-'17_Gia_dinh_mo_hinh'!$M$7)/'17_Gia_dinh_mo_hinh'!$I$7,0)</x:f>
        <x:v>0</x:v>
      </x:c>
      <x:c r="H242" s="62" t="n">
        <x:f>G242*(1-'17_Gia_dinh_mo_hinh'!$N$7)</x:f>
        <x:v>0</x:v>
      </x:c>
      <x:c r="I242" s="62" t="n">
        <x:f>G242*'17_Gia_dinh_mo_hinh'!$O$7</x:f>
        <x:v>0</x:v>
      </x:c>
      <x:c r="J242" s="62" t="n">
        <x:f>G242*'17_Gia_dinh_mo_hinh'!$P$7</x:f>
        <x:v>0</x:v>
      </x:c>
      <x:c r="K242" s="62" t="n">
        <x:f>IF(B242&lt;='17_Gia_dinh_mo_hinh'!$J$7,'17_Gia_dinh_mo_hinh'!$K$7*(1-MIN(0.95,'17_Gia_dinh_mo_hinh'!$M$7*0.75))/'17_Gia_dinh_mo_hinh'!$J$7,0)</x:f>
        <x:v>0</x:v>
      </x:c>
      <x:c r="L242" s="62" t="n">
        <x:f>S241*'17_Gia_dinh_mo_hinh'!$Q$7/12</x:f>
        <x:v>27.293510599788757</x:v>
      </x:c>
      <x:c r="M242" s="62" t="n">
        <x:f>G242-H242-I242-J242-L242</x:f>
        <x:v>-27.293510599788757</x:v>
      </x:c>
      <x:c r="N242" s="62" t="n">
        <x:f>MAX(0,M242*'17_Gia_dinh_mo_hinh'!$S$7)</x:f>
        <x:v>0</x:v>
      </x:c>
      <x:c r="O242" s="62" t="n">
        <x:f>M242-N242</x:f>
        <x:v>-27.293510599788757</x:v>
      </x:c>
      <x:c r="P242" s="62" t="n">
        <x:f>F242-K242-I242-J242-N242-L242</x:f>
        <x:v>-27.293510599788757</x:v>
      </x:c>
      <x:c r="Q242" s="62" t="n">
        <x:f>MIN(MAX(0,-(T241+P242)),MAX(0,'17_Gia_dinh_mo_hinh'!$R$7-S241))</x:f>
        <x:v>27.293510599788757</x:v>
      </x:c>
      <x:c r="R242" s="62" t="n">
        <x:f>MIN(MAX(0,T241+P242+Q242),S241+Q242)</x:f>
        <x:v>0</x:v>
      </x:c>
      <x:c r="S242" s="62" t="n">
        <x:f>S241+Q242-R242</x:f>
        <x:v>3474.894849520473</x:v>
      </x:c>
      <x:c r="T242" s="62" t="n">
        <x:f>MAX(0,T241+P242+Q242-R242)</x:f>
        <x:v>0</x:v>
      </x:c>
      <x:c r="U242" s="62" t="n">
        <x:f>MAX(0,-(T241+P242)-MAX(0,'17_Gia_dinh_mo_hinh'!$R$7-S241))</x:f>
        <x:v>0</x:v>
      </x:c>
      <x:c r="V242" s="61" t="str">
        <x:f>IF(B242&lt;'17_Gia_dinh_mo_hinh'!$F$7+D242,"Trước mở bán",IF(B242&lt;'17_Gia_dinh_mo_hinh'!$H$7+D242,"Bán hàng/thi công",IF(G242&gt;0,"Ghi nhận/bàn giao","Hậu bàn giao")))</x:f>
        <x:v>Hậu bàn giao</x:v>
      </x:c>
    </x:row>
    <x:row r="243">
      <x:c r="A243" s="54" t="str">
        <x:v>DA04</x:v>
      </x:c>
      <x:c r="B243" s="54" t="n">
        <x:v>60</x:v>
      </x:c>
      <x:c r="C243" s="60" t="n">
        <x:f>EDATE('17_Gia_dinh_mo_hinh'!$C$7,B243-1)</x:f>
        <x:v>48030</x:v>
      </x:c>
      <x:c r="D243" s="61" t="n">
        <x:f>ROUNDUP('17_Gia_dinh_mo_hinh'!$E$7/30,0)</x:f>
        <x:v>0</x:v>
      </x:c>
      <x:c r="E243" s="62" t="n">
        <x:f>IF(AND(B243&gt;='17_Gia_dinh_mo_hinh'!$F$7+D243,B243&lt;'17_Gia_dinh_mo_hinh'!$F$7+D243+'17_Gia_dinh_mo_hinh'!$G$7),'17_Gia_dinh_mo_hinh'!$L$7*(1-'17_Gia_dinh_mo_hinh'!$M$7)/'17_Gia_dinh_mo_hinh'!$G$7,0)</x:f>
        <x:v>0</x:v>
      </x:c>
      <x:c r="F243" s="62" t="n">
        <x:f>0.70*E243+0.30*E242</x:f>
        <x:v>0</x:v>
      </x:c>
      <x:c r="G243" s="62" t="n">
        <x:f>IF(AND(B243&gt;='17_Gia_dinh_mo_hinh'!$H$7+D243,B243&lt;'17_Gia_dinh_mo_hinh'!$H$7+D243+'17_Gia_dinh_mo_hinh'!$I$7),'17_Gia_dinh_mo_hinh'!$L$7*(1-'17_Gia_dinh_mo_hinh'!$M$7)/'17_Gia_dinh_mo_hinh'!$I$7,0)</x:f>
        <x:v>0</x:v>
      </x:c>
      <x:c r="H243" s="62" t="n">
        <x:f>G243*(1-'17_Gia_dinh_mo_hinh'!$N$7)</x:f>
        <x:v>0</x:v>
      </x:c>
      <x:c r="I243" s="62" t="n">
        <x:f>G243*'17_Gia_dinh_mo_hinh'!$O$7</x:f>
        <x:v>0</x:v>
      </x:c>
      <x:c r="J243" s="62" t="n">
        <x:f>G243*'17_Gia_dinh_mo_hinh'!$P$7</x:f>
        <x:v>0</x:v>
      </x:c>
      <x:c r="K243" s="62" t="n">
        <x:f>IF(B243&lt;='17_Gia_dinh_mo_hinh'!$J$7,'17_Gia_dinh_mo_hinh'!$K$7*(1-MIN(0.95,'17_Gia_dinh_mo_hinh'!$M$7*0.75))/'17_Gia_dinh_mo_hinh'!$J$7,0)</x:f>
        <x:v>0</x:v>
      </x:c>
      <x:c r="L243" s="62" t="n">
        <x:f>S242*'17_Gia_dinh_mo_hinh'!$Q$7/12</x:f>
        <x:v>27.509584225370414</x:v>
      </x:c>
      <x:c r="M243" s="62" t="n">
        <x:f>G243-H243-I243-J243-L243</x:f>
        <x:v>-27.509584225370414</x:v>
      </x:c>
      <x:c r="N243" s="62" t="n">
        <x:f>MAX(0,M243*'17_Gia_dinh_mo_hinh'!$S$7)</x:f>
        <x:v>0</x:v>
      </x:c>
      <x:c r="O243" s="62" t="n">
        <x:f>M243-N243</x:f>
        <x:v>-27.509584225370414</x:v>
      </x:c>
      <x:c r="P243" s="62" t="n">
        <x:f>F243-K243-I243-J243-N243-L243</x:f>
        <x:v>-27.509584225370414</x:v>
      </x:c>
      <x:c r="Q243" s="62" t="n">
        <x:f>MIN(MAX(0,-(T242+P243)),MAX(0,'17_Gia_dinh_mo_hinh'!$R$7-S242))</x:f>
        <x:v>27.509584225370414</x:v>
      </x:c>
      <x:c r="R243" s="62" t="n">
        <x:f>MIN(MAX(0,T242+P243+Q243),S242+Q243)</x:f>
        <x:v>0</x:v>
      </x:c>
      <x:c r="S243" s="62" t="n">
        <x:f>S242+Q243-R243</x:f>
        <x:v>3502.4044337458436</x:v>
      </x:c>
      <x:c r="T243" s="62" t="n">
        <x:f>MAX(0,T242+P243+Q243-R243)</x:f>
        <x:v>0</x:v>
      </x:c>
      <x:c r="U243" s="62" t="n">
        <x:f>MAX(0,-(T242+P243)-MAX(0,'17_Gia_dinh_mo_hinh'!$R$7-S242))</x:f>
        <x:v>0</x:v>
      </x:c>
      <x:c r="V243" s="61" t="str">
        <x:f>IF(B243&lt;'17_Gia_dinh_mo_hinh'!$F$7+D243,"Trước mở bán",IF(B243&lt;'17_Gia_dinh_mo_hinh'!$H$7+D243,"Bán hàng/thi công",IF(G243&gt;0,"Ghi nhận/bàn giao","Hậu bàn giao")))</x:f>
        <x:v>Hậu bàn giao</x:v>
      </x:c>
    </x:row>
    <x:row r="244">
      <x:c r="A244" s="54" t="str">
        <x:v>DA05</x:v>
      </x:c>
      <x:c r="B244" s="54" t="n">
        <x:v>1</x:v>
      </x:c>
      <x:c r="C244" s="60" t="n">
        <x:f>EDATE('17_Gia_dinh_mo_hinh'!$C$8,B244-1)</x:f>
        <x:v>46235</x:v>
      </x:c>
      <x:c r="D244" s="61" t="n">
        <x:f>ROUNDUP('17_Gia_dinh_mo_hinh'!$E$8/30,0)</x:f>
        <x:v>0</x:v>
      </x:c>
      <x:c r="E244" s="62" t="n">
        <x:f>IF(AND(B244&gt;='17_Gia_dinh_mo_hinh'!$F$8+D244,B244&lt;'17_Gia_dinh_mo_hinh'!$F$8+D244+'17_Gia_dinh_mo_hinh'!$G$8),'17_Gia_dinh_mo_hinh'!$L$8*(1-'17_Gia_dinh_mo_hinh'!$M$8)/'17_Gia_dinh_mo_hinh'!$G$8,0)</x:f>
        <x:v>70.49999999999997</x:v>
      </x:c>
      <x:c r="F244" s="62" t="n">
        <x:f>0.70*E244+0.30*0</x:f>
        <x:v>49.34999999999998</x:v>
      </x:c>
      <x:c r="G244" s="62" t="n">
        <x:f>IF(AND(B244&gt;='17_Gia_dinh_mo_hinh'!$H$8+D244,B244&lt;'17_Gia_dinh_mo_hinh'!$H$8+D244+'17_Gia_dinh_mo_hinh'!$I$8),'17_Gia_dinh_mo_hinh'!$L$8*(1-'17_Gia_dinh_mo_hinh'!$M$8)/'17_Gia_dinh_mo_hinh'!$I$8,0)</x:f>
        <x:v>70.49999999999997</x:v>
      </x:c>
      <x:c r="H244" s="62" t="n">
        <x:f>G244*(1-'17_Gia_dinh_mo_hinh'!$N$8)</x:f>
        <x:v>50.05499999999998</x:v>
      </x:c>
      <x:c r="I244" s="62" t="n">
        <x:f>G244*'17_Gia_dinh_mo_hinh'!$O$8</x:f>
        <x:v>1.7624999999999993</x:v>
      </x:c>
      <x:c r="J244" s="62" t="n">
        <x:f>G244*'17_Gia_dinh_mo_hinh'!$P$8</x:f>
        <x:v>1.2689999999999995</x:v>
      </x:c>
      <x:c r="K244" s="62" t="n">
        <x:f>IF(B244&lt;='17_Gia_dinh_mo_hinh'!$J$8,'17_Gia_dinh_mo_hinh'!$K$8*(1-MIN(0.95,'17_Gia_dinh_mo_hinh'!$M$8*0.75))/'17_Gia_dinh_mo_hinh'!$J$8,0)</x:f>
        <x:v>328.0833333333333</x:v>
      </x:c>
      <x:c r="L244" s="62" t="n">
        <x:f>'17_Gia_dinh_mo_hinh'!$U$8*'17_Gia_dinh_mo_hinh'!$Q$8/12</x:f>
        <x:v>17.669999999999998</x:v>
      </x:c>
      <x:c r="M244" s="62" t="n">
        <x:f>G244-H244-I244-J244-L244</x:f>
        <x:v>-0.2565000000000026</x:v>
      </x:c>
      <x:c r="N244" s="62" t="n">
        <x:f>MAX(0,M244*'17_Gia_dinh_mo_hinh'!$S$8)</x:f>
        <x:v>0</x:v>
      </x:c>
      <x:c r="O244" s="62" t="n">
        <x:f>M244-N244</x:f>
        <x:v>-0.2565000000000026</x:v>
      </x:c>
      <x:c r="P244" s="62" t="n">
        <x:f>F244-K244-I244-J244-N244-L244</x:f>
        <x:v>-299.43483333333336</x:v>
      </x:c>
      <x:c r="Q244" s="62" t="n">
        <x:f>MIN(MAX(0,-('17_Gia_dinh_mo_hinh'!$T$8+P244)),MAX(0,'17_Gia_dinh_mo_hinh'!$R$8-'17_Gia_dinh_mo_hinh'!$U$8))</x:f>
        <x:v>39.43483333333336</x:v>
      </x:c>
      <x:c r="R244" s="62" t="n">
        <x:f>MIN(MAX(0,'17_Gia_dinh_mo_hinh'!$T$8+P244+Q244),'17_Gia_dinh_mo_hinh'!$U$8+Q244)</x:f>
        <x:v>0</x:v>
      </x:c>
      <x:c r="S244" s="62" t="n">
        <x:f>'17_Gia_dinh_mo_hinh'!$U$8+Q244-R244</x:f>
        <x:v>2271.4348333333332</x:v>
      </x:c>
      <x:c r="T244" s="62" t="n">
        <x:f>MAX(0,'17_Gia_dinh_mo_hinh'!$T$8+P244+Q244-R244)</x:f>
        <x:v>0</x:v>
      </x:c>
      <x:c r="U244" s="62" t="n">
        <x:f>MAX(0,-('17_Gia_dinh_mo_hinh'!$T$8+P244)-MAX(0,'17_Gia_dinh_mo_hinh'!$R$8-'17_Gia_dinh_mo_hinh'!$U$8))</x:f>
        <x:v>0</x:v>
      </x:c>
      <x:c r="V244" s="61" t="str">
        <x:f>IF(B244&lt;'17_Gia_dinh_mo_hinh'!$F$8+D244,"Trước mở bán",IF(B244&lt;'17_Gia_dinh_mo_hinh'!$H$8+D244,"Bán hàng/thi công",IF(G244&gt;0,"Ghi nhận/bàn giao","Hậu bàn giao")))</x:f>
        <x:v>Ghi nhận/bàn giao</x:v>
      </x:c>
    </x:row>
    <x:row r="245">
      <x:c r="A245" s="54" t="str">
        <x:v>DA05</x:v>
      </x:c>
      <x:c r="B245" s="54" t="n">
        <x:v>2</x:v>
      </x:c>
      <x:c r="C245" s="60" t="n">
        <x:f>EDATE('17_Gia_dinh_mo_hinh'!$C$8,B245-1)</x:f>
        <x:v>46266</x:v>
      </x:c>
      <x:c r="D245" s="61" t="n">
        <x:f>ROUNDUP('17_Gia_dinh_mo_hinh'!$E$8/30,0)</x:f>
        <x:v>0</x:v>
      </x:c>
      <x:c r="E245" s="62" t="n">
        <x:f>IF(AND(B245&gt;='17_Gia_dinh_mo_hinh'!$F$8+D245,B245&lt;'17_Gia_dinh_mo_hinh'!$F$8+D245+'17_Gia_dinh_mo_hinh'!$G$8),'17_Gia_dinh_mo_hinh'!$L$8*(1-'17_Gia_dinh_mo_hinh'!$M$8)/'17_Gia_dinh_mo_hinh'!$G$8,0)</x:f>
        <x:v>70.49999999999997</x:v>
      </x:c>
      <x:c r="F245" s="62" t="n">
        <x:f>0.70*E245+0.30*E244</x:f>
        <x:v>70.49999999999997</x:v>
      </x:c>
      <x:c r="G245" s="62" t="n">
        <x:f>IF(AND(B245&gt;='17_Gia_dinh_mo_hinh'!$H$8+D245,B245&lt;'17_Gia_dinh_mo_hinh'!$H$8+D245+'17_Gia_dinh_mo_hinh'!$I$8),'17_Gia_dinh_mo_hinh'!$L$8*(1-'17_Gia_dinh_mo_hinh'!$M$8)/'17_Gia_dinh_mo_hinh'!$I$8,0)</x:f>
        <x:v>70.49999999999997</x:v>
      </x:c>
      <x:c r="H245" s="62" t="n">
        <x:f>G245*(1-'17_Gia_dinh_mo_hinh'!$N$8)</x:f>
        <x:v>50.05499999999998</x:v>
      </x:c>
      <x:c r="I245" s="62" t="n">
        <x:f>G245*'17_Gia_dinh_mo_hinh'!$O$8</x:f>
        <x:v>1.7624999999999993</x:v>
      </x:c>
      <x:c r="J245" s="62" t="n">
        <x:f>G245*'17_Gia_dinh_mo_hinh'!$P$8</x:f>
        <x:v>1.2689999999999995</x:v>
      </x:c>
      <x:c r="K245" s="62" t="n">
        <x:f>IF(B245&lt;='17_Gia_dinh_mo_hinh'!$J$8,'17_Gia_dinh_mo_hinh'!$K$8*(1-MIN(0.95,'17_Gia_dinh_mo_hinh'!$M$8*0.75))/'17_Gia_dinh_mo_hinh'!$J$8,0)</x:f>
        <x:v>328.0833333333333</x:v>
      </x:c>
      <x:c r="L245" s="62" t="n">
        <x:f>S244*'17_Gia_dinh_mo_hinh'!$Q$8/12</x:f>
        <x:v>17.982192430555553</x:v>
      </x:c>
      <x:c r="M245" s="62" t="n">
        <x:f>G245-H245-I245-J245-L245</x:f>
        <x:v>-0.5686924305555578</x:v>
      </x:c>
      <x:c r="N245" s="62" t="n">
        <x:f>MAX(0,M245*'17_Gia_dinh_mo_hinh'!$S$8)</x:f>
        <x:v>0</x:v>
      </x:c>
      <x:c r="O245" s="62" t="n">
        <x:f>M245-N245</x:f>
        <x:v>-0.5686924305555578</x:v>
      </x:c>
      <x:c r="P245" s="62" t="n">
        <x:f>F245-K245-I245-J245-N245-L245</x:f>
        <x:v>-278.5970257638889</x:v>
      </x:c>
      <x:c r="Q245" s="62" t="n">
        <x:f>MIN(MAX(0,-(T244+P245)),MAX(0,'17_Gia_dinh_mo_hinh'!$R$8-S244))</x:f>
        <x:v>278.5970257638889</x:v>
      </x:c>
      <x:c r="R245" s="62" t="n">
        <x:f>MIN(MAX(0,T244+P245+Q245),S244+Q245)</x:f>
        <x:v>0</x:v>
      </x:c>
      <x:c r="S245" s="62" t="n">
        <x:f>S244+Q245-R245</x:f>
        <x:v>2550.031859097222</x:v>
      </x:c>
      <x:c r="T245" s="62" t="n">
        <x:f>MAX(0,T244+P245+Q245-R245)</x:f>
        <x:v>0</x:v>
      </x:c>
      <x:c r="U245" s="62" t="n">
        <x:f>MAX(0,-(T244+P245)-MAX(0,'17_Gia_dinh_mo_hinh'!$R$8-S244))</x:f>
        <x:v>0</x:v>
      </x:c>
      <x:c r="V245" s="61" t="str">
        <x:f>IF(B245&lt;'17_Gia_dinh_mo_hinh'!$F$8+D245,"Trước mở bán",IF(B245&lt;'17_Gia_dinh_mo_hinh'!$H$8+D245,"Bán hàng/thi công",IF(G245&gt;0,"Ghi nhận/bàn giao","Hậu bàn giao")))</x:f>
        <x:v>Ghi nhận/bàn giao</x:v>
      </x:c>
    </x:row>
    <x:row r="246">
      <x:c r="A246" s="54" t="str">
        <x:v>DA05</x:v>
      </x:c>
      <x:c r="B246" s="54" t="n">
        <x:v>3</x:v>
      </x:c>
      <x:c r="C246" s="60" t="n">
        <x:f>EDATE('17_Gia_dinh_mo_hinh'!$C$8,B246-1)</x:f>
        <x:v>46296</x:v>
      </x:c>
      <x:c r="D246" s="61" t="n">
        <x:f>ROUNDUP('17_Gia_dinh_mo_hinh'!$E$8/30,0)</x:f>
        <x:v>0</x:v>
      </x:c>
      <x:c r="E246" s="62" t="n">
        <x:f>IF(AND(B246&gt;='17_Gia_dinh_mo_hinh'!$F$8+D246,B246&lt;'17_Gia_dinh_mo_hinh'!$F$8+D246+'17_Gia_dinh_mo_hinh'!$G$8),'17_Gia_dinh_mo_hinh'!$L$8*(1-'17_Gia_dinh_mo_hinh'!$M$8)/'17_Gia_dinh_mo_hinh'!$G$8,0)</x:f>
        <x:v>70.49999999999997</x:v>
      </x:c>
      <x:c r="F246" s="62" t="n">
        <x:f>0.70*E246+0.30*E245</x:f>
        <x:v>70.49999999999997</x:v>
      </x:c>
      <x:c r="G246" s="62" t="n">
        <x:f>IF(AND(B246&gt;='17_Gia_dinh_mo_hinh'!$H$8+D246,B246&lt;'17_Gia_dinh_mo_hinh'!$H$8+D246+'17_Gia_dinh_mo_hinh'!$I$8),'17_Gia_dinh_mo_hinh'!$L$8*(1-'17_Gia_dinh_mo_hinh'!$M$8)/'17_Gia_dinh_mo_hinh'!$I$8,0)</x:f>
        <x:v>70.49999999999997</x:v>
      </x:c>
      <x:c r="H246" s="62" t="n">
        <x:f>G246*(1-'17_Gia_dinh_mo_hinh'!$N$8)</x:f>
        <x:v>50.05499999999998</x:v>
      </x:c>
      <x:c r="I246" s="62" t="n">
        <x:f>G246*'17_Gia_dinh_mo_hinh'!$O$8</x:f>
        <x:v>1.7624999999999993</x:v>
      </x:c>
      <x:c r="J246" s="62" t="n">
        <x:f>G246*'17_Gia_dinh_mo_hinh'!$P$8</x:f>
        <x:v>1.2689999999999995</x:v>
      </x:c>
      <x:c r="K246" s="62" t="n">
        <x:f>IF(B246&lt;='17_Gia_dinh_mo_hinh'!$J$8,'17_Gia_dinh_mo_hinh'!$K$8*(1-MIN(0.95,'17_Gia_dinh_mo_hinh'!$M$8*0.75))/'17_Gia_dinh_mo_hinh'!$J$8,0)</x:f>
        <x:v>328.0833333333333</x:v>
      </x:c>
      <x:c r="L246" s="62" t="n">
        <x:f>S245*'17_Gia_dinh_mo_hinh'!$Q$8/12</x:f>
        <x:v>20.187752217853006</x:v>
      </x:c>
      <x:c r="M246" s="62" t="n">
        <x:f>G246-H246-I246-J246-L246</x:f>
        <x:v>-2.774252217853011</x:v>
      </x:c>
      <x:c r="N246" s="62" t="n">
        <x:f>MAX(0,M246*'17_Gia_dinh_mo_hinh'!$S$8)</x:f>
        <x:v>0</x:v>
      </x:c>
      <x:c r="O246" s="62" t="n">
        <x:f>M246-N246</x:f>
        <x:v>-2.774252217853011</x:v>
      </x:c>
      <x:c r="P246" s="62" t="n">
        <x:f>F246-K246-I246-J246-N246-L246</x:f>
        <x:v>-280.8025855511864</x:v>
      </x:c>
      <x:c r="Q246" s="62" t="n">
        <x:f>MIN(MAX(0,-(T245+P246)),MAX(0,'17_Gia_dinh_mo_hinh'!$R$8-S245))</x:f>
        <x:v>239.96814090277803</x:v>
      </x:c>
      <x:c r="R246" s="62" t="n">
        <x:f>MIN(MAX(0,T245+P246+Q246),S245+Q246)</x:f>
        <x:v>0</x:v>
      </x:c>
      <x:c r="S246" s="62" t="n">
        <x:f>S245+Q246-R246</x:f>
        <x:v>2790</x:v>
      </x:c>
      <x:c r="T246" s="62" t="n">
        <x:f>MAX(0,T245+P246+Q246-R246)</x:f>
        <x:v>0</x:v>
      </x:c>
      <x:c r="U246" s="62" t="n">
        <x:f>MAX(0,-(T245+P246)-MAX(0,'17_Gia_dinh_mo_hinh'!$R$8-S245))</x:f>
        <x:v>40.83444464840835</x:v>
      </x:c>
      <x:c r="V246" s="61" t="str">
        <x:f>IF(B246&lt;'17_Gia_dinh_mo_hinh'!$F$8+D246,"Trước mở bán",IF(B246&lt;'17_Gia_dinh_mo_hinh'!$H$8+D246,"Bán hàng/thi công",IF(G246&gt;0,"Ghi nhận/bàn giao","Hậu bàn giao")))</x:f>
        <x:v>Ghi nhận/bàn giao</x:v>
      </x:c>
    </x:row>
    <x:row r="247">
      <x:c r="A247" s="54" t="str">
        <x:v>DA05</x:v>
      </x:c>
      <x:c r="B247" s="54" t="n">
        <x:v>4</x:v>
      </x:c>
      <x:c r="C247" s="60" t="n">
        <x:f>EDATE('17_Gia_dinh_mo_hinh'!$C$8,B247-1)</x:f>
        <x:v>46327</x:v>
      </x:c>
      <x:c r="D247" s="61" t="n">
        <x:f>ROUNDUP('17_Gia_dinh_mo_hinh'!$E$8/30,0)</x:f>
        <x:v>0</x:v>
      </x:c>
      <x:c r="E247" s="62" t="n">
        <x:f>IF(AND(B247&gt;='17_Gia_dinh_mo_hinh'!$F$8+D247,B247&lt;'17_Gia_dinh_mo_hinh'!$F$8+D247+'17_Gia_dinh_mo_hinh'!$G$8),'17_Gia_dinh_mo_hinh'!$L$8*(1-'17_Gia_dinh_mo_hinh'!$M$8)/'17_Gia_dinh_mo_hinh'!$G$8,0)</x:f>
        <x:v>70.49999999999997</x:v>
      </x:c>
      <x:c r="F247" s="62" t="n">
        <x:f>0.70*E247+0.30*E246</x:f>
        <x:v>70.49999999999997</x:v>
      </x:c>
      <x:c r="G247" s="62" t="n">
        <x:f>IF(AND(B247&gt;='17_Gia_dinh_mo_hinh'!$H$8+D247,B247&lt;'17_Gia_dinh_mo_hinh'!$H$8+D247+'17_Gia_dinh_mo_hinh'!$I$8),'17_Gia_dinh_mo_hinh'!$L$8*(1-'17_Gia_dinh_mo_hinh'!$M$8)/'17_Gia_dinh_mo_hinh'!$I$8,0)</x:f>
        <x:v>70.49999999999997</x:v>
      </x:c>
      <x:c r="H247" s="62" t="n">
        <x:f>G247*(1-'17_Gia_dinh_mo_hinh'!$N$8)</x:f>
        <x:v>50.05499999999998</x:v>
      </x:c>
      <x:c r="I247" s="62" t="n">
        <x:f>G247*'17_Gia_dinh_mo_hinh'!$O$8</x:f>
        <x:v>1.7624999999999993</x:v>
      </x:c>
      <x:c r="J247" s="62" t="n">
        <x:f>G247*'17_Gia_dinh_mo_hinh'!$P$8</x:f>
        <x:v>1.2689999999999995</x:v>
      </x:c>
      <x:c r="K247" s="62" t="n">
        <x:f>IF(B247&lt;='17_Gia_dinh_mo_hinh'!$J$8,'17_Gia_dinh_mo_hinh'!$K$8*(1-MIN(0.95,'17_Gia_dinh_mo_hinh'!$M$8*0.75))/'17_Gia_dinh_mo_hinh'!$J$8,0)</x:f>
        <x:v>328.0833333333333</x:v>
      </x:c>
      <x:c r="L247" s="62" t="n">
        <x:f>S246*'17_Gia_dinh_mo_hinh'!$Q$8/12</x:f>
        <x:v>22.087500000000002</x:v>
      </x:c>
      <x:c r="M247" s="62" t="n">
        <x:f>G247-H247-I247-J247-L247</x:f>
        <x:v>-4.674000000000007</x:v>
      </x:c>
      <x:c r="N247" s="62" t="n">
        <x:f>MAX(0,M247*'17_Gia_dinh_mo_hinh'!$S$8)</x:f>
        <x:v>0</x:v>
      </x:c>
      <x:c r="O247" s="62" t="n">
        <x:f>M247-N247</x:f>
        <x:v>-4.674000000000007</x:v>
      </x:c>
      <x:c r="P247" s="62" t="n">
        <x:f>F247-K247-I247-J247-N247-L247</x:f>
        <x:v>-282.70233333333334</x:v>
      </x:c>
      <x:c r="Q247" s="62" t="n">
        <x:f>MIN(MAX(0,-(T246+P247)),MAX(0,'17_Gia_dinh_mo_hinh'!$R$8-S246))</x:f>
        <x:v>0</x:v>
      </x:c>
      <x:c r="R247" s="62" t="n">
        <x:f>MIN(MAX(0,T246+P247+Q247),S246+Q247)</x:f>
        <x:v>0</x:v>
      </x:c>
      <x:c r="S247" s="62" t="n">
        <x:f>S246+Q247-R247</x:f>
        <x:v>2790</x:v>
      </x:c>
      <x:c r="T247" s="62" t="n">
        <x:f>MAX(0,T246+P247+Q247-R247)</x:f>
        <x:v>0</x:v>
      </x:c>
      <x:c r="U247" s="62" t="n">
        <x:f>MAX(0,-(T246+P247)-MAX(0,'17_Gia_dinh_mo_hinh'!$R$8-S246))</x:f>
        <x:v>282.70233333333334</x:v>
      </x:c>
      <x:c r="V247" s="61" t="str">
        <x:f>IF(B247&lt;'17_Gia_dinh_mo_hinh'!$F$8+D247,"Trước mở bán",IF(B247&lt;'17_Gia_dinh_mo_hinh'!$H$8+D247,"Bán hàng/thi công",IF(G247&gt;0,"Ghi nhận/bàn giao","Hậu bàn giao")))</x:f>
        <x:v>Ghi nhận/bàn giao</x:v>
      </x:c>
    </x:row>
    <x:row r="248">
      <x:c r="A248" s="54" t="str">
        <x:v>DA05</x:v>
      </x:c>
      <x:c r="B248" s="54" t="n">
        <x:v>5</x:v>
      </x:c>
      <x:c r="C248" s="60" t="n">
        <x:f>EDATE('17_Gia_dinh_mo_hinh'!$C$8,B248-1)</x:f>
        <x:v>46357</x:v>
      </x:c>
      <x:c r="D248" s="61" t="n">
        <x:f>ROUNDUP('17_Gia_dinh_mo_hinh'!$E$8/30,0)</x:f>
        <x:v>0</x:v>
      </x:c>
      <x:c r="E248" s="62" t="n">
        <x:f>IF(AND(B248&gt;='17_Gia_dinh_mo_hinh'!$F$8+D248,B248&lt;'17_Gia_dinh_mo_hinh'!$F$8+D248+'17_Gia_dinh_mo_hinh'!$G$8),'17_Gia_dinh_mo_hinh'!$L$8*(1-'17_Gia_dinh_mo_hinh'!$M$8)/'17_Gia_dinh_mo_hinh'!$G$8,0)</x:f>
        <x:v>70.49999999999997</x:v>
      </x:c>
      <x:c r="F248" s="62" t="n">
        <x:f>0.70*E248+0.30*E247</x:f>
        <x:v>70.49999999999997</x:v>
      </x:c>
      <x:c r="G248" s="62" t="n">
        <x:f>IF(AND(B248&gt;='17_Gia_dinh_mo_hinh'!$H$8+D248,B248&lt;'17_Gia_dinh_mo_hinh'!$H$8+D248+'17_Gia_dinh_mo_hinh'!$I$8),'17_Gia_dinh_mo_hinh'!$L$8*(1-'17_Gia_dinh_mo_hinh'!$M$8)/'17_Gia_dinh_mo_hinh'!$I$8,0)</x:f>
        <x:v>70.49999999999997</x:v>
      </x:c>
      <x:c r="H248" s="62" t="n">
        <x:f>G248*(1-'17_Gia_dinh_mo_hinh'!$N$8)</x:f>
        <x:v>50.05499999999998</x:v>
      </x:c>
      <x:c r="I248" s="62" t="n">
        <x:f>G248*'17_Gia_dinh_mo_hinh'!$O$8</x:f>
        <x:v>1.7624999999999993</x:v>
      </x:c>
      <x:c r="J248" s="62" t="n">
        <x:f>G248*'17_Gia_dinh_mo_hinh'!$P$8</x:f>
        <x:v>1.2689999999999995</x:v>
      </x:c>
      <x:c r="K248" s="62" t="n">
        <x:f>IF(B248&lt;='17_Gia_dinh_mo_hinh'!$J$8,'17_Gia_dinh_mo_hinh'!$K$8*(1-MIN(0.95,'17_Gia_dinh_mo_hinh'!$M$8*0.75))/'17_Gia_dinh_mo_hinh'!$J$8,0)</x:f>
        <x:v>328.0833333333333</x:v>
      </x:c>
      <x:c r="L248" s="62" t="n">
        <x:f>S247*'17_Gia_dinh_mo_hinh'!$Q$8/12</x:f>
        <x:v>22.087500000000002</x:v>
      </x:c>
      <x:c r="M248" s="62" t="n">
        <x:f>G248-H248-I248-J248-L248</x:f>
        <x:v>-4.674000000000007</x:v>
      </x:c>
      <x:c r="N248" s="62" t="n">
        <x:f>MAX(0,M248*'17_Gia_dinh_mo_hinh'!$S$8)</x:f>
        <x:v>0</x:v>
      </x:c>
      <x:c r="O248" s="62" t="n">
        <x:f>M248-N248</x:f>
        <x:v>-4.674000000000007</x:v>
      </x:c>
      <x:c r="P248" s="62" t="n">
        <x:f>F248-K248-I248-J248-N248-L248</x:f>
        <x:v>-282.70233333333334</x:v>
      </x:c>
      <x:c r="Q248" s="62" t="n">
        <x:f>MIN(MAX(0,-(T247+P248)),MAX(0,'17_Gia_dinh_mo_hinh'!$R$8-S247))</x:f>
        <x:v>0</x:v>
      </x:c>
      <x:c r="R248" s="62" t="n">
        <x:f>MIN(MAX(0,T247+P248+Q248),S247+Q248)</x:f>
        <x:v>0</x:v>
      </x:c>
      <x:c r="S248" s="62" t="n">
        <x:f>S247+Q248-R248</x:f>
        <x:v>2790</x:v>
      </x:c>
      <x:c r="T248" s="62" t="n">
        <x:f>MAX(0,T247+P248+Q248-R248)</x:f>
        <x:v>0</x:v>
      </x:c>
      <x:c r="U248" s="62" t="n">
        <x:f>MAX(0,-(T247+P248)-MAX(0,'17_Gia_dinh_mo_hinh'!$R$8-S247))</x:f>
        <x:v>282.70233333333334</x:v>
      </x:c>
      <x:c r="V248" s="61" t="str">
        <x:f>IF(B248&lt;'17_Gia_dinh_mo_hinh'!$F$8+D248,"Trước mở bán",IF(B248&lt;'17_Gia_dinh_mo_hinh'!$H$8+D248,"Bán hàng/thi công",IF(G248&gt;0,"Ghi nhận/bàn giao","Hậu bàn giao")))</x:f>
        <x:v>Ghi nhận/bàn giao</x:v>
      </x:c>
    </x:row>
    <x:row r="249">
      <x:c r="A249" s="54" t="str">
        <x:v>DA05</x:v>
      </x:c>
      <x:c r="B249" s="54" t="n">
        <x:v>6</x:v>
      </x:c>
      <x:c r="C249" s="60" t="n">
        <x:f>EDATE('17_Gia_dinh_mo_hinh'!$C$8,B249-1)</x:f>
        <x:v>46388</x:v>
      </x:c>
      <x:c r="D249" s="61" t="n">
        <x:f>ROUNDUP('17_Gia_dinh_mo_hinh'!$E$8/30,0)</x:f>
        <x:v>0</x:v>
      </x:c>
      <x:c r="E249" s="62" t="n">
        <x:f>IF(AND(B249&gt;='17_Gia_dinh_mo_hinh'!$F$8+D249,B249&lt;'17_Gia_dinh_mo_hinh'!$F$8+D249+'17_Gia_dinh_mo_hinh'!$G$8),'17_Gia_dinh_mo_hinh'!$L$8*(1-'17_Gia_dinh_mo_hinh'!$M$8)/'17_Gia_dinh_mo_hinh'!$G$8,0)</x:f>
        <x:v>70.49999999999997</x:v>
      </x:c>
      <x:c r="F249" s="62" t="n">
        <x:f>0.70*E249+0.30*E248</x:f>
        <x:v>70.49999999999997</x:v>
      </x:c>
      <x:c r="G249" s="62" t="n">
        <x:f>IF(AND(B249&gt;='17_Gia_dinh_mo_hinh'!$H$8+D249,B249&lt;'17_Gia_dinh_mo_hinh'!$H$8+D249+'17_Gia_dinh_mo_hinh'!$I$8),'17_Gia_dinh_mo_hinh'!$L$8*(1-'17_Gia_dinh_mo_hinh'!$M$8)/'17_Gia_dinh_mo_hinh'!$I$8,0)</x:f>
        <x:v>70.49999999999997</x:v>
      </x:c>
      <x:c r="H249" s="62" t="n">
        <x:f>G249*(1-'17_Gia_dinh_mo_hinh'!$N$8)</x:f>
        <x:v>50.05499999999998</x:v>
      </x:c>
      <x:c r="I249" s="62" t="n">
        <x:f>G249*'17_Gia_dinh_mo_hinh'!$O$8</x:f>
        <x:v>1.7624999999999993</x:v>
      </x:c>
      <x:c r="J249" s="62" t="n">
        <x:f>G249*'17_Gia_dinh_mo_hinh'!$P$8</x:f>
        <x:v>1.2689999999999995</x:v>
      </x:c>
      <x:c r="K249" s="62" t="n">
        <x:f>IF(B249&lt;='17_Gia_dinh_mo_hinh'!$J$8,'17_Gia_dinh_mo_hinh'!$K$8*(1-MIN(0.95,'17_Gia_dinh_mo_hinh'!$M$8*0.75))/'17_Gia_dinh_mo_hinh'!$J$8,0)</x:f>
        <x:v>328.0833333333333</x:v>
      </x:c>
      <x:c r="L249" s="62" t="n">
        <x:f>S248*'17_Gia_dinh_mo_hinh'!$Q$8/12</x:f>
        <x:v>22.087500000000002</x:v>
      </x:c>
      <x:c r="M249" s="62" t="n">
        <x:f>G249-H249-I249-J249-L249</x:f>
        <x:v>-4.674000000000007</x:v>
      </x:c>
      <x:c r="N249" s="62" t="n">
        <x:f>MAX(0,M249*'17_Gia_dinh_mo_hinh'!$S$8)</x:f>
        <x:v>0</x:v>
      </x:c>
      <x:c r="O249" s="62" t="n">
        <x:f>M249-N249</x:f>
        <x:v>-4.674000000000007</x:v>
      </x:c>
      <x:c r="P249" s="62" t="n">
        <x:f>F249-K249-I249-J249-N249-L249</x:f>
        <x:v>-282.70233333333334</x:v>
      </x:c>
      <x:c r="Q249" s="62" t="n">
        <x:f>MIN(MAX(0,-(T248+P249)),MAX(0,'17_Gia_dinh_mo_hinh'!$R$8-S248))</x:f>
        <x:v>0</x:v>
      </x:c>
      <x:c r="R249" s="62" t="n">
        <x:f>MIN(MAX(0,T248+P249+Q249),S248+Q249)</x:f>
        <x:v>0</x:v>
      </x:c>
      <x:c r="S249" s="62" t="n">
        <x:f>S248+Q249-R249</x:f>
        <x:v>2790</x:v>
      </x:c>
      <x:c r="T249" s="62" t="n">
        <x:f>MAX(0,T248+P249+Q249-R249)</x:f>
        <x:v>0</x:v>
      </x:c>
      <x:c r="U249" s="62" t="n">
        <x:f>MAX(0,-(T248+P249)-MAX(0,'17_Gia_dinh_mo_hinh'!$R$8-S248))</x:f>
        <x:v>282.70233333333334</x:v>
      </x:c>
      <x:c r="V249" s="61" t="str">
        <x:f>IF(B249&lt;'17_Gia_dinh_mo_hinh'!$F$8+D249,"Trước mở bán",IF(B249&lt;'17_Gia_dinh_mo_hinh'!$H$8+D249,"Bán hàng/thi công",IF(G249&gt;0,"Ghi nhận/bàn giao","Hậu bàn giao")))</x:f>
        <x:v>Ghi nhận/bàn giao</x:v>
      </x:c>
    </x:row>
    <x:row r="250">
      <x:c r="A250" s="54" t="str">
        <x:v>DA05</x:v>
      </x:c>
      <x:c r="B250" s="54" t="n">
        <x:v>7</x:v>
      </x:c>
      <x:c r="C250" s="60" t="n">
        <x:f>EDATE('17_Gia_dinh_mo_hinh'!$C$8,B250-1)</x:f>
        <x:v>46419</x:v>
      </x:c>
      <x:c r="D250" s="61" t="n">
        <x:f>ROUNDUP('17_Gia_dinh_mo_hinh'!$E$8/30,0)</x:f>
        <x:v>0</x:v>
      </x:c>
      <x:c r="E250" s="62" t="n">
        <x:f>IF(AND(B250&gt;='17_Gia_dinh_mo_hinh'!$F$8+D250,B250&lt;'17_Gia_dinh_mo_hinh'!$F$8+D250+'17_Gia_dinh_mo_hinh'!$G$8),'17_Gia_dinh_mo_hinh'!$L$8*(1-'17_Gia_dinh_mo_hinh'!$M$8)/'17_Gia_dinh_mo_hinh'!$G$8,0)</x:f>
        <x:v>70.49999999999997</x:v>
      </x:c>
      <x:c r="F250" s="62" t="n">
        <x:f>0.70*E250+0.30*E249</x:f>
        <x:v>70.49999999999997</x:v>
      </x:c>
      <x:c r="G250" s="62" t="n">
        <x:f>IF(AND(B250&gt;='17_Gia_dinh_mo_hinh'!$H$8+D250,B250&lt;'17_Gia_dinh_mo_hinh'!$H$8+D250+'17_Gia_dinh_mo_hinh'!$I$8),'17_Gia_dinh_mo_hinh'!$L$8*(1-'17_Gia_dinh_mo_hinh'!$M$8)/'17_Gia_dinh_mo_hinh'!$I$8,0)</x:f>
        <x:v>70.49999999999997</x:v>
      </x:c>
      <x:c r="H250" s="62" t="n">
        <x:f>G250*(1-'17_Gia_dinh_mo_hinh'!$N$8)</x:f>
        <x:v>50.05499999999998</x:v>
      </x:c>
      <x:c r="I250" s="62" t="n">
        <x:f>G250*'17_Gia_dinh_mo_hinh'!$O$8</x:f>
        <x:v>1.7624999999999993</x:v>
      </x:c>
      <x:c r="J250" s="62" t="n">
        <x:f>G250*'17_Gia_dinh_mo_hinh'!$P$8</x:f>
        <x:v>1.2689999999999995</x:v>
      </x:c>
      <x:c r="K250" s="62" t="n">
        <x:f>IF(B250&lt;='17_Gia_dinh_mo_hinh'!$J$8,'17_Gia_dinh_mo_hinh'!$K$8*(1-MIN(0.95,'17_Gia_dinh_mo_hinh'!$M$8*0.75))/'17_Gia_dinh_mo_hinh'!$J$8,0)</x:f>
        <x:v>0</x:v>
      </x:c>
      <x:c r="L250" s="62" t="n">
        <x:f>S249*'17_Gia_dinh_mo_hinh'!$Q$8/12</x:f>
        <x:v>22.087500000000002</x:v>
      </x:c>
      <x:c r="M250" s="62" t="n">
        <x:f>G250-H250-I250-J250-L250</x:f>
        <x:v>-4.674000000000007</x:v>
      </x:c>
      <x:c r="N250" s="62" t="n">
        <x:f>MAX(0,M250*'17_Gia_dinh_mo_hinh'!$S$8)</x:f>
        <x:v>0</x:v>
      </x:c>
      <x:c r="O250" s="62" t="n">
        <x:f>M250-N250</x:f>
        <x:v>-4.674000000000007</x:v>
      </x:c>
      <x:c r="P250" s="62" t="n">
        <x:f>F250-K250-I250-J250-N250-L250</x:f>
        <x:v>45.38099999999996</x:v>
      </x:c>
      <x:c r="Q250" s="62" t="n">
        <x:f>MIN(MAX(0,-(T249+P250)),MAX(0,'17_Gia_dinh_mo_hinh'!$R$8-S249))</x:f>
        <x:v>0</x:v>
      </x:c>
      <x:c r="R250" s="62" t="n">
        <x:f>MIN(MAX(0,T249+P250+Q250),S249+Q250)</x:f>
        <x:v>45.38099999999996</x:v>
      </x:c>
      <x:c r="S250" s="62" t="n">
        <x:f>S249+Q250-R250</x:f>
        <x:v>2744.619</x:v>
      </x:c>
      <x:c r="T250" s="62" t="n">
        <x:f>MAX(0,T249+P250+Q250-R250)</x:f>
        <x:v>0</x:v>
      </x:c>
      <x:c r="U250" s="62" t="n">
        <x:f>MAX(0,-(T249+P250)-MAX(0,'17_Gia_dinh_mo_hinh'!$R$8-S249))</x:f>
        <x:v>0</x:v>
      </x:c>
      <x:c r="V250" s="61" t="str">
        <x:f>IF(B250&lt;'17_Gia_dinh_mo_hinh'!$F$8+D250,"Trước mở bán",IF(B250&lt;'17_Gia_dinh_mo_hinh'!$H$8+D250,"Bán hàng/thi công",IF(G250&gt;0,"Ghi nhận/bàn giao","Hậu bàn giao")))</x:f>
        <x:v>Ghi nhận/bàn giao</x:v>
      </x:c>
    </x:row>
    <x:row r="251">
      <x:c r="A251" s="54" t="str">
        <x:v>DA05</x:v>
      </x:c>
      <x:c r="B251" s="54" t="n">
        <x:v>8</x:v>
      </x:c>
      <x:c r="C251" s="60" t="n">
        <x:f>EDATE('17_Gia_dinh_mo_hinh'!$C$8,B251-1)</x:f>
        <x:v>46447</x:v>
      </x:c>
      <x:c r="D251" s="61" t="n">
        <x:f>ROUNDUP('17_Gia_dinh_mo_hinh'!$E$8/30,0)</x:f>
        <x:v>0</x:v>
      </x:c>
      <x:c r="E251" s="62" t="n">
        <x:f>IF(AND(B251&gt;='17_Gia_dinh_mo_hinh'!$F$8+D251,B251&lt;'17_Gia_dinh_mo_hinh'!$F$8+D251+'17_Gia_dinh_mo_hinh'!$G$8),'17_Gia_dinh_mo_hinh'!$L$8*(1-'17_Gia_dinh_mo_hinh'!$M$8)/'17_Gia_dinh_mo_hinh'!$G$8,0)</x:f>
        <x:v>70.49999999999997</x:v>
      </x:c>
      <x:c r="F251" s="62" t="n">
        <x:f>0.70*E251+0.30*E250</x:f>
        <x:v>70.49999999999997</x:v>
      </x:c>
      <x:c r="G251" s="62" t="n">
        <x:f>IF(AND(B251&gt;='17_Gia_dinh_mo_hinh'!$H$8+D251,B251&lt;'17_Gia_dinh_mo_hinh'!$H$8+D251+'17_Gia_dinh_mo_hinh'!$I$8),'17_Gia_dinh_mo_hinh'!$L$8*(1-'17_Gia_dinh_mo_hinh'!$M$8)/'17_Gia_dinh_mo_hinh'!$I$8,0)</x:f>
        <x:v>70.49999999999997</x:v>
      </x:c>
      <x:c r="H251" s="62" t="n">
        <x:f>G251*(1-'17_Gia_dinh_mo_hinh'!$N$8)</x:f>
        <x:v>50.05499999999998</x:v>
      </x:c>
      <x:c r="I251" s="62" t="n">
        <x:f>G251*'17_Gia_dinh_mo_hinh'!$O$8</x:f>
        <x:v>1.7624999999999993</x:v>
      </x:c>
      <x:c r="J251" s="62" t="n">
        <x:f>G251*'17_Gia_dinh_mo_hinh'!$P$8</x:f>
        <x:v>1.2689999999999995</x:v>
      </x:c>
      <x:c r="K251" s="62" t="n">
        <x:f>IF(B251&lt;='17_Gia_dinh_mo_hinh'!$J$8,'17_Gia_dinh_mo_hinh'!$K$8*(1-MIN(0.95,'17_Gia_dinh_mo_hinh'!$M$8*0.75))/'17_Gia_dinh_mo_hinh'!$J$8,0)</x:f>
        <x:v>0</x:v>
      </x:c>
      <x:c r="L251" s="62" t="n">
        <x:f>S250*'17_Gia_dinh_mo_hinh'!$Q$8/12</x:f>
        <x:v>21.72823375</x:v>
      </x:c>
      <x:c r="M251" s="62" t="n">
        <x:f>G251-H251-I251-J251-L251</x:f>
        <x:v>-4.314733750000006</x:v>
      </x:c>
      <x:c r="N251" s="62" t="n">
        <x:f>MAX(0,M251*'17_Gia_dinh_mo_hinh'!$S$8)</x:f>
        <x:v>0</x:v>
      </x:c>
      <x:c r="O251" s="62" t="n">
        <x:f>M251-N251</x:f>
        <x:v>-4.314733750000006</x:v>
      </x:c>
      <x:c r="P251" s="62" t="n">
        <x:f>F251-K251-I251-J251-N251-L251</x:f>
        <x:v>45.74026624999996</x:v>
      </x:c>
      <x:c r="Q251" s="62" t="n">
        <x:f>MIN(MAX(0,-(T250+P251)),MAX(0,'17_Gia_dinh_mo_hinh'!$R$8-S250))</x:f>
        <x:v>0</x:v>
      </x:c>
      <x:c r="R251" s="62" t="n">
        <x:f>MIN(MAX(0,T250+P251+Q251),S250+Q251)</x:f>
        <x:v>45.74026624999996</x:v>
      </x:c>
      <x:c r="S251" s="62" t="n">
        <x:f>S250+Q251-R251</x:f>
        <x:v>2698.8787337500003</x:v>
      </x:c>
      <x:c r="T251" s="62" t="n">
        <x:f>MAX(0,T250+P251+Q251-R251)</x:f>
        <x:v>0</x:v>
      </x:c>
      <x:c r="U251" s="62" t="n">
        <x:f>MAX(0,-(T250+P251)-MAX(0,'17_Gia_dinh_mo_hinh'!$R$8-S250))</x:f>
        <x:v>0</x:v>
      </x:c>
      <x:c r="V251" s="61" t="str">
        <x:f>IF(B251&lt;'17_Gia_dinh_mo_hinh'!$F$8+D251,"Trước mở bán",IF(B251&lt;'17_Gia_dinh_mo_hinh'!$H$8+D251,"Bán hàng/thi công",IF(G251&gt;0,"Ghi nhận/bàn giao","Hậu bàn giao")))</x:f>
        <x:v>Ghi nhận/bàn giao</x:v>
      </x:c>
    </x:row>
    <x:row r="252">
      <x:c r="A252" s="54" t="str">
        <x:v>DA05</x:v>
      </x:c>
      <x:c r="B252" s="54" t="n">
        <x:v>9</x:v>
      </x:c>
      <x:c r="C252" s="60" t="n">
        <x:f>EDATE('17_Gia_dinh_mo_hinh'!$C$8,B252-1)</x:f>
        <x:v>46478</x:v>
      </x:c>
      <x:c r="D252" s="61" t="n">
        <x:f>ROUNDUP('17_Gia_dinh_mo_hinh'!$E$8/30,0)</x:f>
        <x:v>0</x:v>
      </x:c>
      <x:c r="E252" s="62" t="n">
        <x:f>IF(AND(B252&gt;='17_Gia_dinh_mo_hinh'!$F$8+D252,B252&lt;'17_Gia_dinh_mo_hinh'!$F$8+D252+'17_Gia_dinh_mo_hinh'!$G$8),'17_Gia_dinh_mo_hinh'!$L$8*(1-'17_Gia_dinh_mo_hinh'!$M$8)/'17_Gia_dinh_mo_hinh'!$G$8,0)</x:f>
        <x:v>70.49999999999997</x:v>
      </x:c>
      <x:c r="F252" s="62" t="n">
        <x:f>0.70*E252+0.30*E251</x:f>
        <x:v>70.49999999999997</x:v>
      </x:c>
      <x:c r="G252" s="62" t="n">
        <x:f>IF(AND(B252&gt;='17_Gia_dinh_mo_hinh'!$H$8+D252,B252&lt;'17_Gia_dinh_mo_hinh'!$H$8+D252+'17_Gia_dinh_mo_hinh'!$I$8),'17_Gia_dinh_mo_hinh'!$L$8*(1-'17_Gia_dinh_mo_hinh'!$M$8)/'17_Gia_dinh_mo_hinh'!$I$8,0)</x:f>
        <x:v>70.49999999999997</x:v>
      </x:c>
      <x:c r="H252" s="62" t="n">
        <x:f>G252*(1-'17_Gia_dinh_mo_hinh'!$N$8)</x:f>
        <x:v>50.05499999999998</x:v>
      </x:c>
      <x:c r="I252" s="62" t="n">
        <x:f>G252*'17_Gia_dinh_mo_hinh'!$O$8</x:f>
        <x:v>1.7624999999999993</x:v>
      </x:c>
      <x:c r="J252" s="62" t="n">
        <x:f>G252*'17_Gia_dinh_mo_hinh'!$P$8</x:f>
        <x:v>1.2689999999999995</x:v>
      </x:c>
      <x:c r="K252" s="62" t="n">
        <x:f>IF(B252&lt;='17_Gia_dinh_mo_hinh'!$J$8,'17_Gia_dinh_mo_hinh'!$K$8*(1-MIN(0.95,'17_Gia_dinh_mo_hinh'!$M$8*0.75))/'17_Gia_dinh_mo_hinh'!$J$8,0)</x:f>
        <x:v>0</x:v>
      </x:c>
      <x:c r="L252" s="62" t="n">
        <x:f>S251*'17_Gia_dinh_mo_hinh'!$Q$8/12</x:f>
        <x:v>21.36612330885417</x:v>
      </x:c>
      <x:c r="M252" s="62" t="n">
        <x:f>G252-H252-I252-J252-L252</x:f>
        <x:v>-3.952623308854175</x:v>
      </x:c>
      <x:c r="N252" s="62" t="n">
        <x:f>MAX(0,M252*'17_Gia_dinh_mo_hinh'!$S$8)</x:f>
        <x:v>0</x:v>
      </x:c>
      <x:c r="O252" s="62" t="n">
        <x:f>M252-N252</x:f>
        <x:v>-3.952623308854175</x:v>
      </x:c>
      <x:c r="P252" s="62" t="n">
        <x:f>F252-K252-I252-J252-N252-L252</x:f>
        <x:v>46.10237669114579</x:v>
      </x:c>
      <x:c r="Q252" s="62" t="n">
        <x:f>MIN(MAX(0,-(T251+P252)),MAX(0,'17_Gia_dinh_mo_hinh'!$R$8-S251))</x:f>
        <x:v>0</x:v>
      </x:c>
      <x:c r="R252" s="62" t="n">
        <x:f>MIN(MAX(0,T251+P252+Q252),S251+Q252)</x:f>
        <x:v>46.10237669114579</x:v>
      </x:c>
      <x:c r="S252" s="62" t="n">
        <x:f>S251+Q252-R252</x:f>
        <x:v>2652.7763570588545</x:v>
      </x:c>
      <x:c r="T252" s="62" t="n">
        <x:f>MAX(0,T251+P252+Q252-R252)</x:f>
        <x:v>0</x:v>
      </x:c>
      <x:c r="U252" s="62" t="n">
        <x:f>MAX(0,-(T251+P252)-MAX(0,'17_Gia_dinh_mo_hinh'!$R$8-S251))</x:f>
        <x:v>0</x:v>
      </x:c>
      <x:c r="V252" s="61" t="str">
        <x:f>IF(B252&lt;'17_Gia_dinh_mo_hinh'!$F$8+D252,"Trước mở bán",IF(B252&lt;'17_Gia_dinh_mo_hinh'!$H$8+D252,"Bán hàng/thi công",IF(G252&gt;0,"Ghi nhận/bàn giao","Hậu bàn giao")))</x:f>
        <x:v>Ghi nhận/bàn giao</x:v>
      </x:c>
    </x:row>
    <x:row r="253">
      <x:c r="A253" s="54" t="str">
        <x:v>DA05</x:v>
      </x:c>
      <x:c r="B253" s="54" t="n">
        <x:v>10</x:v>
      </x:c>
      <x:c r="C253" s="60" t="n">
        <x:f>EDATE('17_Gia_dinh_mo_hinh'!$C$8,B253-1)</x:f>
        <x:v>46508</x:v>
      </x:c>
      <x:c r="D253" s="61" t="n">
        <x:f>ROUNDUP('17_Gia_dinh_mo_hinh'!$E$8/30,0)</x:f>
        <x:v>0</x:v>
      </x:c>
      <x:c r="E253" s="62" t="n">
        <x:f>IF(AND(B253&gt;='17_Gia_dinh_mo_hinh'!$F$8+D253,B253&lt;'17_Gia_dinh_mo_hinh'!$F$8+D253+'17_Gia_dinh_mo_hinh'!$G$8),'17_Gia_dinh_mo_hinh'!$L$8*(1-'17_Gia_dinh_mo_hinh'!$M$8)/'17_Gia_dinh_mo_hinh'!$G$8,0)</x:f>
        <x:v>70.49999999999997</x:v>
      </x:c>
      <x:c r="F253" s="62" t="n">
        <x:f>0.70*E253+0.30*E252</x:f>
        <x:v>70.49999999999997</x:v>
      </x:c>
      <x:c r="G253" s="62" t="n">
        <x:f>IF(AND(B253&gt;='17_Gia_dinh_mo_hinh'!$H$8+D253,B253&lt;'17_Gia_dinh_mo_hinh'!$H$8+D253+'17_Gia_dinh_mo_hinh'!$I$8),'17_Gia_dinh_mo_hinh'!$L$8*(1-'17_Gia_dinh_mo_hinh'!$M$8)/'17_Gia_dinh_mo_hinh'!$I$8,0)</x:f>
        <x:v>70.49999999999997</x:v>
      </x:c>
      <x:c r="H253" s="62" t="n">
        <x:f>G253*(1-'17_Gia_dinh_mo_hinh'!$N$8)</x:f>
        <x:v>50.05499999999998</x:v>
      </x:c>
      <x:c r="I253" s="62" t="n">
        <x:f>G253*'17_Gia_dinh_mo_hinh'!$O$8</x:f>
        <x:v>1.7624999999999993</x:v>
      </x:c>
      <x:c r="J253" s="62" t="n">
        <x:f>G253*'17_Gia_dinh_mo_hinh'!$P$8</x:f>
        <x:v>1.2689999999999995</x:v>
      </x:c>
      <x:c r="K253" s="62" t="n">
        <x:f>IF(B253&lt;='17_Gia_dinh_mo_hinh'!$J$8,'17_Gia_dinh_mo_hinh'!$K$8*(1-MIN(0.95,'17_Gia_dinh_mo_hinh'!$M$8*0.75))/'17_Gia_dinh_mo_hinh'!$J$8,0)</x:f>
        <x:v>0</x:v>
      </x:c>
      <x:c r="L253" s="62" t="n">
        <x:f>S252*'17_Gia_dinh_mo_hinh'!$Q$8/12</x:f>
        <x:v>21.001146160049263</x:v>
      </x:c>
      <x:c r="M253" s="62" t="n">
        <x:f>G253-H253-I253-J253-L253</x:f>
        <x:v>-3.5876461600492675</x:v>
      </x:c>
      <x:c r="N253" s="62" t="n">
        <x:f>MAX(0,M253*'17_Gia_dinh_mo_hinh'!$S$8)</x:f>
        <x:v>0</x:v>
      </x:c>
      <x:c r="O253" s="62" t="n">
        <x:f>M253-N253</x:f>
        <x:v>-3.5876461600492675</x:v>
      </x:c>
      <x:c r="P253" s="62" t="n">
        <x:f>F253-K253-I253-J253-N253-L253</x:f>
        <x:v>46.467353839950704</x:v>
      </x:c>
      <x:c r="Q253" s="62" t="n">
        <x:f>MIN(MAX(0,-(T252+P253)),MAX(0,'17_Gia_dinh_mo_hinh'!$R$8-S252))</x:f>
        <x:v>0</x:v>
      </x:c>
      <x:c r="R253" s="62" t="n">
        <x:f>MIN(MAX(0,T252+P253+Q253),S252+Q253)</x:f>
        <x:v>46.467353839950704</x:v>
      </x:c>
      <x:c r="S253" s="62" t="n">
        <x:f>S252+Q253-R253</x:f>
        <x:v>2606.309003218904</x:v>
      </x:c>
      <x:c r="T253" s="62" t="n">
        <x:f>MAX(0,T252+P253+Q253-R253)</x:f>
        <x:v>0</x:v>
      </x:c>
      <x:c r="U253" s="62" t="n">
        <x:f>MAX(0,-(T252+P253)-MAX(0,'17_Gia_dinh_mo_hinh'!$R$8-S252))</x:f>
        <x:v>0</x:v>
      </x:c>
      <x:c r="V253" s="61" t="str">
        <x:f>IF(B253&lt;'17_Gia_dinh_mo_hinh'!$F$8+D253,"Trước mở bán",IF(B253&lt;'17_Gia_dinh_mo_hinh'!$H$8+D253,"Bán hàng/thi công",IF(G253&gt;0,"Ghi nhận/bàn giao","Hậu bàn giao")))</x:f>
        <x:v>Ghi nhận/bàn giao</x:v>
      </x:c>
    </x:row>
    <x:row r="254">
      <x:c r="A254" s="54" t="str">
        <x:v>DA05</x:v>
      </x:c>
      <x:c r="B254" s="54" t="n">
        <x:v>11</x:v>
      </x:c>
      <x:c r="C254" s="60" t="n">
        <x:f>EDATE('17_Gia_dinh_mo_hinh'!$C$8,B254-1)</x:f>
        <x:v>46539</x:v>
      </x:c>
      <x:c r="D254" s="61" t="n">
        <x:f>ROUNDUP('17_Gia_dinh_mo_hinh'!$E$8/30,0)</x:f>
        <x:v>0</x:v>
      </x:c>
      <x:c r="E254" s="62" t="n">
        <x:f>IF(AND(B254&gt;='17_Gia_dinh_mo_hinh'!$F$8+D254,B254&lt;'17_Gia_dinh_mo_hinh'!$F$8+D254+'17_Gia_dinh_mo_hinh'!$G$8),'17_Gia_dinh_mo_hinh'!$L$8*(1-'17_Gia_dinh_mo_hinh'!$M$8)/'17_Gia_dinh_mo_hinh'!$G$8,0)</x:f>
        <x:v>70.49999999999997</x:v>
      </x:c>
      <x:c r="F254" s="62" t="n">
        <x:f>0.70*E254+0.30*E253</x:f>
        <x:v>70.49999999999997</x:v>
      </x:c>
      <x:c r="G254" s="62" t="n">
        <x:f>IF(AND(B254&gt;='17_Gia_dinh_mo_hinh'!$H$8+D254,B254&lt;'17_Gia_dinh_mo_hinh'!$H$8+D254+'17_Gia_dinh_mo_hinh'!$I$8),'17_Gia_dinh_mo_hinh'!$L$8*(1-'17_Gia_dinh_mo_hinh'!$M$8)/'17_Gia_dinh_mo_hinh'!$I$8,0)</x:f>
        <x:v>70.49999999999997</x:v>
      </x:c>
      <x:c r="H254" s="62" t="n">
        <x:f>G254*(1-'17_Gia_dinh_mo_hinh'!$N$8)</x:f>
        <x:v>50.05499999999998</x:v>
      </x:c>
      <x:c r="I254" s="62" t="n">
        <x:f>G254*'17_Gia_dinh_mo_hinh'!$O$8</x:f>
        <x:v>1.7624999999999993</x:v>
      </x:c>
      <x:c r="J254" s="62" t="n">
        <x:f>G254*'17_Gia_dinh_mo_hinh'!$P$8</x:f>
        <x:v>1.2689999999999995</x:v>
      </x:c>
      <x:c r="K254" s="62" t="n">
        <x:f>IF(B254&lt;='17_Gia_dinh_mo_hinh'!$J$8,'17_Gia_dinh_mo_hinh'!$K$8*(1-MIN(0.95,'17_Gia_dinh_mo_hinh'!$M$8*0.75))/'17_Gia_dinh_mo_hinh'!$J$8,0)</x:f>
        <x:v>0</x:v>
      </x:c>
      <x:c r="L254" s="62" t="n">
        <x:f>S253*'17_Gia_dinh_mo_hinh'!$Q$8/12</x:f>
        <x:v>20.633279608816324</x:v>
      </x:c>
      <x:c r="M254" s="62" t="n">
        <x:f>G254-H254-I254-J254-L254</x:f>
        <x:v>-3.219779608816328</x:v>
      </x:c>
      <x:c r="N254" s="62" t="n">
        <x:f>MAX(0,M254*'17_Gia_dinh_mo_hinh'!$S$8)</x:f>
        <x:v>0</x:v>
      </x:c>
      <x:c r="O254" s="62" t="n">
        <x:f>M254-N254</x:f>
        <x:v>-3.219779608816328</x:v>
      </x:c>
      <x:c r="P254" s="62" t="n">
        <x:f>F254-K254-I254-J254-N254-L254</x:f>
        <x:v>46.83522039118364</x:v>
      </x:c>
      <x:c r="Q254" s="62" t="n">
        <x:f>MIN(MAX(0,-(T253+P254)),MAX(0,'17_Gia_dinh_mo_hinh'!$R$8-S253))</x:f>
        <x:v>0</x:v>
      </x:c>
      <x:c r="R254" s="62" t="n">
        <x:f>MIN(MAX(0,T253+P254+Q254),S253+Q254)</x:f>
        <x:v>46.83522039118364</x:v>
      </x:c>
      <x:c r="S254" s="62" t="n">
        <x:f>S253+Q254-R254</x:f>
        <x:v>2559.4737828277202</x:v>
      </x:c>
      <x:c r="T254" s="62" t="n">
        <x:f>MAX(0,T253+P254+Q254-R254)</x:f>
        <x:v>0</x:v>
      </x:c>
      <x:c r="U254" s="62" t="n">
        <x:f>MAX(0,-(T253+P254)-MAX(0,'17_Gia_dinh_mo_hinh'!$R$8-S253))</x:f>
        <x:v>0</x:v>
      </x:c>
      <x:c r="V254" s="61" t="str">
        <x:f>IF(B254&lt;'17_Gia_dinh_mo_hinh'!$F$8+D254,"Trước mở bán",IF(B254&lt;'17_Gia_dinh_mo_hinh'!$H$8+D254,"Bán hàng/thi công",IF(G254&gt;0,"Ghi nhận/bàn giao","Hậu bàn giao")))</x:f>
        <x:v>Ghi nhận/bàn giao</x:v>
      </x:c>
    </x:row>
    <x:row r="255">
      <x:c r="A255" s="54" t="str">
        <x:v>DA05</x:v>
      </x:c>
      <x:c r="B255" s="54" t="n">
        <x:v>12</x:v>
      </x:c>
      <x:c r="C255" s="60" t="n">
        <x:f>EDATE('17_Gia_dinh_mo_hinh'!$C$8,B255-1)</x:f>
        <x:v>46569</x:v>
      </x:c>
      <x:c r="D255" s="61" t="n">
        <x:f>ROUNDUP('17_Gia_dinh_mo_hinh'!$E$8/30,0)</x:f>
        <x:v>0</x:v>
      </x:c>
      <x:c r="E255" s="62" t="n">
        <x:f>IF(AND(B255&gt;='17_Gia_dinh_mo_hinh'!$F$8+D255,B255&lt;'17_Gia_dinh_mo_hinh'!$F$8+D255+'17_Gia_dinh_mo_hinh'!$G$8),'17_Gia_dinh_mo_hinh'!$L$8*(1-'17_Gia_dinh_mo_hinh'!$M$8)/'17_Gia_dinh_mo_hinh'!$G$8,0)</x:f>
        <x:v>70.49999999999997</x:v>
      </x:c>
      <x:c r="F255" s="62" t="n">
        <x:f>0.70*E255+0.30*E254</x:f>
        <x:v>70.49999999999997</x:v>
      </x:c>
      <x:c r="G255" s="62" t="n">
        <x:f>IF(AND(B255&gt;='17_Gia_dinh_mo_hinh'!$H$8+D255,B255&lt;'17_Gia_dinh_mo_hinh'!$H$8+D255+'17_Gia_dinh_mo_hinh'!$I$8),'17_Gia_dinh_mo_hinh'!$L$8*(1-'17_Gia_dinh_mo_hinh'!$M$8)/'17_Gia_dinh_mo_hinh'!$I$8,0)</x:f>
        <x:v>70.49999999999997</x:v>
      </x:c>
      <x:c r="H255" s="62" t="n">
        <x:f>G255*(1-'17_Gia_dinh_mo_hinh'!$N$8)</x:f>
        <x:v>50.05499999999998</x:v>
      </x:c>
      <x:c r="I255" s="62" t="n">
        <x:f>G255*'17_Gia_dinh_mo_hinh'!$O$8</x:f>
        <x:v>1.7624999999999993</x:v>
      </x:c>
      <x:c r="J255" s="62" t="n">
        <x:f>G255*'17_Gia_dinh_mo_hinh'!$P$8</x:f>
        <x:v>1.2689999999999995</x:v>
      </x:c>
      <x:c r="K255" s="62" t="n">
        <x:f>IF(B255&lt;='17_Gia_dinh_mo_hinh'!$J$8,'17_Gia_dinh_mo_hinh'!$K$8*(1-MIN(0.95,'17_Gia_dinh_mo_hinh'!$M$8*0.75))/'17_Gia_dinh_mo_hinh'!$J$8,0)</x:f>
        <x:v>0</x:v>
      </x:c>
      <x:c r="L255" s="62" t="n">
        <x:f>S254*'17_Gia_dinh_mo_hinh'!$Q$8/12</x:f>
        <x:v>20.262500780719453</x:v>
      </x:c>
      <x:c r="M255" s="62" t="n">
        <x:f>G255-H255-I255-J255-L255</x:f>
        <x:v>-2.8490007807194573</x:v>
      </x:c>
      <x:c r="N255" s="62" t="n">
        <x:f>MAX(0,M255*'17_Gia_dinh_mo_hinh'!$S$8)</x:f>
        <x:v>0</x:v>
      </x:c>
      <x:c r="O255" s="62" t="n">
        <x:f>M255-N255</x:f>
        <x:v>-2.8490007807194573</x:v>
      </x:c>
      <x:c r="P255" s="62" t="n">
        <x:f>F255-K255-I255-J255-N255-L255</x:f>
        <x:v>47.205999219280514</x:v>
      </x:c>
      <x:c r="Q255" s="62" t="n">
        <x:f>MIN(MAX(0,-(T254+P255)),MAX(0,'17_Gia_dinh_mo_hinh'!$R$8-S254))</x:f>
        <x:v>0</x:v>
      </x:c>
      <x:c r="R255" s="62" t="n">
        <x:f>MIN(MAX(0,T254+P255+Q255),S254+Q255)</x:f>
        <x:v>47.205999219280514</x:v>
      </x:c>
      <x:c r="S255" s="62" t="n">
        <x:f>S254+Q255-R255</x:f>
        <x:v>2512.26778360844</x:v>
      </x:c>
      <x:c r="T255" s="62" t="n">
        <x:f>MAX(0,T254+P255+Q255-R255)</x:f>
        <x:v>0</x:v>
      </x:c>
      <x:c r="U255" s="62" t="n">
        <x:f>MAX(0,-(T254+P255)-MAX(0,'17_Gia_dinh_mo_hinh'!$R$8-S254))</x:f>
        <x:v>0</x:v>
      </x:c>
      <x:c r="V255" s="61" t="str">
        <x:f>IF(B255&lt;'17_Gia_dinh_mo_hinh'!$F$8+D255,"Trước mở bán",IF(B255&lt;'17_Gia_dinh_mo_hinh'!$H$8+D255,"Bán hàng/thi công",IF(G255&gt;0,"Ghi nhận/bàn giao","Hậu bàn giao")))</x:f>
        <x:v>Ghi nhận/bàn giao</x:v>
      </x:c>
    </x:row>
    <x:row r="256">
      <x:c r="A256" s="54" t="str">
        <x:v>DA05</x:v>
      </x:c>
      <x:c r="B256" s="54" t="n">
        <x:v>13</x:v>
      </x:c>
      <x:c r="C256" s="60" t="n">
        <x:f>EDATE('17_Gia_dinh_mo_hinh'!$C$8,B256-1)</x:f>
        <x:v>46600</x:v>
      </x:c>
      <x:c r="D256" s="61" t="n">
        <x:f>ROUNDUP('17_Gia_dinh_mo_hinh'!$E$8/30,0)</x:f>
        <x:v>0</x:v>
      </x:c>
      <x:c r="E256" s="62" t="n">
        <x:f>IF(AND(B256&gt;='17_Gia_dinh_mo_hinh'!$F$8+D256,B256&lt;'17_Gia_dinh_mo_hinh'!$F$8+D256+'17_Gia_dinh_mo_hinh'!$G$8),'17_Gia_dinh_mo_hinh'!$L$8*(1-'17_Gia_dinh_mo_hinh'!$M$8)/'17_Gia_dinh_mo_hinh'!$G$8,0)</x:f>
        <x:v>0</x:v>
      </x:c>
      <x:c r="F256" s="62" t="n">
        <x:f>0.70*E256+0.30*E255</x:f>
        <x:v>21.14999999999999</x:v>
      </x:c>
      <x:c r="G256" s="62" t="n">
        <x:f>IF(AND(B256&gt;='17_Gia_dinh_mo_hinh'!$H$8+D256,B256&lt;'17_Gia_dinh_mo_hinh'!$H$8+D256+'17_Gia_dinh_mo_hinh'!$I$8),'17_Gia_dinh_mo_hinh'!$L$8*(1-'17_Gia_dinh_mo_hinh'!$M$8)/'17_Gia_dinh_mo_hinh'!$I$8,0)</x:f>
        <x:v>0</x:v>
      </x:c>
      <x:c r="H256" s="62" t="n">
        <x:f>G256*(1-'17_Gia_dinh_mo_hinh'!$N$8)</x:f>
        <x:v>0</x:v>
      </x:c>
      <x:c r="I256" s="62" t="n">
        <x:f>G256*'17_Gia_dinh_mo_hinh'!$O$8</x:f>
        <x:v>0</x:v>
      </x:c>
      <x:c r="J256" s="62" t="n">
        <x:f>G256*'17_Gia_dinh_mo_hinh'!$P$8</x:f>
        <x:v>0</x:v>
      </x:c>
      <x:c r="K256" s="62" t="n">
        <x:f>IF(B256&lt;='17_Gia_dinh_mo_hinh'!$J$8,'17_Gia_dinh_mo_hinh'!$K$8*(1-MIN(0.95,'17_Gia_dinh_mo_hinh'!$M$8*0.75))/'17_Gia_dinh_mo_hinh'!$J$8,0)</x:f>
        <x:v>0</x:v>
      </x:c>
      <x:c r="L256" s="62" t="n">
        <x:f>S255*'17_Gia_dinh_mo_hinh'!$Q$8/12</x:f>
        <x:v>19.888786620233482</x:v>
      </x:c>
      <x:c r="M256" s="62" t="n">
        <x:f>G256-H256-I256-J256-L256</x:f>
        <x:v>-19.888786620233482</x:v>
      </x:c>
      <x:c r="N256" s="62" t="n">
        <x:f>MAX(0,M256*'17_Gia_dinh_mo_hinh'!$S$8)</x:f>
        <x:v>0</x:v>
      </x:c>
      <x:c r="O256" s="62" t="n">
        <x:f>M256-N256</x:f>
        <x:v>-19.888786620233482</x:v>
      </x:c>
      <x:c r="P256" s="62" t="n">
        <x:f>F256-K256-I256-J256-N256-L256</x:f>
        <x:v>1.2612133797665095</x:v>
      </x:c>
      <x:c r="Q256" s="62" t="n">
        <x:f>MIN(MAX(0,-(T255+P256)),MAX(0,'17_Gia_dinh_mo_hinh'!$R$8-S255))</x:f>
        <x:v>0</x:v>
      </x:c>
      <x:c r="R256" s="62" t="n">
        <x:f>MIN(MAX(0,T255+P256+Q256),S255+Q256)</x:f>
        <x:v>1.2612133797665095</x:v>
      </x:c>
      <x:c r="S256" s="62" t="n">
        <x:f>S255+Q256-R256</x:f>
        <x:v>2511.0065702286734</x:v>
      </x:c>
      <x:c r="T256" s="62" t="n">
        <x:f>MAX(0,T255+P256+Q256-R256)</x:f>
        <x:v>0</x:v>
      </x:c>
      <x:c r="U256" s="62" t="n">
        <x:f>MAX(0,-(T255+P256)-MAX(0,'17_Gia_dinh_mo_hinh'!$R$8-S255))</x:f>
        <x:v>0</x:v>
      </x:c>
      <x:c r="V256" s="61" t="str">
        <x:f>IF(B256&lt;'17_Gia_dinh_mo_hinh'!$F$8+D256,"Trước mở bán",IF(B256&lt;'17_Gia_dinh_mo_hinh'!$H$8+D256,"Bán hàng/thi công",IF(G256&gt;0,"Ghi nhận/bàn giao","Hậu bàn giao")))</x:f>
        <x:v>Hậu bàn giao</x:v>
      </x:c>
    </x:row>
    <x:row r="257">
      <x:c r="A257" s="54" t="str">
        <x:v>DA05</x:v>
      </x:c>
      <x:c r="B257" s="54" t="n">
        <x:v>14</x:v>
      </x:c>
      <x:c r="C257" s="60" t="n">
        <x:f>EDATE('17_Gia_dinh_mo_hinh'!$C$8,B257-1)</x:f>
        <x:v>46631</x:v>
      </x:c>
      <x:c r="D257" s="61" t="n">
        <x:f>ROUNDUP('17_Gia_dinh_mo_hinh'!$E$8/30,0)</x:f>
        <x:v>0</x:v>
      </x:c>
      <x:c r="E257" s="62" t="n">
        <x:f>IF(AND(B257&gt;='17_Gia_dinh_mo_hinh'!$F$8+D257,B257&lt;'17_Gia_dinh_mo_hinh'!$F$8+D257+'17_Gia_dinh_mo_hinh'!$G$8),'17_Gia_dinh_mo_hinh'!$L$8*(1-'17_Gia_dinh_mo_hinh'!$M$8)/'17_Gia_dinh_mo_hinh'!$G$8,0)</x:f>
        <x:v>0</x:v>
      </x:c>
      <x:c r="F257" s="62" t="n">
        <x:f>0.70*E257+0.30*E256</x:f>
        <x:v>0</x:v>
      </x:c>
      <x:c r="G257" s="62" t="n">
        <x:f>IF(AND(B257&gt;='17_Gia_dinh_mo_hinh'!$H$8+D257,B257&lt;'17_Gia_dinh_mo_hinh'!$H$8+D257+'17_Gia_dinh_mo_hinh'!$I$8),'17_Gia_dinh_mo_hinh'!$L$8*(1-'17_Gia_dinh_mo_hinh'!$M$8)/'17_Gia_dinh_mo_hinh'!$I$8,0)</x:f>
        <x:v>0</x:v>
      </x:c>
      <x:c r="H257" s="62" t="n">
        <x:f>G257*(1-'17_Gia_dinh_mo_hinh'!$N$8)</x:f>
        <x:v>0</x:v>
      </x:c>
      <x:c r="I257" s="62" t="n">
        <x:f>G257*'17_Gia_dinh_mo_hinh'!$O$8</x:f>
        <x:v>0</x:v>
      </x:c>
      <x:c r="J257" s="62" t="n">
        <x:f>G257*'17_Gia_dinh_mo_hinh'!$P$8</x:f>
        <x:v>0</x:v>
      </x:c>
      <x:c r="K257" s="62" t="n">
        <x:f>IF(B257&lt;='17_Gia_dinh_mo_hinh'!$J$8,'17_Gia_dinh_mo_hinh'!$K$8*(1-MIN(0.95,'17_Gia_dinh_mo_hinh'!$M$8*0.75))/'17_Gia_dinh_mo_hinh'!$J$8,0)</x:f>
        <x:v>0</x:v>
      </x:c>
      <x:c r="L257" s="62" t="n">
        <x:f>S256*'17_Gia_dinh_mo_hinh'!$Q$8/12</x:f>
        <x:v>19.87880201431033</x:v>
      </x:c>
      <x:c r="M257" s="62" t="n">
        <x:f>G257-H257-I257-J257-L257</x:f>
        <x:v>-19.87880201431033</x:v>
      </x:c>
      <x:c r="N257" s="62" t="n">
        <x:f>MAX(0,M257*'17_Gia_dinh_mo_hinh'!$S$8)</x:f>
        <x:v>0</x:v>
      </x:c>
      <x:c r="O257" s="62" t="n">
        <x:f>M257-N257</x:f>
        <x:v>-19.87880201431033</x:v>
      </x:c>
      <x:c r="P257" s="62" t="n">
        <x:f>F257-K257-I257-J257-N257-L257</x:f>
        <x:v>-19.87880201431033</x:v>
      </x:c>
      <x:c r="Q257" s="62" t="n">
        <x:f>MIN(MAX(0,-(T256+P257)),MAX(0,'17_Gia_dinh_mo_hinh'!$R$8-S256))</x:f>
        <x:v>19.87880201431033</x:v>
      </x:c>
      <x:c r="R257" s="62" t="n">
        <x:f>MIN(MAX(0,T256+P257+Q257),S256+Q257)</x:f>
        <x:v>0</x:v>
      </x:c>
      <x:c r="S257" s="62" t="n">
        <x:f>S256+Q257-R257</x:f>
        <x:v>2530.8853722429835</x:v>
      </x:c>
      <x:c r="T257" s="62" t="n">
        <x:f>MAX(0,T256+P257+Q257-R257)</x:f>
        <x:v>0</x:v>
      </x:c>
      <x:c r="U257" s="62" t="n">
        <x:f>MAX(0,-(T256+P257)-MAX(0,'17_Gia_dinh_mo_hinh'!$R$8-S256))</x:f>
        <x:v>0</x:v>
      </x:c>
      <x:c r="V257" s="61" t="str">
        <x:f>IF(B257&lt;'17_Gia_dinh_mo_hinh'!$F$8+D257,"Trước mở bán",IF(B257&lt;'17_Gia_dinh_mo_hinh'!$H$8+D257,"Bán hàng/thi công",IF(G257&gt;0,"Ghi nhận/bàn giao","Hậu bàn giao")))</x:f>
        <x:v>Hậu bàn giao</x:v>
      </x:c>
    </x:row>
    <x:row r="258">
      <x:c r="A258" s="54" t="str">
        <x:v>DA05</x:v>
      </x:c>
      <x:c r="B258" s="54" t="n">
        <x:v>15</x:v>
      </x:c>
      <x:c r="C258" s="60" t="n">
        <x:f>EDATE('17_Gia_dinh_mo_hinh'!$C$8,B258-1)</x:f>
        <x:v>46661</x:v>
      </x:c>
      <x:c r="D258" s="61" t="n">
        <x:f>ROUNDUP('17_Gia_dinh_mo_hinh'!$E$8/30,0)</x:f>
        <x:v>0</x:v>
      </x:c>
      <x:c r="E258" s="62" t="n">
        <x:f>IF(AND(B258&gt;='17_Gia_dinh_mo_hinh'!$F$8+D258,B258&lt;'17_Gia_dinh_mo_hinh'!$F$8+D258+'17_Gia_dinh_mo_hinh'!$G$8),'17_Gia_dinh_mo_hinh'!$L$8*(1-'17_Gia_dinh_mo_hinh'!$M$8)/'17_Gia_dinh_mo_hinh'!$G$8,0)</x:f>
        <x:v>0</x:v>
      </x:c>
      <x:c r="F258" s="62" t="n">
        <x:f>0.70*E258+0.30*E257</x:f>
        <x:v>0</x:v>
      </x:c>
      <x:c r="G258" s="62" t="n">
        <x:f>IF(AND(B258&gt;='17_Gia_dinh_mo_hinh'!$H$8+D258,B258&lt;'17_Gia_dinh_mo_hinh'!$H$8+D258+'17_Gia_dinh_mo_hinh'!$I$8),'17_Gia_dinh_mo_hinh'!$L$8*(1-'17_Gia_dinh_mo_hinh'!$M$8)/'17_Gia_dinh_mo_hinh'!$I$8,0)</x:f>
        <x:v>0</x:v>
      </x:c>
      <x:c r="H258" s="62" t="n">
        <x:f>G258*(1-'17_Gia_dinh_mo_hinh'!$N$8)</x:f>
        <x:v>0</x:v>
      </x:c>
      <x:c r="I258" s="62" t="n">
        <x:f>G258*'17_Gia_dinh_mo_hinh'!$O$8</x:f>
        <x:v>0</x:v>
      </x:c>
      <x:c r="J258" s="62" t="n">
        <x:f>G258*'17_Gia_dinh_mo_hinh'!$P$8</x:f>
        <x:v>0</x:v>
      </x:c>
      <x:c r="K258" s="62" t="n">
        <x:f>IF(B258&lt;='17_Gia_dinh_mo_hinh'!$J$8,'17_Gia_dinh_mo_hinh'!$K$8*(1-MIN(0.95,'17_Gia_dinh_mo_hinh'!$M$8*0.75))/'17_Gia_dinh_mo_hinh'!$J$8,0)</x:f>
        <x:v>0</x:v>
      </x:c>
      <x:c r="L258" s="62" t="n">
        <x:f>S257*'17_Gia_dinh_mo_hinh'!$Q$8/12</x:f>
        <x:v>20.036175863590287</x:v>
      </x:c>
      <x:c r="M258" s="62" t="n">
        <x:f>G258-H258-I258-J258-L258</x:f>
        <x:v>-20.036175863590287</x:v>
      </x:c>
      <x:c r="N258" s="62" t="n">
        <x:f>MAX(0,M258*'17_Gia_dinh_mo_hinh'!$S$8)</x:f>
        <x:v>0</x:v>
      </x:c>
      <x:c r="O258" s="62" t="n">
        <x:f>M258-N258</x:f>
        <x:v>-20.036175863590287</x:v>
      </x:c>
      <x:c r="P258" s="62" t="n">
        <x:f>F258-K258-I258-J258-N258-L258</x:f>
        <x:v>-20.036175863590287</x:v>
      </x:c>
      <x:c r="Q258" s="62" t="n">
        <x:f>MIN(MAX(0,-(T257+P258)),MAX(0,'17_Gia_dinh_mo_hinh'!$R$8-S257))</x:f>
        <x:v>20.036175863590287</x:v>
      </x:c>
      <x:c r="R258" s="62" t="n">
        <x:f>MIN(MAX(0,T257+P258+Q258),S257+Q258)</x:f>
        <x:v>0</x:v>
      </x:c>
      <x:c r="S258" s="62" t="n">
        <x:f>S257+Q258-R258</x:f>
        <x:v>2550.921548106574</x:v>
      </x:c>
      <x:c r="T258" s="62" t="n">
        <x:f>MAX(0,T257+P258+Q258-R258)</x:f>
        <x:v>0</x:v>
      </x:c>
      <x:c r="U258" s="62" t="n">
        <x:f>MAX(0,-(T257+P258)-MAX(0,'17_Gia_dinh_mo_hinh'!$R$8-S257))</x:f>
        <x:v>0</x:v>
      </x:c>
      <x:c r="V258" s="61" t="str">
        <x:f>IF(B258&lt;'17_Gia_dinh_mo_hinh'!$F$8+D258,"Trước mở bán",IF(B258&lt;'17_Gia_dinh_mo_hinh'!$H$8+D258,"Bán hàng/thi công",IF(G258&gt;0,"Ghi nhận/bàn giao","Hậu bàn giao")))</x:f>
        <x:v>Hậu bàn giao</x:v>
      </x:c>
    </x:row>
    <x:row r="259">
      <x:c r="A259" s="54" t="str">
        <x:v>DA05</x:v>
      </x:c>
      <x:c r="B259" s="54" t="n">
        <x:v>16</x:v>
      </x:c>
      <x:c r="C259" s="60" t="n">
        <x:f>EDATE('17_Gia_dinh_mo_hinh'!$C$8,B259-1)</x:f>
        <x:v>46692</x:v>
      </x:c>
      <x:c r="D259" s="61" t="n">
        <x:f>ROUNDUP('17_Gia_dinh_mo_hinh'!$E$8/30,0)</x:f>
        <x:v>0</x:v>
      </x:c>
      <x:c r="E259" s="62" t="n">
        <x:f>IF(AND(B259&gt;='17_Gia_dinh_mo_hinh'!$F$8+D259,B259&lt;'17_Gia_dinh_mo_hinh'!$F$8+D259+'17_Gia_dinh_mo_hinh'!$G$8),'17_Gia_dinh_mo_hinh'!$L$8*(1-'17_Gia_dinh_mo_hinh'!$M$8)/'17_Gia_dinh_mo_hinh'!$G$8,0)</x:f>
        <x:v>0</x:v>
      </x:c>
      <x:c r="F259" s="62" t="n">
        <x:f>0.70*E259+0.30*E258</x:f>
        <x:v>0</x:v>
      </x:c>
      <x:c r="G259" s="62" t="n">
        <x:f>IF(AND(B259&gt;='17_Gia_dinh_mo_hinh'!$H$8+D259,B259&lt;'17_Gia_dinh_mo_hinh'!$H$8+D259+'17_Gia_dinh_mo_hinh'!$I$8),'17_Gia_dinh_mo_hinh'!$L$8*(1-'17_Gia_dinh_mo_hinh'!$M$8)/'17_Gia_dinh_mo_hinh'!$I$8,0)</x:f>
        <x:v>0</x:v>
      </x:c>
      <x:c r="H259" s="62" t="n">
        <x:f>G259*(1-'17_Gia_dinh_mo_hinh'!$N$8)</x:f>
        <x:v>0</x:v>
      </x:c>
      <x:c r="I259" s="62" t="n">
        <x:f>G259*'17_Gia_dinh_mo_hinh'!$O$8</x:f>
        <x:v>0</x:v>
      </x:c>
      <x:c r="J259" s="62" t="n">
        <x:f>G259*'17_Gia_dinh_mo_hinh'!$P$8</x:f>
        <x:v>0</x:v>
      </x:c>
      <x:c r="K259" s="62" t="n">
        <x:f>IF(B259&lt;='17_Gia_dinh_mo_hinh'!$J$8,'17_Gia_dinh_mo_hinh'!$K$8*(1-MIN(0.95,'17_Gia_dinh_mo_hinh'!$M$8*0.75))/'17_Gia_dinh_mo_hinh'!$J$8,0)</x:f>
        <x:v>0</x:v>
      </x:c>
      <x:c r="L259" s="62" t="n">
        <x:f>S258*'17_Gia_dinh_mo_hinh'!$Q$8/12</x:f>
        <x:v>20.194795589177044</x:v>
      </x:c>
      <x:c r="M259" s="62" t="n">
        <x:f>G259-H259-I259-J259-L259</x:f>
        <x:v>-20.194795589177044</x:v>
      </x:c>
      <x:c r="N259" s="62" t="n">
        <x:f>MAX(0,M259*'17_Gia_dinh_mo_hinh'!$S$8)</x:f>
        <x:v>0</x:v>
      </x:c>
      <x:c r="O259" s="62" t="n">
        <x:f>M259-N259</x:f>
        <x:v>-20.194795589177044</x:v>
      </x:c>
      <x:c r="P259" s="62" t="n">
        <x:f>F259-K259-I259-J259-N259-L259</x:f>
        <x:v>-20.194795589177044</x:v>
      </x:c>
      <x:c r="Q259" s="62" t="n">
        <x:f>MIN(MAX(0,-(T258+P259)),MAX(0,'17_Gia_dinh_mo_hinh'!$R$8-S258))</x:f>
        <x:v>20.194795589177044</x:v>
      </x:c>
      <x:c r="R259" s="62" t="n">
        <x:f>MIN(MAX(0,T258+P259+Q259),S258+Q259)</x:f>
        <x:v>0</x:v>
      </x:c>
      <x:c r="S259" s="62" t="n">
        <x:f>S258+Q259-R259</x:f>
        <x:v>2571.116343695751</x:v>
      </x:c>
      <x:c r="T259" s="62" t="n">
        <x:f>MAX(0,T258+P259+Q259-R259)</x:f>
        <x:v>0</x:v>
      </x:c>
      <x:c r="U259" s="62" t="n">
        <x:f>MAX(0,-(T258+P259)-MAX(0,'17_Gia_dinh_mo_hinh'!$R$8-S258))</x:f>
        <x:v>0</x:v>
      </x:c>
      <x:c r="V259" s="61" t="str">
        <x:f>IF(B259&lt;'17_Gia_dinh_mo_hinh'!$F$8+D259,"Trước mở bán",IF(B259&lt;'17_Gia_dinh_mo_hinh'!$H$8+D259,"Bán hàng/thi công",IF(G259&gt;0,"Ghi nhận/bàn giao","Hậu bàn giao")))</x:f>
        <x:v>Hậu bàn giao</x:v>
      </x:c>
    </x:row>
    <x:row r="260">
      <x:c r="A260" s="54" t="str">
        <x:v>DA05</x:v>
      </x:c>
      <x:c r="B260" s="54" t="n">
        <x:v>17</x:v>
      </x:c>
      <x:c r="C260" s="60" t="n">
        <x:f>EDATE('17_Gia_dinh_mo_hinh'!$C$8,B260-1)</x:f>
        <x:v>46722</x:v>
      </x:c>
      <x:c r="D260" s="61" t="n">
        <x:f>ROUNDUP('17_Gia_dinh_mo_hinh'!$E$8/30,0)</x:f>
        <x:v>0</x:v>
      </x:c>
      <x:c r="E260" s="62" t="n">
        <x:f>IF(AND(B260&gt;='17_Gia_dinh_mo_hinh'!$F$8+D260,B260&lt;'17_Gia_dinh_mo_hinh'!$F$8+D260+'17_Gia_dinh_mo_hinh'!$G$8),'17_Gia_dinh_mo_hinh'!$L$8*(1-'17_Gia_dinh_mo_hinh'!$M$8)/'17_Gia_dinh_mo_hinh'!$G$8,0)</x:f>
        <x:v>0</x:v>
      </x:c>
      <x:c r="F260" s="62" t="n">
        <x:f>0.70*E260+0.30*E259</x:f>
        <x:v>0</x:v>
      </x:c>
      <x:c r="G260" s="62" t="n">
        <x:f>IF(AND(B260&gt;='17_Gia_dinh_mo_hinh'!$H$8+D260,B260&lt;'17_Gia_dinh_mo_hinh'!$H$8+D260+'17_Gia_dinh_mo_hinh'!$I$8),'17_Gia_dinh_mo_hinh'!$L$8*(1-'17_Gia_dinh_mo_hinh'!$M$8)/'17_Gia_dinh_mo_hinh'!$I$8,0)</x:f>
        <x:v>0</x:v>
      </x:c>
      <x:c r="H260" s="62" t="n">
        <x:f>G260*(1-'17_Gia_dinh_mo_hinh'!$N$8)</x:f>
        <x:v>0</x:v>
      </x:c>
      <x:c r="I260" s="62" t="n">
        <x:f>G260*'17_Gia_dinh_mo_hinh'!$O$8</x:f>
        <x:v>0</x:v>
      </x:c>
      <x:c r="J260" s="62" t="n">
        <x:f>G260*'17_Gia_dinh_mo_hinh'!$P$8</x:f>
        <x:v>0</x:v>
      </x:c>
      <x:c r="K260" s="62" t="n">
        <x:f>IF(B260&lt;='17_Gia_dinh_mo_hinh'!$J$8,'17_Gia_dinh_mo_hinh'!$K$8*(1-MIN(0.95,'17_Gia_dinh_mo_hinh'!$M$8*0.75))/'17_Gia_dinh_mo_hinh'!$J$8,0)</x:f>
        <x:v>0</x:v>
      </x:c>
      <x:c r="L260" s="62" t="n">
        <x:f>S259*'17_Gia_dinh_mo_hinh'!$Q$8/12</x:f>
        <x:v>20.354671054258027</x:v>
      </x:c>
      <x:c r="M260" s="62" t="n">
        <x:f>G260-H260-I260-J260-L260</x:f>
        <x:v>-20.354671054258027</x:v>
      </x:c>
      <x:c r="N260" s="62" t="n">
        <x:f>MAX(0,M260*'17_Gia_dinh_mo_hinh'!$S$8)</x:f>
        <x:v>0</x:v>
      </x:c>
      <x:c r="O260" s="62" t="n">
        <x:f>M260-N260</x:f>
        <x:v>-20.354671054258027</x:v>
      </x:c>
      <x:c r="P260" s="62" t="n">
        <x:f>F260-K260-I260-J260-N260-L260</x:f>
        <x:v>-20.354671054258027</x:v>
      </x:c>
      <x:c r="Q260" s="62" t="n">
        <x:f>MIN(MAX(0,-(T259+P260)),MAX(0,'17_Gia_dinh_mo_hinh'!$R$8-S259))</x:f>
        <x:v>20.354671054258027</x:v>
      </x:c>
      <x:c r="R260" s="62" t="n">
        <x:f>MIN(MAX(0,T259+P260+Q260),S259+Q260)</x:f>
        <x:v>0</x:v>
      </x:c>
      <x:c r="S260" s="62" t="n">
        <x:f>S259+Q260-R260</x:f>
        <x:v>2591.471014750009</x:v>
      </x:c>
      <x:c r="T260" s="62" t="n">
        <x:f>MAX(0,T259+P260+Q260-R260)</x:f>
        <x:v>0</x:v>
      </x:c>
      <x:c r="U260" s="62" t="n">
        <x:f>MAX(0,-(T259+P260)-MAX(0,'17_Gia_dinh_mo_hinh'!$R$8-S259))</x:f>
        <x:v>0</x:v>
      </x:c>
      <x:c r="V260" s="61" t="str">
        <x:f>IF(B260&lt;'17_Gia_dinh_mo_hinh'!$F$8+D260,"Trước mở bán",IF(B260&lt;'17_Gia_dinh_mo_hinh'!$H$8+D260,"Bán hàng/thi công",IF(G260&gt;0,"Ghi nhận/bàn giao","Hậu bàn giao")))</x:f>
        <x:v>Hậu bàn giao</x:v>
      </x:c>
    </x:row>
    <x:row r="261">
      <x:c r="A261" s="54" t="str">
        <x:v>DA05</x:v>
      </x:c>
      <x:c r="B261" s="54" t="n">
        <x:v>18</x:v>
      </x:c>
      <x:c r="C261" s="60" t="n">
        <x:f>EDATE('17_Gia_dinh_mo_hinh'!$C$8,B261-1)</x:f>
        <x:v>46753</x:v>
      </x:c>
      <x:c r="D261" s="61" t="n">
        <x:f>ROUNDUP('17_Gia_dinh_mo_hinh'!$E$8/30,0)</x:f>
        <x:v>0</x:v>
      </x:c>
      <x:c r="E261" s="62" t="n">
        <x:f>IF(AND(B261&gt;='17_Gia_dinh_mo_hinh'!$F$8+D261,B261&lt;'17_Gia_dinh_mo_hinh'!$F$8+D261+'17_Gia_dinh_mo_hinh'!$G$8),'17_Gia_dinh_mo_hinh'!$L$8*(1-'17_Gia_dinh_mo_hinh'!$M$8)/'17_Gia_dinh_mo_hinh'!$G$8,0)</x:f>
        <x:v>0</x:v>
      </x:c>
      <x:c r="F261" s="62" t="n">
        <x:f>0.70*E261+0.30*E260</x:f>
        <x:v>0</x:v>
      </x:c>
      <x:c r="G261" s="62" t="n">
        <x:f>IF(AND(B261&gt;='17_Gia_dinh_mo_hinh'!$H$8+D261,B261&lt;'17_Gia_dinh_mo_hinh'!$H$8+D261+'17_Gia_dinh_mo_hinh'!$I$8),'17_Gia_dinh_mo_hinh'!$L$8*(1-'17_Gia_dinh_mo_hinh'!$M$8)/'17_Gia_dinh_mo_hinh'!$I$8,0)</x:f>
        <x:v>0</x:v>
      </x:c>
      <x:c r="H261" s="62" t="n">
        <x:f>G261*(1-'17_Gia_dinh_mo_hinh'!$N$8)</x:f>
        <x:v>0</x:v>
      </x:c>
      <x:c r="I261" s="62" t="n">
        <x:f>G261*'17_Gia_dinh_mo_hinh'!$O$8</x:f>
        <x:v>0</x:v>
      </x:c>
      <x:c r="J261" s="62" t="n">
        <x:f>G261*'17_Gia_dinh_mo_hinh'!$P$8</x:f>
        <x:v>0</x:v>
      </x:c>
      <x:c r="K261" s="62" t="n">
        <x:f>IF(B261&lt;='17_Gia_dinh_mo_hinh'!$J$8,'17_Gia_dinh_mo_hinh'!$K$8*(1-MIN(0.95,'17_Gia_dinh_mo_hinh'!$M$8*0.75))/'17_Gia_dinh_mo_hinh'!$J$8,0)</x:f>
        <x:v>0</x:v>
      </x:c>
      <x:c r="L261" s="62" t="n">
        <x:f>S260*'17_Gia_dinh_mo_hinh'!$Q$8/12</x:f>
        <x:v>20.51581220010424</x:v>
      </x:c>
      <x:c r="M261" s="62" t="n">
        <x:f>G261-H261-I261-J261-L261</x:f>
        <x:v>-20.51581220010424</x:v>
      </x:c>
      <x:c r="N261" s="62" t="n">
        <x:f>MAX(0,M261*'17_Gia_dinh_mo_hinh'!$S$8)</x:f>
        <x:v>0</x:v>
      </x:c>
      <x:c r="O261" s="62" t="n">
        <x:f>M261-N261</x:f>
        <x:v>-20.51581220010424</x:v>
      </x:c>
      <x:c r="P261" s="62" t="n">
        <x:f>F261-K261-I261-J261-N261-L261</x:f>
        <x:v>-20.51581220010424</x:v>
      </x:c>
      <x:c r="Q261" s="62" t="n">
        <x:f>MIN(MAX(0,-(T260+P261)),MAX(0,'17_Gia_dinh_mo_hinh'!$R$8-S260))</x:f>
        <x:v>20.51581220010424</x:v>
      </x:c>
      <x:c r="R261" s="62" t="n">
        <x:f>MIN(MAX(0,T260+P261+Q261),S260+Q261)</x:f>
        <x:v>0</x:v>
      </x:c>
      <x:c r="S261" s="62" t="n">
        <x:f>S260+Q261-R261</x:f>
        <x:v>2611.9868269501135</x:v>
      </x:c>
      <x:c r="T261" s="62" t="n">
        <x:f>MAX(0,T260+P261+Q261-R261)</x:f>
        <x:v>0</x:v>
      </x:c>
      <x:c r="U261" s="62" t="n">
        <x:f>MAX(0,-(T260+P261)-MAX(0,'17_Gia_dinh_mo_hinh'!$R$8-S260))</x:f>
        <x:v>0</x:v>
      </x:c>
      <x:c r="V261" s="61" t="str">
        <x:f>IF(B261&lt;'17_Gia_dinh_mo_hinh'!$F$8+D261,"Trước mở bán",IF(B261&lt;'17_Gia_dinh_mo_hinh'!$H$8+D261,"Bán hàng/thi công",IF(G261&gt;0,"Ghi nhận/bàn giao","Hậu bàn giao")))</x:f>
        <x:v>Hậu bàn giao</x:v>
      </x:c>
    </x:row>
    <x:row r="262">
      <x:c r="A262" s="54" t="str">
        <x:v>DA05</x:v>
      </x:c>
      <x:c r="B262" s="54" t="n">
        <x:v>19</x:v>
      </x:c>
      <x:c r="C262" s="60" t="n">
        <x:f>EDATE('17_Gia_dinh_mo_hinh'!$C$8,B262-1)</x:f>
        <x:v>46784</x:v>
      </x:c>
      <x:c r="D262" s="61" t="n">
        <x:f>ROUNDUP('17_Gia_dinh_mo_hinh'!$E$8/30,0)</x:f>
        <x:v>0</x:v>
      </x:c>
      <x:c r="E262" s="62" t="n">
        <x:f>IF(AND(B262&gt;='17_Gia_dinh_mo_hinh'!$F$8+D262,B262&lt;'17_Gia_dinh_mo_hinh'!$F$8+D262+'17_Gia_dinh_mo_hinh'!$G$8),'17_Gia_dinh_mo_hinh'!$L$8*(1-'17_Gia_dinh_mo_hinh'!$M$8)/'17_Gia_dinh_mo_hinh'!$G$8,0)</x:f>
        <x:v>0</x:v>
      </x:c>
      <x:c r="F262" s="62" t="n">
        <x:f>0.70*E262+0.30*E261</x:f>
        <x:v>0</x:v>
      </x:c>
      <x:c r="G262" s="62" t="n">
        <x:f>IF(AND(B262&gt;='17_Gia_dinh_mo_hinh'!$H$8+D262,B262&lt;'17_Gia_dinh_mo_hinh'!$H$8+D262+'17_Gia_dinh_mo_hinh'!$I$8),'17_Gia_dinh_mo_hinh'!$L$8*(1-'17_Gia_dinh_mo_hinh'!$M$8)/'17_Gia_dinh_mo_hinh'!$I$8,0)</x:f>
        <x:v>0</x:v>
      </x:c>
      <x:c r="H262" s="62" t="n">
        <x:f>G262*(1-'17_Gia_dinh_mo_hinh'!$N$8)</x:f>
        <x:v>0</x:v>
      </x:c>
      <x:c r="I262" s="62" t="n">
        <x:f>G262*'17_Gia_dinh_mo_hinh'!$O$8</x:f>
        <x:v>0</x:v>
      </x:c>
      <x:c r="J262" s="62" t="n">
        <x:f>G262*'17_Gia_dinh_mo_hinh'!$P$8</x:f>
        <x:v>0</x:v>
      </x:c>
      <x:c r="K262" s="62" t="n">
        <x:f>IF(B262&lt;='17_Gia_dinh_mo_hinh'!$J$8,'17_Gia_dinh_mo_hinh'!$K$8*(1-MIN(0.95,'17_Gia_dinh_mo_hinh'!$M$8*0.75))/'17_Gia_dinh_mo_hinh'!$J$8,0)</x:f>
        <x:v>0</x:v>
      </x:c>
      <x:c r="L262" s="62" t="n">
        <x:f>S261*'17_Gia_dinh_mo_hinh'!$Q$8/12</x:f>
        <x:v>20.678229046688397</x:v>
      </x:c>
      <x:c r="M262" s="62" t="n">
        <x:f>G262-H262-I262-J262-L262</x:f>
        <x:v>-20.678229046688397</x:v>
      </x:c>
      <x:c r="N262" s="62" t="n">
        <x:f>MAX(0,M262*'17_Gia_dinh_mo_hinh'!$S$8)</x:f>
        <x:v>0</x:v>
      </x:c>
      <x:c r="O262" s="62" t="n">
        <x:f>M262-N262</x:f>
        <x:v>-20.678229046688397</x:v>
      </x:c>
      <x:c r="P262" s="62" t="n">
        <x:f>F262-K262-I262-J262-N262-L262</x:f>
        <x:v>-20.678229046688397</x:v>
      </x:c>
      <x:c r="Q262" s="62" t="n">
        <x:f>MIN(MAX(0,-(T261+P262)),MAX(0,'17_Gia_dinh_mo_hinh'!$R$8-S261))</x:f>
        <x:v>20.678229046688397</x:v>
      </x:c>
      <x:c r="R262" s="62" t="n">
        <x:f>MIN(MAX(0,T261+P262+Q262),S261+Q262)</x:f>
        <x:v>0</x:v>
      </x:c>
      <x:c r="S262" s="62" t="n">
        <x:f>S261+Q262-R262</x:f>
        <x:v>2632.665055996802</x:v>
      </x:c>
      <x:c r="T262" s="62" t="n">
        <x:f>MAX(0,T261+P262+Q262-R262)</x:f>
        <x:v>0</x:v>
      </x:c>
      <x:c r="U262" s="62" t="n">
        <x:f>MAX(0,-(T261+P262)-MAX(0,'17_Gia_dinh_mo_hinh'!$R$8-S261))</x:f>
        <x:v>0</x:v>
      </x:c>
      <x:c r="V262" s="61" t="str">
        <x:f>IF(B262&lt;'17_Gia_dinh_mo_hinh'!$F$8+D262,"Trước mở bán",IF(B262&lt;'17_Gia_dinh_mo_hinh'!$H$8+D262,"Bán hàng/thi công",IF(G262&gt;0,"Ghi nhận/bàn giao","Hậu bàn giao")))</x:f>
        <x:v>Hậu bàn giao</x:v>
      </x:c>
    </x:row>
    <x:row r="263">
      <x:c r="A263" s="54" t="str">
        <x:v>DA05</x:v>
      </x:c>
      <x:c r="B263" s="54" t="n">
        <x:v>20</x:v>
      </x:c>
      <x:c r="C263" s="60" t="n">
        <x:f>EDATE('17_Gia_dinh_mo_hinh'!$C$8,B263-1)</x:f>
        <x:v>46813</x:v>
      </x:c>
      <x:c r="D263" s="61" t="n">
        <x:f>ROUNDUP('17_Gia_dinh_mo_hinh'!$E$8/30,0)</x:f>
        <x:v>0</x:v>
      </x:c>
      <x:c r="E263" s="62" t="n">
        <x:f>IF(AND(B263&gt;='17_Gia_dinh_mo_hinh'!$F$8+D263,B263&lt;'17_Gia_dinh_mo_hinh'!$F$8+D263+'17_Gia_dinh_mo_hinh'!$G$8),'17_Gia_dinh_mo_hinh'!$L$8*(1-'17_Gia_dinh_mo_hinh'!$M$8)/'17_Gia_dinh_mo_hinh'!$G$8,0)</x:f>
        <x:v>0</x:v>
      </x:c>
      <x:c r="F263" s="62" t="n">
        <x:f>0.70*E263+0.30*E262</x:f>
        <x:v>0</x:v>
      </x:c>
      <x:c r="G263" s="62" t="n">
        <x:f>IF(AND(B263&gt;='17_Gia_dinh_mo_hinh'!$H$8+D263,B263&lt;'17_Gia_dinh_mo_hinh'!$H$8+D263+'17_Gia_dinh_mo_hinh'!$I$8),'17_Gia_dinh_mo_hinh'!$L$8*(1-'17_Gia_dinh_mo_hinh'!$M$8)/'17_Gia_dinh_mo_hinh'!$I$8,0)</x:f>
        <x:v>0</x:v>
      </x:c>
      <x:c r="H263" s="62" t="n">
        <x:f>G263*(1-'17_Gia_dinh_mo_hinh'!$N$8)</x:f>
        <x:v>0</x:v>
      </x:c>
      <x:c r="I263" s="62" t="n">
        <x:f>G263*'17_Gia_dinh_mo_hinh'!$O$8</x:f>
        <x:v>0</x:v>
      </x:c>
      <x:c r="J263" s="62" t="n">
        <x:f>G263*'17_Gia_dinh_mo_hinh'!$P$8</x:f>
        <x:v>0</x:v>
      </x:c>
      <x:c r="K263" s="62" t="n">
        <x:f>IF(B263&lt;='17_Gia_dinh_mo_hinh'!$J$8,'17_Gia_dinh_mo_hinh'!$K$8*(1-MIN(0.95,'17_Gia_dinh_mo_hinh'!$M$8*0.75))/'17_Gia_dinh_mo_hinh'!$J$8,0)</x:f>
        <x:v>0</x:v>
      </x:c>
      <x:c r="L263" s="62" t="n">
        <x:f>S262*'17_Gia_dinh_mo_hinh'!$Q$8/12</x:f>
        <x:v>20.841931693308016</x:v>
      </x:c>
      <x:c r="M263" s="62" t="n">
        <x:f>G263-H263-I263-J263-L263</x:f>
        <x:v>-20.841931693308016</x:v>
      </x:c>
      <x:c r="N263" s="62" t="n">
        <x:f>MAX(0,M263*'17_Gia_dinh_mo_hinh'!$S$8)</x:f>
        <x:v>0</x:v>
      </x:c>
      <x:c r="O263" s="62" t="n">
        <x:f>M263-N263</x:f>
        <x:v>-20.841931693308016</x:v>
      </x:c>
      <x:c r="P263" s="62" t="n">
        <x:f>F263-K263-I263-J263-N263-L263</x:f>
        <x:v>-20.841931693308016</x:v>
      </x:c>
      <x:c r="Q263" s="62" t="n">
        <x:f>MIN(MAX(0,-(T262+P263)),MAX(0,'17_Gia_dinh_mo_hinh'!$R$8-S262))</x:f>
        <x:v>20.841931693308016</x:v>
      </x:c>
      <x:c r="R263" s="62" t="n">
        <x:f>MIN(MAX(0,T262+P263+Q263),S262+Q263)</x:f>
        <x:v>0</x:v>
      </x:c>
      <x:c r="S263" s="62" t="n">
        <x:f>S262+Q263-R263</x:f>
        <x:v>2653.5069876901102</x:v>
      </x:c>
      <x:c r="T263" s="62" t="n">
        <x:f>MAX(0,T262+P263+Q263-R263)</x:f>
        <x:v>0</x:v>
      </x:c>
      <x:c r="U263" s="62" t="n">
        <x:f>MAX(0,-(T262+P263)-MAX(0,'17_Gia_dinh_mo_hinh'!$R$8-S262))</x:f>
        <x:v>0</x:v>
      </x:c>
      <x:c r="V263" s="61" t="str">
        <x:f>IF(B263&lt;'17_Gia_dinh_mo_hinh'!$F$8+D263,"Trước mở bán",IF(B263&lt;'17_Gia_dinh_mo_hinh'!$H$8+D263,"Bán hàng/thi công",IF(G263&gt;0,"Ghi nhận/bàn giao","Hậu bàn giao")))</x:f>
        <x:v>Hậu bàn giao</x:v>
      </x:c>
    </x:row>
    <x:row r="264">
      <x:c r="A264" s="54" t="str">
        <x:v>DA05</x:v>
      </x:c>
      <x:c r="B264" s="54" t="n">
        <x:v>21</x:v>
      </x:c>
      <x:c r="C264" s="60" t="n">
        <x:f>EDATE('17_Gia_dinh_mo_hinh'!$C$8,B264-1)</x:f>
        <x:v>46844</x:v>
      </x:c>
      <x:c r="D264" s="61" t="n">
        <x:f>ROUNDUP('17_Gia_dinh_mo_hinh'!$E$8/30,0)</x:f>
        <x:v>0</x:v>
      </x:c>
      <x:c r="E264" s="62" t="n">
        <x:f>IF(AND(B264&gt;='17_Gia_dinh_mo_hinh'!$F$8+D264,B264&lt;'17_Gia_dinh_mo_hinh'!$F$8+D264+'17_Gia_dinh_mo_hinh'!$G$8),'17_Gia_dinh_mo_hinh'!$L$8*(1-'17_Gia_dinh_mo_hinh'!$M$8)/'17_Gia_dinh_mo_hinh'!$G$8,0)</x:f>
        <x:v>0</x:v>
      </x:c>
      <x:c r="F264" s="62" t="n">
        <x:f>0.70*E264+0.30*E263</x:f>
        <x:v>0</x:v>
      </x:c>
      <x:c r="G264" s="62" t="n">
        <x:f>IF(AND(B264&gt;='17_Gia_dinh_mo_hinh'!$H$8+D264,B264&lt;'17_Gia_dinh_mo_hinh'!$H$8+D264+'17_Gia_dinh_mo_hinh'!$I$8),'17_Gia_dinh_mo_hinh'!$L$8*(1-'17_Gia_dinh_mo_hinh'!$M$8)/'17_Gia_dinh_mo_hinh'!$I$8,0)</x:f>
        <x:v>0</x:v>
      </x:c>
      <x:c r="H264" s="62" t="n">
        <x:f>G264*(1-'17_Gia_dinh_mo_hinh'!$N$8)</x:f>
        <x:v>0</x:v>
      </x:c>
      <x:c r="I264" s="62" t="n">
        <x:f>G264*'17_Gia_dinh_mo_hinh'!$O$8</x:f>
        <x:v>0</x:v>
      </x:c>
      <x:c r="J264" s="62" t="n">
        <x:f>G264*'17_Gia_dinh_mo_hinh'!$P$8</x:f>
        <x:v>0</x:v>
      </x:c>
      <x:c r="K264" s="62" t="n">
        <x:f>IF(B264&lt;='17_Gia_dinh_mo_hinh'!$J$8,'17_Gia_dinh_mo_hinh'!$K$8*(1-MIN(0.95,'17_Gia_dinh_mo_hinh'!$M$8*0.75))/'17_Gia_dinh_mo_hinh'!$J$8,0)</x:f>
        <x:v>0</x:v>
      </x:c>
      <x:c r="L264" s="62" t="n">
        <x:f>S263*'17_Gia_dinh_mo_hinh'!$Q$8/12</x:f>
        <x:v>21.00693031921337</x:v>
      </x:c>
      <x:c r="M264" s="62" t="n">
        <x:f>G264-H264-I264-J264-L264</x:f>
        <x:v>-21.00693031921337</x:v>
      </x:c>
      <x:c r="N264" s="62" t="n">
        <x:f>MAX(0,M264*'17_Gia_dinh_mo_hinh'!$S$8)</x:f>
        <x:v>0</x:v>
      </x:c>
      <x:c r="O264" s="62" t="n">
        <x:f>M264-N264</x:f>
        <x:v>-21.00693031921337</x:v>
      </x:c>
      <x:c r="P264" s="62" t="n">
        <x:f>F264-K264-I264-J264-N264-L264</x:f>
        <x:v>-21.00693031921337</x:v>
      </x:c>
      <x:c r="Q264" s="62" t="n">
        <x:f>MIN(MAX(0,-(T263+P264)),MAX(0,'17_Gia_dinh_mo_hinh'!$R$8-S263))</x:f>
        <x:v>21.00693031921337</x:v>
      </x:c>
      <x:c r="R264" s="62" t="n">
        <x:f>MIN(MAX(0,T263+P264+Q264),S263+Q264)</x:f>
        <x:v>0</x:v>
      </x:c>
      <x:c r="S264" s="62" t="n">
        <x:f>S263+Q264-R264</x:f>
        <x:v>2674.513918009324</x:v>
      </x:c>
      <x:c r="T264" s="62" t="n">
        <x:f>MAX(0,T263+P264+Q264-R264)</x:f>
        <x:v>0</x:v>
      </x:c>
      <x:c r="U264" s="62" t="n">
        <x:f>MAX(0,-(T263+P264)-MAX(0,'17_Gia_dinh_mo_hinh'!$R$8-S263))</x:f>
        <x:v>0</x:v>
      </x:c>
      <x:c r="V264" s="61" t="str">
        <x:f>IF(B264&lt;'17_Gia_dinh_mo_hinh'!$F$8+D264,"Trước mở bán",IF(B264&lt;'17_Gia_dinh_mo_hinh'!$H$8+D264,"Bán hàng/thi công",IF(G264&gt;0,"Ghi nhận/bàn giao","Hậu bàn giao")))</x:f>
        <x:v>Hậu bàn giao</x:v>
      </x:c>
    </x:row>
    <x:row r="265">
      <x:c r="A265" s="54" t="str">
        <x:v>DA05</x:v>
      </x:c>
      <x:c r="B265" s="54" t="n">
        <x:v>22</x:v>
      </x:c>
      <x:c r="C265" s="60" t="n">
        <x:f>EDATE('17_Gia_dinh_mo_hinh'!$C$8,B265-1)</x:f>
        <x:v>46874</x:v>
      </x:c>
      <x:c r="D265" s="61" t="n">
        <x:f>ROUNDUP('17_Gia_dinh_mo_hinh'!$E$8/30,0)</x:f>
        <x:v>0</x:v>
      </x:c>
      <x:c r="E265" s="62" t="n">
        <x:f>IF(AND(B265&gt;='17_Gia_dinh_mo_hinh'!$F$8+D265,B265&lt;'17_Gia_dinh_mo_hinh'!$F$8+D265+'17_Gia_dinh_mo_hinh'!$G$8),'17_Gia_dinh_mo_hinh'!$L$8*(1-'17_Gia_dinh_mo_hinh'!$M$8)/'17_Gia_dinh_mo_hinh'!$G$8,0)</x:f>
        <x:v>0</x:v>
      </x:c>
      <x:c r="F265" s="62" t="n">
        <x:f>0.70*E265+0.30*E264</x:f>
        <x:v>0</x:v>
      </x:c>
      <x:c r="G265" s="62" t="n">
        <x:f>IF(AND(B265&gt;='17_Gia_dinh_mo_hinh'!$H$8+D265,B265&lt;'17_Gia_dinh_mo_hinh'!$H$8+D265+'17_Gia_dinh_mo_hinh'!$I$8),'17_Gia_dinh_mo_hinh'!$L$8*(1-'17_Gia_dinh_mo_hinh'!$M$8)/'17_Gia_dinh_mo_hinh'!$I$8,0)</x:f>
        <x:v>0</x:v>
      </x:c>
      <x:c r="H265" s="62" t="n">
        <x:f>G265*(1-'17_Gia_dinh_mo_hinh'!$N$8)</x:f>
        <x:v>0</x:v>
      </x:c>
      <x:c r="I265" s="62" t="n">
        <x:f>G265*'17_Gia_dinh_mo_hinh'!$O$8</x:f>
        <x:v>0</x:v>
      </x:c>
      <x:c r="J265" s="62" t="n">
        <x:f>G265*'17_Gia_dinh_mo_hinh'!$P$8</x:f>
        <x:v>0</x:v>
      </x:c>
      <x:c r="K265" s="62" t="n">
        <x:f>IF(B265&lt;='17_Gia_dinh_mo_hinh'!$J$8,'17_Gia_dinh_mo_hinh'!$K$8*(1-MIN(0.95,'17_Gia_dinh_mo_hinh'!$M$8*0.75))/'17_Gia_dinh_mo_hinh'!$J$8,0)</x:f>
        <x:v>0</x:v>
      </x:c>
      <x:c r="L265" s="62" t="n">
        <x:f>S264*'17_Gia_dinh_mo_hinh'!$Q$8/12</x:f>
        <x:v>21.17323518424048</x:v>
      </x:c>
      <x:c r="M265" s="62" t="n">
        <x:f>G265-H265-I265-J265-L265</x:f>
        <x:v>-21.17323518424048</x:v>
      </x:c>
      <x:c r="N265" s="62" t="n">
        <x:f>MAX(0,M265*'17_Gia_dinh_mo_hinh'!$S$8)</x:f>
        <x:v>0</x:v>
      </x:c>
      <x:c r="O265" s="62" t="n">
        <x:f>M265-N265</x:f>
        <x:v>-21.17323518424048</x:v>
      </x:c>
      <x:c r="P265" s="62" t="n">
        <x:f>F265-K265-I265-J265-N265-L265</x:f>
        <x:v>-21.17323518424048</x:v>
      </x:c>
      <x:c r="Q265" s="62" t="n">
        <x:f>MIN(MAX(0,-(T264+P265)),MAX(0,'17_Gia_dinh_mo_hinh'!$R$8-S264))</x:f>
        <x:v>21.17323518424048</x:v>
      </x:c>
      <x:c r="R265" s="62" t="n">
        <x:f>MIN(MAX(0,T264+P265+Q265),S264+Q265)</x:f>
        <x:v>0</x:v>
      </x:c>
      <x:c r="S265" s="62" t="n">
        <x:f>S264+Q265-R265</x:f>
        <x:v>2695.6871531935644</x:v>
      </x:c>
      <x:c r="T265" s="62" t="n">
        <x:f>MAX(0,T264+P265+Q265-R265)</x:f>
        <x:v>0</x:v>
      </x:c>
      <x:c r="U265" s="62" t="n">
        <x:f>MAX(0,-(T264+P265)-MAX(0,'17_Gia_dinh_mo_hinh'!$R$8-S264))</x:f>
        <x:v>0</x:v>
      </x:c>
      <x:c r="V265" s="61" t="str">
        <x:f>IF(B265&lt;'17_Gia_dinh_mo_hinh'!$F$8+D265,"Trước mở bán",IF(B265&lt;'17_Gia_dinh_mo_hinh'!$H$8+D265,"Bán hàng/thi công",IF(G265&gt;0,"Ghi nhận/bàn giao","Hậu bàn giao")))</x:f>
        <x:v>Hậu bàn giao</x:v>
      </x:c>
    </x:row>
    <x:row r="266">
      <x:c r="A266" s="54" t="str">
        <x:v>DA05</x:v>
      </x:c>
      <x:c r="B266" s="54" t="n">
        <x:v>23</x:v>
      </x:c>
      <x:c r="C266" s="60" t="n">
        <x:f>EDATE('17_Gia_dinh_mo_hinh'!$C$8,B266-1)</x:f>
        <x:v>46905</x:v>
      </x:c>
      <x:c r="D266" s="61" t="n">
        <x:f>ROUNDUP('17_Gia_dinh_mo_hinh'!$E$8/30,0)</x:f>
        <x:v>0</x:v>
      </x:c>
      <x:c r="E266" s="62" t="n">
        <x:f>IF(AND(B266&gt;='17_Gia_dinh_mo_hinh'!$F$8+D266,B266&lt;'17_Gia_dinh_mo_hinh'!$F$8+D266+'17_Gia_dinh_mo_hinh'!$G$8),'17_Gia_dinh_mo_hinh'!$L$8*(1-'17_Gia_dinh_mo_hinh'!$M$8)/'17_Gia_dinh_mo_hinh'!$G$8,0)</x:f>
        <x:v>0</x:v>
      </x:c>
      <x:c r="F266" s="62" t="n">
        <x:f>0.70*E266+0.30*E265</x:f>
        <x:v>0</x:v>
      </x:c>
      <x:c r="G266" s="62" t="n">
        <x:f>IF(AND(B266&gt;='17_Gia_dinh_mo_hinh'!$H$8+D266,B266&lt;'17_Gia_dinh_mo_hinh'!$H$8+D266+'17_Gia_dinh_mo_hinh'!$I$8),'17_Gia_dinh_mo_hinh'!$L$8*(1-'17_Gia_dinh_mo_hinh'!$M$8)/'17_Gia_dinh_mo_hinh'!$I$8,0)</x:f>
        <x:v>0</x:v>
      </x:c>
      <x:c r="H266" s="62" t="n">
        <x:f>G266*(1-'17_Gia_dinh_mo_hinh'!$N$8)</x:f>
        <x:v>0</x:v>
      </x:c>
      <x:c r="I266" s="62" t="n">
        <x:f>G266*'17_Gia_dinh_mo_hinh'!$O$8</x:f>
        <x:v>0</x:v>
      </x:c>
      <x:c r="J266" s="62" t="n">
        <x:f>G266*'17_Gia_dinh_mo_hinh'!$P$8</x:f>
        <x:v>0</x:v>
      </x:c>
      <x:c r="K266" s="62" t="n">
        <x:f>IF(B266&lt;='17_Gia_dinh_mo_hinh'!$J$8,'17_Gia_dinh_mo_hinh'!$K$8*(1-MIN(0.95,'17_Gia_dinh_mo_hinh'!$M$8*0.75))/'17_Gia_dinh_mo_hinh'!$J$8,0)</x:f>
        <x:v>0</x:v>
      </x:c>
      <x:c r="L266" s="62" t="n">
        <x:f>S265*'17_Gia_dinh_mo_hinh'!$Q$8/12</x:f>
        <x:v>21.34085662944905</x:v>
      </x:c>
      <x:c r="M266" s="62" t="n">
        <x:f>G266-H266-I266-J266-L266</x:f>
        <x:v>-21.34085662944905</x:v>
      </x:c>
      <x:c r="N266" s="62" t="n">
        <x:f>MAX(0,M266*'17_Gia_dinh_mo_hinh'!$S$8)</x:f>
        <x:v>0</x:v>
      </x:c>
      <x:c r="O266" s="62" t="n">
        <x:f>M266-N266</x:f>
        <x:v>-21.34085662944905</x:v>
      </x:c>
      <x:c r="P266" s="62" t="n">
        <x:f>F266-K266-I266-J266-N266-L266</x:f>
        <x:v>-21.34085662944905</x:v>
      </x:c>
      <x:c r="Q266" s="62" t="n">
        <x:f>MIN(MAX(0,-(T265+P266)),MAX(0,'17_Gia_dinh_mo_hinh'!$R$8-S265))</x:f>
        <x:v>21.34085662944905</x:v>
      </x:c>
      <x:c r="R266" s="62" t="n">
        <x:f>MIN(MAX(0,T265+P266+Q266),S265+Q266)</x:f>
        <x:v>0</x:v>
      </x:c>
      <x:c r="S266" s="62" t="n">
        <x:f>S265+Q266-R266</x:f>
        <x:v>2717.0280098230137</x:v>
      </x:c>
      <x:c r="T266" s="62" t="n">
        <x:f>MAX(0,T265+P266+Q266-R266)</x:f>
        <x:v>0</x:v>
      </x:c>
      <x:c r="U266" s="62" t="n">
        <x:f>MAX(0,-(T265+P266)-MAX(0,'17_Gia_dinh_mo_hinh'!$R$8-S265))</x:f>
        <x:v>0</x:v>
      </x:c>
      <x:c r="V266" s="61" t="str">
        <x:f>IF(B266&lt;'17_Gia_dinh_mo_hinh'!$F$8+D266,"Trước mở bán",IF(B266&lt;'17_Gia_dinh_mo_hinh'!$H$8+D266,"Bán hàng/thi công",IF(G266&gt;0,"Ghi nhận/bàn giao","Hậu bàn giao")))</x:f>
        <x:v>Hậu bàn giao</x:v>
      </x:c>
    </x:row>
    <x:row r="267">
      <x:c r="A267" s="54" t="str">
        <x:v>DA05</x:v>
      </x:c>
      <x:c r="B267" s="54" t="n">
        <x:v>24</x:v>
      </x:c>
      <x:c r="C267" s="60" t="n">
        <x:f>EDATE('17_Gia_dinh_mo_hinh'!$C$8,B267-1)</x:f>
        <x:v>46935</x:v>
      </x:c>
      <x:c r="D267" s="61" t="n">
        <x:f>ROUNDUP('17_Gia_dinh_mo_hinh'!$E$8/30,0)</x:f>
        <x:v>0</x:v>
      </x:c>
      <x:c r="E267" s="62" t="n">
        <x:f>IF(AND(B267&gt;='17_Gia_dinh_mo_hinh'!$F$8+D267,B267&lt;'17_Gia_dinh_mo_hinh'!$F$8+D267+'17_Gia_dinh_mo_hinh'!$G$8),'17_Gia_dinh_mo_hinh'!$L$8*(1-'17_Gia_dinh_mo_hinh'!$M$8)/'17_Gia_dinh_mo_hinh'!$G$8,0)</x:f>
        <x:v>0</x:v>
      </x:c>
      <x:c r="F267" s="62" t="n">
        <x:f>0.70*E267+0.30*E266</x:f>
        <x:v>0</x:v>
      </x:c>
      <x:c r="G267" s="62" t="n">
        <x:f>IF(AND(B267&gt;='17_Gia_dinh_mo_hinh'!$H$8+D267,B267&lt;'17_Gia_dinh_mo_hinh'!$H$8+D267+'17_Gia_dinh_mo_hinh'!$I$8),'17_Gia_dinh_mo_hinh'!$L$8*(1-'17_Gia_dinh_mo_hinh'!$M$8)/'17_Gia_dinh_mo_hinh'!$I$8,0)</x:f>
        <x:v>0</x:v>
      </x:c>
      <x:c r="H267" s="62" t="n">
        <x:f>G267*(1-'17_Gia_dinh_mo_hinh'!$N$8)</x:f>
        <x:v>0</x:v>
      </x:c>
      <x:c r="I267" s="62" t="n">
        <x:f>G267*'17_Gia_dinh_mo_hinh'!$O$8</x:f>
        <x:v>0</x:v>
      </x:c>
      <x:c r="J267" s="62" t="n">
        <x:f>G267*'17_Gia_dinh_mo_hinh'!$P$8</x:f>
        <x:v>0</x:v>
      </x:c>
      <x:c r="K267" s="62" t="n">
        <x:f>IF(B267&lt;='17_Gia_dinh_mo_hinh'!$J$8,'17_Gia_dinh_mo_hinh'!$K$8*(1-MIN(0.95,'17_Gia_dinh_mo_hinh'!$M$8*0.75))/'17_Gia_dinh_mo_hinh'!$J$8,0)</x:f>
        <x:v>0</x:v>
      </x:c>
      <x:c r="L267" s="62" t="n">
        <x:f>S266*'17_Gia_dinh_mo_hinh'!$Q$8/12</x:f>
        <x:v>21.509805077765524</x:v>
      </x:c>
      <x:c r="M267" s="62" t="n">
        <x:f>G267-H267-I267-J267-L267</x:f>
        <x:v>-21.509805077765524</x:v>
      </x:c>
      <x:c r="N267" s="62" t="n">
        <x:f>MAX(0,M267*'17_Gia_dinh_mo_hinh'!$S$8)</x:f>
        <x:v>0</x:v>
      </x:c>
      <x:c r="O267" s="62" t="n">
        <x:f>M267-N267</x:f>
        <x:v>-21.509805077765524</x:v>
      </x:c>
      <x:c r="P267" s="62" t="n">
        <x:f>F267-K267-I267-J267-N267-L267</x:f>
        <x:v>-21.509805077765524</x:v>
      </x:c>
      <x:c r="Q267" s="62" t="n">
        <x:f>MIN(MAX(0,-(T266+P267)),MAX(0,'17_Gia_dinh_mo_hinh'!$R$8-S266))</x:f>
        <x:v>21.509805077765524</x:v>
      </x:c>
      <x:c r="R267" s="62" t="n">
        <x:f>MIN(MAX(0,T266+P267+Q267),S266+Q267)</x:f>
        <x:v>0</x:v>
      </x:c>
      <x:c r="S267" s="62" t="n">
        <x:f>S266+Q267-R267</x:f>
        <x:v>2738.5378149007793</x:v>
      </x:c>
      <x:c r="T267" s="62" t="n">
        <x:f>MAX(0,T266+P267+Q267-R267)</x:f>
        <x:v>0</x:v>
      </x:c>
      <x:c r="U267" s="62" t="n">
        <x:f>MAX(0,-(T266+P267)-MAX(0,'17_Gia_dinh_mo_hinh'!$R$8-S266))</x:f>
        <x:v>0</x:v>
      </x:c>
      <x:c r="V267" s="61" t="str">
        <x:f>IF(B267&lt;'17_Gia_dinh_mo_hinh'!$F$8+D267,"Trước mở bán",IF(B267&lt;'17_Gia_dinh_mo_hinh'!$H$8+D267,"Bán hàng/thi công",IF(G267&gt;0,"Ghi nhận/bàn giao","Hậu bàn giao")))</x:f>
        <x:v>Hậu bàn giao</x:v>
      </x:c>
    </x:row>
    <x:row r="268">
      <x:c r="A268" s="54" t="str">
        <x:v>DA05</x:v>
      </x:c>
      <x:c r="B268" s="54" t="n">
        <x:v>25</x:v>
      </x:c>
      <x:c r="C268" s="60" t="n">
        <x:f>EDATE('17_Gia_dinh_mo_hinh'!$C$8,B268-1)</x:f>
        <x:v>46966</x:v>
      </x:c>
      <x:c r="D268" s="61" t="n">
        <x:f>ROUNDUP('17_Gia_dinh_mo_hinh'!$E$8/30,0)</x:f>
        <x:v>0</x:v>
      </x:c>
      <x:c r="E268" s="62" t="n">
        <x:f>IF(AND(B268&gt;='17_Gia_dinh_mo_hinh'!$F$8+D268,B268&lt;'17_Gia_dinh_mo_hinh'!$F$8+D268+'17_Gia_dinh_mo_hinh'!$G$8),'17_Gia_dinh_mo_hinh'!$L$8*(1-'17_Gia_dinh_mo_hinh'!$M$8)/'17_Gia_dinh_mo_hinh'!$G$8,0)</x:f>
        <x:v>0</x:v>
      </x:c>
      <x:c r="F268" s="62" t="n">
        <x:f>0.70*E268+0.30*E267</x:f>
        <x:v>0</x:v>
      </x:c>
      <x:c r="G268" s="62" t="n">
        <x:f>IF(AND(B268&gt;='17_Gia_dinh_mo_hinh'!$H$8+D268,B268&lt;'17_Gia_dinh_mo_hinh'!$H$8+D268+'17_Gia_dinh_mo_hinh'!$I$8),'17_Gia_dinh_mo_hinh'!$L$8*(1-'17_Gia_dinh_mo_hinh'!$M$8)/'17_Gia_dinh_mo_hinh'!$I$8,0)</x:f>
        <x:v>0</x:v>
      </x:c>
      <x:c r="H268" s="62" t="n">
        <x:f>G268*(1-'17_Gia_dinh_mo_hinh'!$N$8)</x:f>
        <x:v>0</x:v>
      </x:c>
      <x:c r="I268" s="62" t="n">
        <x:f>G268*'17_Gia_dinh_mo_hinh'!$O$8</x:f>
        <x:v>0</x:v>
      </x:c>
      <x:c r="J268" s="62" t="n">
        <x:f>G268*'17_Gia_dinh_mo_hinh'!$P$8</x:f>
        <x:v>0</x:v>
      </x:c>
      <x:c r="K268" s="62" t="n">
        <x:f>IF(B268&lt;='17_Gia_dinh_mo_hinh'!$J$8,'17_Gia_dinh_mo_hinh'!$K$8*(1-MIN(0.95,'17_Gia_dinh_mo_hinh'!$M$8*0.75))/'17_Gia_dinh_mo_hinh'!$J$8,0)</x:f>
        <x:v>0</x:v>
      </x:c>
      <x:c r="L268" s="62" t="n">
        <x:f>S267*'17_Gia_dinh_mo_hinh'!$Q$8/12</x:f>
        <x:v>21.68009103463117</x:v>
      </x:c>
      <x:c r="M268" s="62" t="n">
        <x:f>G268-H268-I268-J268-L268</x:f>
        <x:v>-21.68009103463117</x:v>
      </x:c>
      <x:c r="N268" s="62" t="n">
        <x:f>MAX(0,M268*'17_Gia_dinh_mo_hinh'!$S$8)</x:f>
        <x:v>0</x:v>
      </x:c>
      <x:c r="O268" s="62" t="n">
        <x:f>M268-N268</x:f>
        <x:v>-21.68009103463117</x:v>
      </x:c>
      <x:c r="P268" s="62" t="n">
        <x:f>F268-K268-I268-J268-N268-L268</x:f>
        <x:v>-21.68009103463117</x:v>
      </x:c>
      <x:c r="Q268" s="62" t="n">
        <x:f>MIN(MAX(0,-(T267+P268)),MAX(0,'17_Gia_dinh_mo_hinh'!$R$8-S267))</x:f>
        <x:v>21.68009103463117</x:v>
      </x:c>
      <x:c r="R268" s="62" t="n">
        <x:f>MIN(MAX(0,T267+P268+Q268),S267+Q268)</x:f>
        <x:v>0</x:v>
      </x:c>
      <x:c r="S268" s="62" t="n">
        <x:f>S267+Q268-R268</x:f>
        <x:v>2760.2179059354103</x:v>
      </x:c>
      <x:c r="T268" s="62" t="n">
        <x:f>MAX(0,T267+P268+Q268-R268)</x:f>
        <x:v>0</x:v>
      </x:c>
      <x:c r="U268" s="62" t="n">
        <x:f>MAX(0,-(T267+P268)-MAX(0,'17_Gia_dinh_mo_hinh'!$R$8-S267))</x:f>
        <x:v>0</x:v>
      </x:c>
      <x:c r="V268" s="61" t="str">
        <x:f>IF(B268&lt;'17_Gia_dinh_mo_hinh'!$F$8+D268,"Trước mở bán",IF(B268&lt;'17_Gia_dinh_mo_hinh'!$H$8+D268,"Bán hàng/thi công",IF(G268&gt;0,"Ghi nhận/bàn giao","Hậu bàn giao")))</x:f>
        <x:v>Hậu bàn giao</x:v>
      </x:c>
    </x:row>
    <x:row r="269">
      <x:c r="A269" s="54" t="str">
        <x:v>DA05</x:v>
      </x:c>
      <x:c r="B269" s="54" t="n">
        <x:v>26</x:v>
      </x:c>
      <x:c r="C269" s="60" t="n">
        <x:f>EDATE('17_Gia_dinh_mo_hinh'!$C$8,B269-1)</x:f>
        <x:v>46997</x:v>
      </x:c>
      <x:c r="D269" s="61" t="n">
        <x:f>ROUNDUP('17_Gia_dinh_mo_hinh'!$E$8/30,0)</x:f>
        <x:v>0</x:v>
      </x:c>
      <x:c r="E269" s="62" t="n">
        <x:f>IF(AND(B269&gt;='17_Gia_dinh_mo_hinh'!$F$8+D269,B269&lt;'17_Gia_dinh_mo_hinh'!$F$8+D269+'17_Gia_dinh_mo_hinh'!$G$8),'17_Gia_dinh_mo_hinh'!$L$8*(1-'17_Gia_dinh_mo_hinh'!$M$8)/'17_Gia_dinh_mo_hinh'!$G$8,0)</x:f>
        <x:v>0</x:v>
      </x:c>
      <x:c r="F269" s="62" t="n">
        <x:f>0.70*E269+0.30*E268</x:f>
        <x:v>0</x:v>
      </x:c>
      <x:c r="G269" s="62" t="n">
        <x:f>IF(AND(B269&gt;='17_Gia_dinh_mo_hinh'!$H$8+D269,B269&lt;'17_Gia_dinh_mo_hinh'!$H$8+D269+'17_Gia_dinh_mo_hinh'!$I$8),'17_Gia_dinh_mo_hinh'!$L$8*(1-'17_Gia_dinh_mo_hinh'!$M$8)/'17_Gia_dinh_mo_hinh'!$I$8,0)</x:f>
        <x:v>0</x:v>
      </x:c>
      <x:c r="H269" s="62" t="n">
        <x:f>G269*(1-'17_Gia_dinh_mo_hinh'!$N$8)</x:f>
        <x:v>0</x:v>
      </x:c>
      <x:c r="I269" s="62" t="n">
        <x:f>G269*'17_Gia_dinh_mo_hinh'!$O$8</x:f>
        <x:v>0</x:v>
      </x:c>
      <x:c r="J269" s="62" t="n">
        <x:f>G269*'17_Gia_dinh_mo_hinh'!$P$8</x:f>
        <x:v>0</x:v>
      </x:c>
      <x:c r="K269" s="62" t="n">
        <x:f>IF(B269&lt;='17_Gia_dinh_mo_hinh'!$J$8,'17_Gia_dinh_mo_hinh'!$K$8*(1-MIN(0.95,'17_Gia_dinh_mo_hinh'!$M$8*0.75))/'17_Gia_dinh_mo_hinh'!$J$8,0)</x:f>
        <x:v>0</x:v>
      </x:c>
      <x:c r="L269" s="62" t="n">
        <x:f>S268*'17_Gia_dinh_mo_hinh'!$Q$8/12</x:f>
        <x:v>21.851725088655332</x:v>
      </x:c>
      <x:c r="M269" s="62" t="n">
        <x:f>G269-H269-I269-J269-L269</x:f>
        <x:v>-21.851725088655332</x:v>
      </x:c>
      <x:c r="N269" s="62" t="n">
        <x:f>MAX(0,M269*'17_Gia_dinh_mo_hinh'!$S$8)</x:f>
        <x:v>0</x:v>
      </x:c>
      <x:c r="O269" s="62" t="n">
        <x:f>M269-N269</x:f>
        <x:v>-21.851725088655332</x:v>
      </x:c>
      <x:c r="P269" s="62" t="n">
        <x:f>F269-K269-I269-J269-N269-L269</x:f>
        <x:v>-21.851725088655332</x:v>
      </x:c>
      <x:c r="Q269" s="62" t="n">
        <x:f>MIN(MAX(0,-(T268+P269)),MAX(0,'17_Gia_dinh_mo_hinh'!$R$8-S268))</x:f>
        <x:v>21.851725088655332</x:v>
      </x:c>
      <x:c r="R269" s="62" t="n">
        <x:f>MIN(MAX(0,T268+P269+Q269),S268+Q269)</x:f>
        <x:v>0</x:v>
      </x:c>
      <x:c r="S269" s="62" t="n">
        <x:f>S268+Q269-R269</x:f>
        <x:v>2782.0696310240655</x:v>
      </x:c>
      <x:c r="T269" s="62" t="n">
        <x:f>MAX(0,T268+P269+Q269-R269)</x:f>
        <x:v>0</x:v>
      </x:c>
      <x:c r="U269" s="62" t="n">
        <x:f>MAX(0,-(T268+P269)-MAX(0,'17_Gia_dinh_mo_hinh'!$R$8-S268))</x:f>
        <x:v>0</x:v>
      </x:c>
      <x:c r="V269" s="61" t="str">
        <x:f>IF(B269&lt;'17_Gia_dinh_mo_hinh'!$F$8+D269,"Trước mở bán",IF(B269&lt;'17_Gia_dinh_mo_hinh'!$H$8+D269,"Bán hàng/thi công",IF(G269&gt;0,"Ghi nhận/bàn giao","Hậu bàn giao")))</x:f>
        <x:v>Hậu bàn giao</x:v>
      </x:c>
    </x:row>
    <x:row r="270">
      <x:c r="A270" s="54" t="str">
        <x:v>DA05</x:v>
      </x:c>
      <x:c r="B270" s="54" t="n">
        <x:v>27</x:v>
      </x:c>
      <x:c r="C270" s="60" t="n">
        <x:f>EDATE('17_Gia_dinh_mo_hinh'!$C$8,B270-1)</x:f>
        <x:v>47027</x:v>
      </x:c>
      <x:c r="D270" s="61" t="n">
        <x:f>ROUNDUP('17_Gia_dinh_mo_hinh'!$E$8/30,0)</x:f>
        <x:v>0</x:v>
      </x:c>
      <x:c r="E270" s="62" t="n">
        <x:f>IF(AND(B270&gt;='17_Gia_dinh_mo_hinh'!$F$8+D270,B270&lt;'17_Gia_dinh_mo_hinh'!$F$8+D270+'17_Gia_dinh_mo_hinh'!$G$8),'17_Gia_dinh_mo_hinh'!$L$8*(1-'17_Gia_dinh_mo_hinh'!$M$8)/'17_Gia_dinh_mo_hinh'!$G$8,0)</x:f>
        <x:v>0</x:v>
      </x:c>
      <x:c r="F270" s="62" t="n">
        <x:f>0.70*E270+0.30*E269</x:f>
        <x:v>0</x:v>
      </x:c>
      <x:c r="G270" s="62" t="n">
        <x:f>IF(AND(B270&gt;='17_Gia_dinh_mo_hinh'!$H$8+D270,B270&lt;'17_Gia_dinh_mo_hinh'!$H$8+D270+'17_Gia_dinh_mo_hinh'!$I$8),'17_Gia_dinh_mo_hinh'!$L$8*(1-'17_Gia_dinh_mo_hinh'!$M$8)/'17_Gia_dinh_mo_hinh'!$I$8,0)</x:f>
        <x:v>0</x:v>
      </x:c>
      <x:c r="H270" s="62" t="n">
        <x:f>G270*(1-'17_Gia_dinh_mo_hinh'!$N$8)</x:f>
        <x:v>0</x:v>
      </x:c>
      <x:c r="I270" s="62" t="n">
        <x:f>G270*'17_Gia_dinh_mo_hinh'!$O$8</x:f>
        <x:v>0</x:v>
      </x:c>
      <x:c r="J270" s="62" t="n">
        <x:f>G270*'17_Gia_dinh_mo_hinh'!$P$8</x:f>
        <x:v>0</x:v>
      </x:c>
      <x:c r="K270" s="62" t="n">
        <x:f>IF(B270&lt;='17_Gia_dinh_mo_hinh'!$J$8,'17_Gia_dinh_mo_hinh'!$K$8*(1-MIN(0.95,'17_Gia_dinh_mo_hinh'!$M$8*0.75))/'17_Gia_dinh_mo_hinh'!$J$8,0)</x:f>
        <x:v>0</x:v>
      </x:c>
      <x:c r="L270" s="62" t="n">
        <x:f>S269*'17_Gia_dinh_mo_hinh'!$Q$8/12</x:f>
        <x:v>22.024717912273854</x:v>
      </x:c>
      <x:c r="M270" s="62" t="n">
        <x:f>G270-H270-I270-J270-L270</x:f>
        <x:v>-22.024717912273854</x:v>
      </x:c>
      <x:c r="N270" s="62" t="n">
        <x:f>MAX(0,M270*'17_Gia_dinh_mo_hinh'!$S$8)</x:f>
        <x:v>0</x:v>
      </x:c>
      <x:c r="O270" s="62" t="n">
        <x:f>M270-N270</x:f>
        <x:v>-22.024717912273854</x:v>
      </x:c>
      <x:c r="P270" s="62" t="n">
        <x:f>F270-K270-I270-J270-N270-L270</x:f>
        <x:v>-22.024717912273854</x:v>
      </x:c>
      <x:c r="Q270" s="62" t="n">
        <x:f>MIN(MAX(0,-(T269+P270)),MAX(0,'17_Gia_dinh_mo_hinh'!$R$8-S269))</x:f>
        <x:v>7.930368975934471</x:v>
      </x:c>
      <x:c r="R270" s="62" t="n">
        <x:f>MIN(MAX(0,T269+P270+Q270),S269+Q270)</x:f>
        <x:v>0</x:v>
      </x:c>
      <x:c r="S270" s="62" t="n">
        <x:f>S269+Q270-R270</x:f>
        <x:v>2790</x:v>
      </x:c>
      <x:c r="T270" s="62" t="n">
        <x:f>MAX(0,T269+P270+Q270-R270)</x:f>
        <x:v>0</x:v>
      </x:c>
      <x:c r="U270" s="62" t="n">
        <x:f>MAX(0,-(T269+P270)-MAX(0,'17_Gia_dinh_mo_hinh'!$R$8-S269))</x:f>
        <x:v>14.094348936339383</x:v>
      </x:c>
      <x:c r="V270" s="61" t="str">
        <x:f>IF(B270&lt;'17_Gia_dinh_mo_hinh'!$F$8+D270,"Trước mở bán",IF(B270&lt;'17_Gia_dinh_mo_hinh'!$H$8+D270,"Bán hàng/thi công",IF(G270&gt;0,"Ghi nhận/bàn giao","Hậu bàn giao")))</x:f>
        <x:v>Hậu bàn giao</x:v>
      </x:c>
    </x:row>
    <x:row r="271">
      <x:c r="A271" s="54" t="str">
        <x:v>DA05</x:v>
      </x:c>
      <x:c r="B271" s="54" t="n">
        <x:v>28</x:v>
      </x:c>
      <x:c r="C271" s="60" t="n">
        <x:f>EDATE('17_Gia_dinh_mo_hinh'!$C$8,B271-1)</x:f>
        <x:v>47058</x:v>
      </x:c>
      <x:c r="D271" s="61" t="n">
        <x:f>ROUNDUP('17_Gia_dinh_mo_hinh'!$E$8/30,0)</x:f>
        <x:v>0</x:v>
      </x:c>
      <x:c r="E271" s="62" t="n">
        <x:f>IF(AND(B271&gt;='17_Gia_dinh_mo_hinh'!$F$8+D271,B271&lt;'17_Gia_dinh_mo_hinh'!$F$8+D271+'17_Gia_dinh_mo_hinh'!$G$8),'17_Gia_dinh_mo_hinh'!$L$8*(1-'17_Gia_dinh_mo_hinh'!$M$8)/'17_Gia_dinh_mo_hinh'!$G$8,0)</x:f>
        <x:v>0</x:v>
      </x:c>
      <x:c r="F271" s="62" t="n">
        <x:f>0.70*E271+0.30*E270</x:f>
        <x:v>0</x:v>
      </x:c>
      <x:c r="G271" s="62" t="n">
        <x:f>IF(AND(B271&gt;='17_Gia_dinh_mo_hinh'!$H$8+D271,B271&lt;'17_Gia_dinh_mo_hinh'!$H$8+D271+'17_Gia_dinh_mo_hinh'!$I$8),'17_Gia_dinh_mo_hinh'!$L$8*(1-'17_Gia_dinh_mo_hinh'!$M$8)/'17_Gia_dinh_mo_hinh'!$I$8,0)</x:f>
        <x:v>0</x:v>
      </x:c>
      <x:c r="H271" s="62" t="n">
        <x:f>G271*(1-'17_Gia_dinh_mo_hinh'!$N$8)</x:f>
        <x:v>0</x:v>
      </x:c>
      <x:c r="I271" s="62" t="n">
        <x:f>G271*'17_Gia_dinh_mo_hinh'!$O$8</x:f>
        <x:v>0</x:v>
      </x:c>
      <x:c r="J271" s="62" t="n">
        <x:f>G271*'17_Gia_dinh_mo_hinh'!$P$8</x:f>
        <x:v>0</x:v>
      </x:c>
      <x:c r="K271" s="62" t="n">
        <x:f>IF(B271&lt;='17_Gia_dinh_mo_hinh'!$J$8,'17_Gia_dinh_mo_hinh'!$K$8*(1-MIN(0.95,'17_Gia_dinh_mo_hinh'!$M$8*0.75))/'17_Gia_dinh_mo_hinh'!$J$8,0)</x:f>
        <x:v>0</x:v>
      </x:c>
      <x:c r="L271" s="62" t="n">
        <x:f>S270*'17_Gia_dinh_mo_hinh'!$Q$8/12</x:f>
        <x:v>22.087500000000002</x:v>
      </x:c>
      <x:c r="M271" s="62" t="n">
        <x:f>G271-H271-I271-J271-L271</x:f>
        <x:v>-22.087500000000002</x:v>
      </x:c>
      <x:c r="N271" s="62" t="n">
        <x:f>MAX(0,M271*'17_Gia_dinh_mo_hinh'!$S$8)</x:f>
        <x:v>0</x:v>
      </x:c>
      <x:c r="O271" s="62" t="n">
        <x:f>M271-N271</x:f>
        <x:v>-22.087500000000002</x:v>
      </x:c>
      <x:c r="P271" s="62" t="n">
        <x:f>F271-K271-I271-J271-N271-L271</x:f>
        <x:v>-22.087500000000002</x:v>
      </x:c>
      <x:c r="Q271" s="62" t="n">
        <x:f>MIN(MAX(0,-(T270+P271)),MAX(0,'17_Gia_dinh_mo_hinh'!$R$8-S270))</x:f>
        <x:v>0</x:v>
      </x:c>
      <x:c r="R271" s="62" t="n">
        <x:f>MIN(MAX(0,T270+P271+Q271),S270+Q271)</x:f>
        <x:v>0</x:v>
      </x:c>
      <x:c r="S271" s="62" t="n">
        <x:f>S270+Q271-R271</x:f>
        <x:v>2790</x:v>
      </x:c>
      <x:c r="T271" s="62" t="n">
        <x:f>MAX(0,T270+P271+Q271-R271)</x:f>
        <x:v>0</x:v>
      </x:c>
      <x:c r="U271" s="62" t="n">
        <x:f>MAX(0,-(T270+P271)-MAX(0,'17_Gia_dinh_mo_hinh'!$R$8-S270))</x:f>
        <x:v>22.087500000000002</x:v>
      </x:c>
      <x:c r="V271" s="61" t="str">
        <x:f>IF(B271&lt;'17_Gia_dinh_mo_hinh'!$F$8+D271,"Trước mở bán",IF(B271&lt;'17_Gia_dinh_mo_hinh'!$H$8+D271,"Bán hàng/thi công",IF(G271&gt;0,"Ghi nhận/bàn giao","Hậu bàn giao")))</x:f>
        <x:v>Hậu bàn giao</x:v>
      </x:c>
    </x:row>
    <x:row r="272">
      <x:c r="A272" s="54" t="str">
        <x:v>DA05</x:v>
      </x:c>
      <x:c r="B272" s="54" t="n">
        <x:v>29</x:v>
      </x:c>
      <x:c r="C272" s="60" t="n">
        <x:f>EDATE('17_Gia_dinh_mo_hinh'!$C$8,B272-1)</x:f>
        <x:v>47088</x:v>
      </x:c>
      <x:c r="D272" s="61" t="n">
        <x:f>ROUNDUP('17_Gia_dinh_mo_hinh'!$E$8/30,0)</x:f>
        <x:v>0</x:v>
      </x:c>
      <x:c r="E272" s="62" t="n">
        <x:f>IF(AND(B272&gt;='17_Gia_dinh_mo_hinh'!$F$8+D272,B272&lt;'17_Gia_dinh_mo_hinh'!$F$8+D272+'17_Gia_dinh_mo_hinh'!$G$8),'17_Gia_dinh_mo_hinh'!$L$8*(1-'17_Gia_dinh_mo_hinh'!$M$8)/'17_Gia_dinh_mo_hinh'!$G$8,0)</x:f>
        <x:v>0</x:v>
      </x:c>
      <x:c r="F272" s="62" t="n">
        <x:f>0.70*E272+0.30*E271</x:f>
        <x:v>0</x:v>
      </x:c>
      <x:c r="G272" s="62" t="n">
        <x:f>IF(AND(B272&gt;='17_Gia_dinh_mo_hinh'!$H$8+D272,B272&lt;'17_Gia_dinh_mo_hinh'!$H$8+D272+'17_Gia_dinh_mo_hinh'!$I$8),'17_Gia_dinh_mo_hinh'!$L$8*(1-'17_Gia_dinh_mo_hinh'!$M$8)/'17_Gia_dinh_mo_hinh'!$I$8,0)</x:f>
        <x:v>0</x:v>
      </x:c>
      <x:c r="H272" s="62" t="n">
        <x:f>G272*(1-'17_Gia_dinh_mo_hinh'!$N$8)</x:f>
        <x:v>0</x:v>
      </x:c>
      <x:c r="I272" s="62" t="n">
        <x:f>G272*'17_Gia_dinh_mo_hinh'!$O$8</x:f>
        <x:v>0</x:v>
      </x:c>
      <x:c r="J272" s="62" t="n">
        <x:f>G272*'17_Gia_dinh_mo_hinh'!$P$8</x:f>
        <x:v>0</x:v>
      </x:c>
      <x:c r="K272" s="62" t="n">
        <x:f>IF(B272&lt;='17_Gia_dinh_mo_hinh'!$J$8,'17_Gia_dinh_mo_hinh'!$K$8*(1-MIN(0.95,'17_Gia_dinh_mo_hinh'!$M$8*0.75))/'17_Gia_dinh_mo_hinh'!$J$8,0)</x:f>
        <x:v>0</x:v>
      </x:c>
      <x:c r="L272" s="62" t="n">
        <x:f>S271*'17_Gia_dinh_mo_hinh'!$Q$8/12</x:f>
        <x:v>22.087500000000002</x:v>
      </x:c>
      <x:c r="M272" s="62" t="n">
        <x:f>G272-H272-I272-J272-L272</x:f>
        <x:v>-22.087500000000002</x:v>
      </x:c>
      <x:c r="N272" s="62" t="n">
        <x:f>MAX(0,M272*'17_Gia_dinh_mo_hinh'!$S$8)</x:f>
        <x:v>0</x:v>
      </x:c>
      <x:c r="O272" s="62" t="n">
        <x:f>M272-N272</x:f>
        <x:v>-22.087500000000002</x:v>
      </x:c>
      <x:c r="P272" s="62" t="n">
        <x:f>F272-K272-I272-J272-N272-L272</x:f>
        <x:v>-22.087500000000002</x:v>
      </x:c>
      <x:c r="Q272" s="62" t="n">
        <x:f>MIN(MAX(0,-(T271+P272)),MAX(0,'17_Gia_dinh_mo_hinh'!$R$8-S271))</x:f>
        <x:v>0</x:v>
      </x:c>
      <x:c r="R272" s="62" t="n">
        <x:f>MIN(MAX(0,T271+P272+Q272),S271+Q272)</x:f>
        <x:v>0</x:v>
      </x:c>
      <x:c r="S272" s="62" t="n">
        <x:f>S271+Q272-R272</x:f>
        <x:v>2790</x:v>
      </x:c>
      <x:c r="T272" s="62" t="n">
        <x:f>MAX(0,T271+P272+Q272-R272)</x:f>
        <x:v>0</x:v>
      </x:c>
      <x:c r="U272" s="62" t="n">
        <x:f>MAX(0,-(T271+P272)-MAX(0,'17_Gia_dinh_mo_hinh'!$R$8-S271))</x:f>
        <x:v>22.087500000000002</x:v>
      </x:c>
      <x:c r="V272" s="61" t="str">
        <x:f>IF(B272&lt;'17_Gia_dinh_mo_hinh'!$F$8+D272,"Trước mở bán",IF(B272&lt;'17_Gia_dinh_mo_hinh'!$H$8+D272,"Bán hàng/thi công",IF(G272&gt;0,"Ghi nhận/bàn giao","Hậu bàn giao")))</x:f>
        <x:v>Hậu bàn giao</x:v>
      </x:c>
    </x:row>
    <x:row r="273">
      <x:c r="A273" s="54" t="str">
        <x:v>DA05</x:v>
      </x:c>
      <x:c r="B273" s="54" t="n">
        <x:v>30</x:v>
      </x:c>
      <x:c r="C273" s="60" t="n">
        <x:f>EDATE('17_Gia_dinh_mo_hinh'!$C$8,B273-1)</x:f>
        <x:v>47119</x:v>
      </x:c>
      <x:c r="D273" s="61" t="n">
        <x:f>ROUNDUP('17_Gia_dinh_mo_hinh'!$E$8/30,0)</x:f>
        <x:v>0</x:v>
      </x:c>
      <x:c r="E273" s="62" t="n">
        <x:f>IF(AND(B273&gt;='17_Gia_dinh_mo_hinh'!$F$8+D273,B273&lt;'17_Gia_dinh_mo_hinh'!$F$8+D273+'17_Gia_dinh_mo_hinh'!$G$8),'17_Gia_dinh_mo_hinh'!$L$8*(1-'17_Gia_dinh_mo_hinh'!$M$8)/'17_Gia_dinh_mo_hinh'!$G$8,0)</x:f>
        <x:v>0</x:v>
      </x:c>
      <x:c r="F273" s="62" t="n">
        <x:f>0.70*E273+0.30*E272</x:f>
        <x:v>0</x:v>
      </x:c>
      <x:c r="G273" s="62" t="n">
        <x:f>IF(AND(B273&gt;='17_Gia_dinh_mo_hinh'!$H$8+D273,B273&lt;'17_Gia_dinh_mo_hinh'!$H$8+D273+'17_Gia_dinh_mo_hinh'!$I$8),'17_Gia_dinh_mo_hinh'!$L$8*(1-'17_Gia_dinh_mo_hinh'!$M$8)/'17_Gia_dinh_mo_hinh'!$I$8,0)</x:f>
        <x:v>0</x:v>
      </x:c>
      <x:c r="H273" s="62" t="n">
        <x:f>G273*(1-'17_Gia_dinh_mo_hinh'!$N$8)</x:f>
        <x:v>0</x:v>
      </x:c>
      <x:c r="I273" s="62" t="n">
        <x:f>G273*'17_Gia_dinh_mo_hinh'!$O$8</x:f>
        <x:v>0</x:v>
      </x:c>
      <x:c r="J273" s="62" t="n">
        <x:f>G273*'17_Gia_dinh_mo_hinh'!$P$8</x:f>
        <x:v>0</x:v>
      </x:c>
      <x:c r="K273" s="62" t="n">
        <x:f>IF(B273&lt;='17_Gia_dinh_mo_hinh'!$J$8,'17_Gia_dinh_mo_hinh'!$K$8*(1-MIN(0.95,'17_Gia_dinh_mo_hinh'!$M$8*0.75))/'17_Gia_dinh_mo_hinh'!$J$8,0)</x:f>
        <x:v>0</x:v>
      </x:c>
      <x:c r="L273" s="62" t="n">
        <x:f>S272*'17_Gia_dinh_mo_hinh'!$Q$8/12</x:f>
        <x:v>22.087500000000002</x:v>
      </x:c>
      <x:c r="M273" s="62" t="n">
        <x:f>G273-H273-I273-J273-L273</x:f>
        <x:v>-22.087500000000002</x:v>
      </x:c>
      <x:c r="N273" s="62" t="n">
        <x:f>MAX(0,M273*'17_Gia_dinh_mo_hinh'!$S$8)</x:f>
        <x:v>0</x:v>
      </x:c>
      <x:c r="O273" s="62" t="n">
        <x:f>M273-N273</x:f>
        <x:v>-22.087500000000002</x:v>
      </x:c>
      <x:c r="P273" s="62" t="n">
        <x:f>F273-K273-I273-J273-N273-L273</x:f>
        <x:v>-22.087500000000002</x:v>
      </x:c>
      <x:c r="Q273" s="62" t="n">
        <x:f>MIN(MAX(0,-(T272+P273)),MAX(0,'17_Gia_dinh_mo_hinh'!$R$8-S272))</x:f>
        <x:v>0</x:v>
      </x:c>
      <x:c r="R273" s="62" t="n">
        <x:f>MIN(MAX(0,T272+P273+Q273),S272+Q273)</x:f>
        <x:v>0</x:v>
      </x:c>
      <x:c r="S273" s="62" t="n">
        <x:f>S272+Q273-R273</x:f>
        <x:v>2790</x:v>
      </x:c>
      <x:c r="T273" s="62" t="n">
        <x:f>MAX(0,T272+P273+Q273-R273)</x:f>
        <x:v>0</x:v>
      </x:c>
      <x:c r="U273" s="62" t="n">
        <x:f>MAX(0,-(T272+P273)-MAX(0,'17_Gia_dinh_mo_hinh'!$R$8-S272))</x:f>
        <x:v>22.087500000000002</x:v>
      </x:c>
      <x:c r="V273" s="61" t="str">
        <x:f>IF(B273&lt;'17_Gia_dinh_mo_hinh'!$F$8+D273,"Trước mở bán",IF(B273&lt;'17_Gia_dinh_mo_hinh'!$H$8+D273,"Bán hàng/thi công",IF(G273&gt;0,"Ghi nhận/bàn giao","Hậu bàn giao")))</x:f>
        <x:v>Hậu bàn giao</x:v>
      </x:c>
    </x:row>
    <x:row r="274">
      <x:c r="A274" s="54" t="str">
        <x:v>DA05</x:v>
      </x:c>
      <x:c r="B274" s="54" t="n">
        <x:v>31</x:v>
      </x:c>
      <x:c r="C274" s="60" t="n">
        <x:f>EDATE('17_Gia_dinh_mo_hinh'!$C$8,B274-1)</x:f>
        <x:v>47150</x:v>
      </x:c>
      <x:c r="D274" s="61" t="n">
        <x:f>ROUNDUP('17_Gia_dinh_mo_hinh'!$E$8/30,0)</x:f>
        <x:v>0</x:v>
      </x:c>
      <x:c r="E274" s="62" t="n">
        <x:f>IF(AND(B274&gt;='17_Gia_dinh_mo_hinh'!$F$8+D274,B274&lt;'17_Gia_dinh_mo_hinh'!$F$8+D274+'17_Gia_dinh_mo_hinh'!$G$8),'17_Gia_dinh_mo_hinh'!$L$8*(1-'17_Gia_dinh_mo_hinh'!$M$8)/'17_Gia_dinh_mo_hinh'!$G$8,0)</x:f>
        <x:v>0</x:v>
      </x:c>
      <x:c r="F274" s="62" t="n">
        <x:f>0.70*E274+0.30*E273</x:f>
        <x:v>0</x:v>
      </x:c>
      <x:c r="G274" s="62" t="n">
        <x:f>IF(AND(B274&gt;='17_Gia_dinh_mo_hinh'!$H$8+D274,B274&lt;'17_Gia_dinh_mo_hinh'!$H$8+D274+'17_Gia_dinh_mo_hinh'!$I$8),'17_Gia_dinh_mo_hinh'!$L$8*(1-'17_Gia_dinh_mo_hinh'!$M$8)/'17_Gia_dinh_mo_hinh'!$I$8,0)</x:f>
        <x:v>0</x:v>
      </x:c>
      <x:c r="H274" s="62" t="n">
        <x:f>G274*(1-'17_Gia_dinh_mo_hinh'!$N$8)</x:f>
        <x:v>0</x:v>
      </x:c>
      <x:c r="I274" s="62" t="n">
        <x:f>G274*'17_Gia_dinh_mo_hinh'!$O$8</x:f>
        <x:v>0</x:v>
      </x:c>
      <x:c r="J274" s="62" t="n">
        <x:f>G274*'17_Gia_dinh_mo_hinh'!$P$8</x:f>
        <x:v>0</x:v>
      </x:c>
      <x:c r="K274" s="62" t="n">
        <x:f>IF(B274&lt;='17_Gia_dinh_mo_hinh'!$J$8,'17_Gia_dinh_mo_hinh'!$K$8*(1-MIN(0.95,'17_Gia_dinh_mo_hinh'!$M$8*0.75))/'17_Gia_dinh_mo_hinh'!$J$8,0)</x:f>
        <x:v>0</x:v>
      </x:c>
      <x:c r="L274" s="62" t="n">
        <x:f>S273*'17_Gia_dinh_mo_hinh'!$Q$8/12</x:f>
        <x:v>22.087500000000002</x:v>
      </x:c>
      <x:c r="M274" s="62" t="n">
        <x:f>G274-H274-I274-J274-L274</x:f>
        <x:v>-22.087500000000002</x:v>
      </x:c>
      <x:c r="N274" s="62" t="n">
        <x:f>MAX(0,M274*'17_Gia_dinh_mo_hinh'!$S$8)</x:f>
        <x:v>0</x:v>
      </x:c>
      <x:c r="O274" s="62" t="n">
        <x:f>M274-N274</x:f>
        <x:v>-22.087500000000002</x:v>
      </x:c>
      <x:c r="P274" s="62" t="n">
        <x:f>F274-K274-I274-J274-N274-L274</x:f>
        <x:v>-22.087500000000002</x:v>
      </x:c>
      <x:c r="Q274" s="62" t="n">
        <x:f>MIN(MAX(0,-(T273+P274)),MAX(0,'17_Gia_dinh_mo_hinh'!$R$8-S273))</x:f>
        <x:v>0</x:v>
      </x:c>
      <x:c r="R274" s="62" t="n">
        <x:f>MIN(MAX(0,T273+P274+Q274),S273+Q274)</x:f>
        <x:v>0</x:v>
      </x:c>
      <x:c r="S274" s="62" t="n">
        <x:f>S273+Q274-R274</x:f>
        <x:v>2790</x:v>
      </x:c>
      <x:c r="T274" s="62" t="n">
        <x:f>MAX(0,T273+P274+Q274-R274)</x:f>
        <x:v>0</x:v>
      </x:c>
      <x:c r="U274" s="62" t="n">
        <x:f>MAX(0,-(T273+P274)-MAX(0,'17_Gia_dinh_mo_hinh'!$R$8-S273))</x:f>
        <x:v>22.087500000000002</x:v>
      </x:c>
      <x:c r="V274" s="61" t="str">
        <x:f>IF(B274&lt;'17_Gia_dinh_mo_hinh'!$F$8+D274,"Trước mở bán",IF(B274&lt;'17_Gia_dinh_mo_hinh'!$H$8+D274,"Bán hàng/thi công",IF(G274&gt;0,"Ghi nhận/bàn giao","Hậu bàn giao")))</x:f>
        <x:v>Hậu bàn giao</x:v>
      </x:c>
    </x:row>
    <x:row r="275">
      <x:c r="A275" s="54" t="str">
        <x:v>DA05</x:v>
      </x:c>
      <x:c r="B275" s="54" t="n">
        <x:v>32</x:v>
      </x:c>
      <x:c r="C275" s="60" t="n">
        <x:f>EDATE('17_Gia_dinh_mo_hinh'!$C$8,B275-1)</x:f>
        <x:v>47178</x:v>
      </x:c>
      <x:c r="D275" s="61" t="n">
        <x:f>ROUNDUP('17_Gia_dinh_mo_hinh'!$E$8/30,0)</x:f>
        <x:v>0</x:v>
      </x:c>
      <x:c r="E275" s="62" t="n">
        <x:f>IF(AND(B275&gt;='17_Gia_dinh_mo_hinh'!$F$8+D275,B275&lt;'17_Gia_dinh_mo_hinh'!$F$8+D275+'17_Gia_dinh_mo_hinh'!$G$8),'17_Gia_dinh_mo_hinh'!$L$8*(1-'17_Gia_dinh_mo_hinh'!$M$8)/'17_Gia_dinh_mo_hinh'!$G$8,0)</x:f>
        <x:v>0</x:v>
      </x:c>
      <x:c r="F275" s="62" t="n">
        <x:f>0.70*E275+0.30*E274</x:f>
        <x:v>0</x:v>
      </x:c>
      <x:c r="G275" s="62" t="n">
        <x:f>IF(AND(B275&gt;='17_Gia_dinh_mo_hinh'!$H$8+D275,B275&lt;'17_Gia_dinh_mo_hinh'!$H$8+D275+'17_Gia_dinh_mo_hinh'!$I$8),'17_Gia_dinh_mo_hinh'!$L$8*(1-'17_Gia_dinh_mo_hinh'!$M$8)/'17_Gia_dinh_mo_hinh'!$I$8,0)</x:f>
        <x:v>0</x:v>
      </x:c>
      <x:c r="H275" s="62" t="n">
        <x:f>G275*(1-'17_Gia_dinh_mo_hinh'!$N$8)</x:f>
        <x:v>0</x:v>
      </x:c>
      <x:c r="I275" s="62" t="n">
        <x:f>G275*'17_Gia_dinh_mo_hinh'!$O$8</x:f>
        <x:v>0</x:v>
      </x:c>
      <x:c r="J275" s="62" t="n">
        <x:f>G275*'17_Gia_dinh_mo_hinh'!$P$8</x:f>
        <x:v>0</x:v>
      </x:c>
      <x:c r="K275" s="62" t="n">
        <x:f>IF(B275&lt;='17_Gia_dinh_mo_hinh'!$J$8,'17_Gia_dinh_mo_hinh'!$K$8*(1-MIN(0.95,'17_Gia_dinh_mo_hinh'!$M$8*0.75))/'17_Gia_dinh_mo_hinh'!$J$8,0)</x:f>
        <x:v>0</x:v>
      </x:c>
      <x:c r="L275" s="62" t="n">
        <x:f>S274*'17_Gia_dinh_mo_hinh'!$Q$8/12</x:f>
        <x:v>22.087500000000002</x:v>
      </x:c>
      <x:c r="M275" s="62" t="n">
        <x:f>G275-H275-I275-J275-L275</x:f>
        <x:v>-22.087500000000002</x:v>
      </x:c>
      <x:c r="N275" s="62" t="n">
        <x:f>MAX(0,M275*'17_Gia_dinh_mo_hinh'!$S$8)</x:f>
        <x:v>0</x:v>
      </x:c>
      <x:c r="O275" s="62" t="n">
        <x:f>M275-N275</x:f>
        <x:v>-22.087500000000002</x:v>
      </x:c>
      <x:c r="P275" s="62" t="n">
        <x:f>F275-K275-I275-J275-N275-L275</x:f>
        <x:v>-22.087500000000002</x:v>
      </x:c>
      <x:c r="Q275" s="62" t="n">
        <x:f>MIN(MAX(0,-(T274+P275)),MAX(0,'17_Gia_dinh_mo_hinh'!$R$8-S274))</x:f>
        <x:v>0</x:v>
      </x:c>
      <x:c r="R275" s="62" t="n">
        <x:f>MIN(MAX(0,T274+P275+Q275),S274+Q275)</x:f>
        <x:v>0</x:v>
      </x:c>
      <x:c r="S275" s="62" t="n">
        <x:f>S274+Q275-R275</x:f>
        <x:v>2790</x:v>
      </x:c>
      <x:c r="T275" s="62" t="n">
        <x:f>MAX(0,T274+P275+Q275-R275)</x:f>
        <x:v>0</x:v>
      </x:c>
      <x:c r="U275" s="62" t="n">
        <x:f>MAX(0,-(T274+P275)-MAX(0,'17_Gia_dinh_mo_hinh'!$R$8-S274))</x:f>
        <x:v>22.087500000000002</x:v>
      </x:c>
      <x:c r="V275" s="61" t="str">
        <x:f>IF(B275&lt;'17_Gia_dinh_mo_hinh'!$F$8+D275,"Trước mở bán",IF(B275&lt;'17_Gia_dinh_mo_hinh'!$H$8+D275,"Bán hàng/thi công",IF(G275&gt;0,"Ghi nhận/bàn giao","Hậu bàn giao")))</x:f>
        <x:v>Hậu bàn giao</x:v>
      </x:c>
    </x:row>
    <x:row r="276">
      <x:c r="A276" s="54" t="str">
        <x:v>DA05</x:v>
      </x:c>
      <x:c r="B276" s="54" t="n">
        <x:v>33</x:v>
      </x:c>
      <x:c r="C276" s="60" t="n">
        <x:f>EDATE('17_Gia_dinh_mo_hinh'!$C$8,B276-1)</x:f>
        <x:v>47209</x:v>
      </x:c>
      <x:c r="D276" s="61" t="n">
        <x:f>ROUNDUP('17_Gia_dinh_mo_hinh'!$E$8/30,0)</x:f>
        <x:v>0</x:v>
      </x:c>
      <x:c r="E276" s="62" t="n">
        <x:f>IF(AND(B276&gt;='17_Gia_dinh_mo_hinh'!$F$8+D276,B276&lt;'17_Gia_dinh_mo_hinh'!$F$8+D276+'17_Gia_dinh_mo_hinh'!$G$8),'17_Gia_dinh_mo_hinh'!$L$8*(1-'17_Gia_dinh_mo_hinh'!$M$8)/'17_Gia_dinh_mo_hinh'!$G$8,0)</x:f>
        <x:v>0</x:v>
      </x:c>
      <x:c r="F276" s="62" t="n">
        <x:f>0.70*E276+0.30*E275</x:f>
        <x:v>0</x:v>
      </x:c>
      <x:c r="G276" s="62" t="n">
        <x:f>IF(AND(B276&gt;='17_Gia_dinh_mo_hinh'!$H$8+D276,B276&lt;'17_Gia_dinh_mo_hinh'!$H$8+D276+'17_Gia_dinh_mo_hinh'!$I$8),'17_Gia_dinh_mo_hinh'!$L$8*(1-'17_Gia_dinh_mo_hinh'!$M$8)/'17_Gia_dinh_mo_hinh'!$I$8,0)</x:f>
        <x:v>0</x:v>
      </x:c>
      <x:c r="H276" s="62" t="n">
        <x:f>G276*(1-'17_Gia_dinh_mo_hinh'!$N$8)</x:f>
        <x:v>0</x:v>
      </x:c>
      <x:c r="I276" s="62" t="n">
        <x:f>G276*'17_Gia_dinh_mo_hinh'!$O$8</x:f>
        <x:v>0</x:v>
      </x:c>
      <x:c r="J276" s="62" t="n">
        <x:f>G276*'17_Gia_dinh_mo_hinh'!$P$8</x:f>
        <x:v>0</x:v>
      </x:c>
      <x:c r="K276" s="62" t="n">
        <x:f>IF(B276&lt;='17_Gia_dinh_mo_hinh'!$J$8,'17_Gia_dinh_mo_hinh'!$K$8*(1-MIN(0.95,'17_Gia_dinh_mo_hinh'!$M$8*0.75))/'17_Gia_dinh_mo_hinh'!$J$8,0)</x:f>
        <x:v>0</x:v>
      </x:c>
      <x:c r="L276" s="62" t="n">
        <x:f>S275*'17_Gia_dinh_mo_hinh'!$Q$8/12</x:f>
        <x:v>22.087500000000002</x:v>
      </x:c>
      <x:c r="M276" s="62" t="n">
        <x:f>G276-H276-I276-J276-L276</x:f>
        <x:v>-22.087500000000002</x:v>
      </x:c>
      <x:c r="N276" s="62" t="n">
        <x:f>MAX(0,M276*'17_Gia_dinh_mo_hinh'!$S$8)</x:f>
        <x:v>0</x:v>
      </x:c>
      <x:c r="O276" s="62" t="n">
        <x:f>M276-N276</x:f>
        <x:v>-22.087500000000002</x:v>
      </x:c>
      <x:c r="P276" s="62" t="n">
        <x:f>F276-K276-I276-J276-N276-L276</x:f>
        <x:v>-22.087500000000002</x:v>
      </x:c>
      <x:c r="Q276" s="62" t="n">
        <x:f>MIN(MAX(0,-(T275+P276)),MAX(0,'17_Gia_dinh_mo_hinh'!$R$8-S275))</x:f>
        <x:v>0</x:v>
      </x:c>
      <x:c r="R276" s="62" t="n">
        <x:f>MIN(MAX(0,T275+P276+Q276),S275+Q276)</x:f>
        <x:v>0</x:v>
      </x:c>
      <x:c r="S276" s="62" t="n">
        <x:f>S275+Q276-R276</x:f>
        <x:v>2790</x:v>
      </x:c>
      <x:c r="T276" s="62" t="n">
        <x:f>MAX(0,T275+P276+Q276-R276)</x:f>
        <x:v>0</x:v>
      </x:c>
      <x:c r="U276" s="62" t="n">
        <x:f>MAX(0,-(T275+P276)-MAX(0,'17_Gia_dinh_mo_hinh'!$R$8-S275))</x:f>
        <x:v>22.087500000000002</x:v>
      </x:c>
      <x:c r="V276" s="61" t="str">
        <x:f>IF(B276&lt;'17_Gia_dinh_mo_hinh'!$F$8+D276,"Trước mở bán",IF(B276&lt;'17_Gia_dinh_mo_hinh'!$H$8+D276,"Bán hàng/thi công",IF(G276&gt;0,"Ghi nhận/bàn giao","Hậu bàn giao")))</x:f>
        <x:v>Hậu bàn giao</x:v>
      </x:c>
    </x:row>
    <x:row r="277">
      <x:c r="A277" s="54" t="str">
        <x:v>DA05</x:v>
      </x:c>
      <x:c r="B277" s="54" t="n">
        <x:v>34</x:v>
      </x:c>
      <x:c r="C277" s="60" t="n">
        <x:f>EDATE('17_Gia_dinh_mo_hinh'!$C$8,B277-1)</x:f>
        <x:v>47239</x:v>
      </x:c>
      <x:c r="D277" s="61" t="n">
        <x:f>ROUNDUP('17_Gia_dinh_mo_hinh'!$E$8/30,0)</x:f>
        <x:v>0</x:v>
      </x:c>
      <x:c r="E277" s="62" t="n">
        <x:f>IF(AND(B277&gt;='17_Gia_dinh_mo_hinh'!$F$8+D277,B277&lt;'17_Gia_dinh_mo_hinh'!$F$8+D277+'17_Gia_dinh_mo_hinh'!$G$8),'17_Gia_dinh_mo_hinh'!$L$8*(1-'17_Gia_dinh_mo_hinh'!$M$8)/'17_Gia_dinh_mo_hinh'!$G$8,0)</x:f>
        <x:v>0</x:v>
      </x:c>
      <x:c r="F277" s="62" t="n">
        <x:f>0.70*E277+0.30*E276</x:f>
        <x:v>0</x:v>
      </x:c>
      <x:c r="G277" s="62" t="n">
        <x:f>IF(AND(B277&gt;='17_Gia_dinh_mo_hinh'!$H$8+D277,B277&lt;'17_Gia_dinh_mo_hinh'!$H$8+D277+'17_Gia_dinh_mo_hinh'!$I$8),'17_Gia_dinh_mo_hinh'!$L$8*(1-'17_Gia_dinh_mo_hinh'!$M$8)/'17_Gia_dinh_mo_hinh'!$I$8,0)</x:f>
        <x:v>0</x:v>
      </x:c>
      <x:c r="H277" s="62" t="n">
        <x:f>G277*(1-'17_Gia_dinh_mo_hinh'!$N$8)</x:f>
        <x:v>0</x:v>
      </x:c>
      <x:c r="I277" s="62" t="n">
        <x:f>G277*'17_Gia_dinh_mo_hinh'!$O$8</x:f>
        <x:v>0</x:v>
      </x:c>
      <x:c r="J277" s="62" t="n">
        <x:f>G277*'17_Gia_dinh_mo_hinh'!$P$8</x:f>
        <x:v>0</x:v>
      </x:c>
      <x:c r="K277" s="62" t="n">
        <x:f>IF(B277&lt;='17_Gia_dinh_mo_hinh'!$J$8,'17_Gia_dinh_mo_hinh'!$K$8*(1-MIN(0.95,'17_Gia_dinh_mo_hinh'!$M$8*0.75))/'17_Gia_dinh_mo_hinh'!$J$8,0)</x:f>
        <x:v>0</x:v>
      </x:c>
      <x:c r="L277" s="62" t="n">
        <x:f>S276*'17_Gia_dinh_mo_hinh'!$Q$8/12</x:f>
        <x:v>22.087500000000002</x:v>
      </x:c>
      <x:c r="M277" s="62" t="n">
        <x:f>G277-H277-I277-J277-L277</x:f>
        <x:v>-22.087500000000002</x:v>
      </x:c>
      <x:c r="N277" s="62" t="n">
        <x:f>MAX(0,M277*'17_Gia_dinh_mo_hinh'!$S$8)</x:f>
        <x:v>0</x:v>
      </x:c>
      <x:c r="O277" s="62" t="n">
        <x:f>M277-N277</x:f>
        <x:v>-22.087500000000002</x:v>
      </x:c>
      <x:c r="P277" s="62" t="n">
        <x:f>F277-K277-I277-J277-N277-L277</x:f>
        <x:v>-22.087500000000002</x:v>
      </x:c>
      <x:c r="Q277" s="62" t="n">
        <x:f>MIN(MAX(0,-(T276+P277)),MAX(0,'17_Gia_dinh_mo_hinh'!$R$8-S276))</x:f>
        <x:v>0</x:v>
      </x:c>
      <x:c r="R277" s="62" t="n">
        <x:f>MIN(MAX(0,T276+P277+Q277),S276+Q277)</x:f>
        <x:v>0</x:v>
      </x:c>
      <x:c r="S277" s="62" t="n">
        <x:f>S276+Q277-R277</x:f>
        <x:v>2790</x:v>
      </x:c>
      <x:c r="T277" s="62" t="n">
        <x:f>MAX(0,T276+P277+Q277-R277)</x:f>
        <x:v>0</x:v>
      </x:c>
      <x:c r="U277" s="62" t="n">
        <x:f>MAX(0,-(T276+P277)-MAX(0,'17_Gia_dinh_mo_hinh'!$R$8-S276))</x:f>
        <x:v>22.087500000000002</x:v>
      </x:c>
      <x:c r="V277" s="61" t="str">
        <x:f>IF(B277&lt;'17_Gia_dinh_mo_hinh'!$F$8+D277,"Trước mở bán",IF(B277&lt;'17_Gia_dinh_mo_hinh'!$H$8+D277,"Bán hàng/thi công",IF(G277&gt;0,"Ghi nhận/bàn giao","Hậu bàn giao")))</x:f>
        <x:v>Hậu bàn giao</x:v>
      </x:c>
    </x:row>
    <x:row r="278">
      <x:c r="A278" s="54" t="str">
        <x:v>DA05</x:v>
      </x:c>
      <x:c r="B278" s="54" t="n">
        <x:v>35</x:v>
      </x:c>
      <x:c r="C278" s="60" t="n">
        <x:f>EDATE('17_Gia_dinh_mo_hinh'!$C$8,B278-1)</x:f>
        <x:v>47270</x:v>
      </x:c>
      <x:c r="D278" s="61" t="n">
        <x:f>ROUNDUP('17_Gia_dinh_mo_hinh'!$E$8/30,0)</x:f>
        <x:v>0</x:v>
      </x:c>
      <x:c r="E278" s="62" t="n">
        <x:f>IF(AND(B278&gt;='17_Gia_dinh_mo_hinh'!$F$8+D278,B278&lt;'17_Gia_dinh_mo_hinh'!$F$8+D278+'17_Gia_dinh_mo_hinh'!$G$8),'17_Gia_dinh_mo_hinh'!$L$8*(1-'17_Gia_dinh_mo_hinh'!$M$8)/'17_Gia_dinh_mo_hinh'!$G$8,0)</x:f>
        <x:v>0</x:v>
      </x:c>
      <x:c r="F278" s="62" t="n">
        <x:f>0.70*E278+0.30*E277</x:f>
        <x:v>0</x:v>
      </x:c>
      <x:c r="G278" s="62" t="n">
        <x:f>IF(AND(B278&gt;='17_Gia_dinh_mo_hinh'!$H$8+D278,B278&lt;'17_Gia_dinh_mo_hinh'!$H$8+D278+'17_Gia_dinh_mo_hinh'!$I$8),'17_Gia_dinh_mo_hinh'!$L$8*(1-'17_Gia_dinh_mo_hinh'!$M$8)/'17_Gia_dinh_mo_hinh'!$I$8,0)</x:f>
        <x:v>0</x:v>
      </x:c>
      <x:c r="H278" s="62" t="n">
        <x:f>G278*(1-'17_Gia_dinh_mo_hinh'!$N$8)</x:f>
        <x:v>0</x:v>
      </x:c>
      <x:c r="I278" s="62" t="n">
        <x:f>G278*'17_Gia_dinh_mo_hinh'!$O$8</x:f>
        <x:v>0</x:v>
      </x:c>
      <x:c r="J278" s="62" t="n">
        <x:f>G278*'17_Gia_dinh_mo_hinh'!$P$8</x:f>
        <x:v>0</x:v>
      </x:c>
      <x:c r="K278" s="62" t="n">
        <x:f>IF(B278&lt;='17_Gia_dinh_mo_hinh'!$J$8,'17_Gia_dinh_mo_hinh'!$K$8*(1-MIN(0.95,'17_Gia_dinh_mo_hinh'!$M$8*0.75))/'17_Gia_dinh_mo_hinh'!$J$8,0)</x:f>
        <x:v>0</x:v>
      </x:c>
      <x:c r="L278" s="62" t="n">
        <x:f>S277*'17_Gia_dinh_mo_hinh'!$Q$8/12</x:f>
        <x:v>22.087500000000002</x:v>
      </x:c>
      <x:c r="M278" s="62" t="n">
        <x:f>G278-H278-I278-J278-L278</x:f>
        <x:v>-22.087500000000002</x:v>
      </x:c>
      <x:c r="N278" s="62" t="n">
        <x:f>MAX(0,M278*'17_Gia_dinh_mo_hinh'!$S$8)</x:f>
        <x:v>0</x:v>
      </x:c>
      <x:c r="O278" s="62" t="n">
        <x:f>M278-N278</x:f>
        <x:v>-22.087500000000002</x:v>
      </x:c>
      <x:c r="P278" s="62" t="n">
        <x:f>F278-K278-I278-J278-N278-L278</x:f>
        <x:v>-22.087500000000002</x:v>
      </x:c>
      <x:c r="Q278" s="62" t="n">
        <x:f>MIN(MAX(0,-(T277+P278)),MAX(0,'17_Gia_dinh_mo_hinh'!$R$8-S277))</x:f>
        <x:v>0</x:v>
      </x:c>
      <x:c r="R278" s="62" t="n">
        <x:f>MIN(MAX(0,T277+P278+Q278),S277+Q278)</x:f>
        <x:v>0</x:v>
      </x:c>
      <x:c r="S278" s="62" t="n">
        <x:f>S277+Q278-R278</x:f>
        <x:v>2790</x:v>
      </x:c>
      <x:c r="T278" s="62" t="n">
        <x:f>MAX(0,T277+P278+Q278-R278)</x:f>
        <x:v>0</x:v>
      </x:c>
      <x:c r="U278" s="62" t="n">
        <x:f>MAX(0,-(T277+P278)-MAX(0,'17_Gia_dinh_mo_hinh'!$R$8-S277))</x:f>
        <x:v>22.087500000000002</x:v>
      </x:c>
      <x:c r="V278" s="61" t="str">
        <x:f>IF(B278&lt;'17_Gia_dinh_mo_hinh'!$F$8+D278,"Trước mở bán",IF(B278&lt;'17_Gia_dinh_mo_hinh'!$H$8+D278,"Bán hàng/thi công",IF(G278&gt;0,"Ghi nhận/bàn giao","Hậu bàn giao")))</x:f>
        <x:v>Hậu bàn giao</x:v>
      </x:c>
    </x:row>
    <x:row r="279">
      <x:c r="A279" s="54" t="str">
        <x:v>DA05</x:v>
      </x:c>
      <x:c r="B279" s="54" t="n">
        <x:v>36</x:v>
      </x:c>
      <x:c r="C279" s="60" t="n">
        <x:f>EDATE('17_Gia_dinh_mo_hinh'!$C$8,B279-1)</x:f>
        <x:v>47300</x:v>
      </x:c>
      <x:c r="D279" s="61" t="n">
        <x:f>ROUNDUP('17_Gia_dinh_mo_hinh'!$E$8/30,0)</x:f>
        <x:v>0</x:v>
      </x:c>
      <x:c r="E279" s="62" t="n">
        <x:f>IF(AND(B279&gt;='17_Gia_dinh_mo_hinh'!$F$8+D279,B279&lt;'17_Gia_dinh_mo_hinh'!$F$8+D279+'17_Gia_dinh_mo_hinh'!$G$8),'17_Gia_dinh_mo_hinh'!$L$8*(1-'17_Gia_dinh_mo_hinh'!$M$8)/'17_Gia_dinh_mo_hinh'!$G$8,0)</x:f>
        <x:v>0</x:v>
      </x:c>
      <x:c r="F279" s="62" t="n">
        <x:f>0.70*E279+0.30*E278</x:f>
        <x:v>0</x:v>
      </x:c>
      <x:c r="G279" s="62" t="n">
        <x:f>IF(AND(B279&gt;='17_Gia_dinh_mo_hinh'!$H$8+D279,B279&lt;'17_Gia_dinh_mo_hinh'!$H$8+D279+'17_Gia_dinh_mo_hinh'!$I$8),'17_Gia_dinh_mo_hinh'!$L$8*(1-'17_Gia_dinh_mo_hinh'!$M$8)/'17_Gia_dinh_mo_hinh'!$I$8,0)</x:f>
        <x:v>0</x:v>
      </x:c>
      <x:c r="H279" s="62" t="n">
        <x:f>G279*(1-'17_Gia_dinh_mo_hinh'!$N$8)</x:f>
        <x:v>0</x:v>
      </x:c>
      <x:c r="I279" s="62" t="n">
        <x:f>G279*'17_Gia_dinh_mo_hinh'!$O$8</x:f>
        <x:v>0</x:v>
      </x:c>
      <x:c r="J279" s="62" t="n">
        <x:f>G279*'17_Gia_dinh_mo_hinh'!$P$8</x:f>
        <x:v>0</x:v>
      </x:c>
      <x:c r="K279" s="62" t="n">
        <x:f>IF(B279&lt;='17_Gia_dinh_mo_hinh'!$J$8,'17_Gia_dinh_mo_hinh'!$K$8*(1-MIN(0.95,'17_Gia_dinh_mo_hinh'!$M$8*0.75))/'17_Gia_dinh_mo_hinh'!$J$8,0)</x:f>
        <x:v>0</x:v>
      </x:c>
      <x:c r="L279" s="62" t="n">
        <x:f>S278*'17_Gia_dinh_mo_hinh'!$Q$8/12</x:f>
        <x:v>22.087500000000002</x:v>
      </x:c>
      <x:c r="M279" s="62" t="n">
        <x:f>G279-H279-I279-J279-L279</x:f>
        <x:v>-22.087500000000002</x:v>
      </x:c>
      <x:c r="N279" s="62" t="n">
        <x:f>MAX(0,M279*'17_Gia_dinh_mo_hinh'!$S$8)</x:f>
        <x:v>0</x:v>
      </x:c>
      <x:c r="O279" s="62" t="n">
        <x:f>M279-N279</x:f>
        <x:v>-22.087500000000002</x:v>
      </x:c>
      <x:c r="P279" s="62" t="n">
        <x:f>F279-K279-I279-J279-N279-L279</x:f>
        <x:v>-22.087500000000002</x:v>
      </x:c>
      <x:c r="Q279" s="62" t="n">
        <x:f>MIN(MAX(0,-(T278+P279)),MAX(0,'17_Gia_dinh_mo_hinh'!$R$8-S278))</x:f>
        <x:v>0</x:v>
      </x:c>
      <x:c r="R279" s="62" t="n">
        <x:f>MIN(MAX(0,T278+P279+Q279),S278+Q279)</x:f>
        <x:v>0</x:v>
      </x:c>
      <x:c r="S279" s="62" t="n">
        <x:f>S278+Q279-R279</x:f>
        <x:v>2790</x:v>
      </x:c>
      <x:c r="T279" s="62" t="n">
        <x:f>MAX(0,T278+P279+Q279-R279)</x:f>
        <x:v>0</x:v>
      </x:c>
      <x:c r="U279" s="62" t="n">
        <x:f>MAX(0,-(T278+P279)-MAX(0,'17_Gia_dinh_mo_hinh'!$R$8-S278))</x:f>
        <x:v>22.087500000000002</x:v>
      </x:c>
      <x:c r="V279" s="61" t="str">
        <x:f>IF(B279&lt;'17_Gia_dinh_mo_hinh'!$F$8+D279,"Trước mở bán",IF(B279&lt;'17_Gia_dinh_mo_hinh'!$H$8+D279,"Bán hàng/thi công",IF(G279&gt;0,"Ghi nhận/bàn giao","Hậu bàn giao")))</x:f>
        <x:v>Hậu bàn giao</x:v>
      </x:c>
    </x:row>
    <x:row r="280">
      <x:c r="A280" s="54" t="str">
        <x:v>DA05</x:v>
      </x:c>
      <x:c r="B280" s="54" t="n">
        <x:v>37</x:v>
      </x:c>
      <x:c r="C280" s="60" t="n">
        <x:f>EDATE('17_Gia_dinh_mo_hinh'!$C$8,B280-1)</x:f>
        <x:v>47331</x:v>
      </x:c>
      <x:c r="D280" s="61" t="n">
        <x:f>ROUNDUP('17_Gia_dinh_mo_hinh'!$E$8/30,0)</x:f>
        <x:v>0</x:v>
      </x:c>
      <x:c r="E280" s="62" t="n">
        <x:f>IF(AND(B280&gt;='17_Gia_dinh_mo_hinh'!$F$8+D280,B280&lt;'17_Gia_dinh_mo_hinh'!$F$8+D280+'17_Gia_dinh_mo_hinh'!$G$8),'17_Gia_dinh_mo_hinh'!$L$8*(1-'17_Gia_dinh_mo_hinh'!$M$8)/'17_Gia_dinh_mo_hinh'!$G$8,0)</x:f>
        <x:v>0</x:v>
      </x:c>
      <x:c r="F280" s="62" t="n">
        <x:f>0.70*E280+0.30*E279</x:f>
        <x:v>0</x:v>
      </x:c>
      <x:c r="G280" s="62" t="n">
        <x:f>IF(AND(B280&gt;='17_Gia_dinh_mo_hinh'!$H$8+D280,B280&lt;'17_Gia_dinh_mo_hinh'!$H$8+D280+'17_Gia_dinh_mo_hinh'!$I$8),'17_Gia_dinh_mo_hinh'!$L$8*(1-'17_Gia_dinh_mo_hinh'!$M$8)/'17_Gia_dinh_mo_hinh'!$I$8,0)</x:f>
        <x:v>0</x:v>
      </x:c>
      <x:c r="H280" s="62" t="n">
        <x:f>G280*(1-'17_Gia_dinh_mo_hinh'!$N$8)</x:f>
        <x:v>0</x:v>
      </x:c>
      <x:c r="I280" s="62" t="n">
        <x:f>G280*'17_Gia_dinh_mo_hinh'!$O$8</x:f>
        <x:v>0</x:v>
      </x:c>
      <x:c r="J280" s="62" t="n">
        <x:f>G280*'17_Gia_dinh_mo_hinh'!$P$8</x:f>
        <x:v>0</x:v>
      </x:c>
      <x:c r="K280" s="62" t="n">
        <x:f>IF(B280&lt;='17_Gia_dinh_mo_hinh'!$J$8,'17_Gia_dinh_mo_hinh'!$K$8*(1-MIN(0.95,'17_Gia_dinh_mo_hinh'!$M$8*0.75))/'17_Gia_dinh_mo_hinh'!$J$8,0)</x:f>
        <x:v>0</x:v>
      </x:c>
      <x:c r="L280" s="62" t="n">
        <x:f>S279*'17_Gia_dinh_mo_hinh'!$Q$8/12</x:f>
        <x:v>22.087500000000002</x:v>
      </x:c>
      <x:c r="M280" s="62" t="n">
        <x:f>G280-H280-I280-J280-L280</x:f>
        <x:v>-22.087500000000002</x:v>
      </x:c>
      <x:c r="N280" s="62" t="n">
        <x:f>MAX(0,M280*'17_Gia_dinh_mo_hinh'!$S$8)</x:f>
        <x:v>0</x:v>
      </x:c>
      <x:c r="O280" s="62" t="n">
        <x:f>M280-N280</x:f>
        <x:v>-22.087500000000002</x:v>
      </x:c>
      <x:c r="P280" s="62" t="n">
        <x:f>F280-K280-I280-J280-N280-L280</x:f>
        <x:v>-22.087500000000002</x:v>
      </x:c>
      <x:c r="Q280" s="62" t="n">
        <x:f>MIN(MAX(0,-(T279+P280)),MAX(0,'17_Gia_dinh_mo_hinh'!$R$8-S279))</x:f>
        <x:v>0</x:v>
      </x:c>
      <x:c r="R280" s="62" t="n">
        <x:f>MIN(MAX(0,T279+P280+Q280),S279+Q280)</x:f>
        <x:v>0</x:v>
      </x:c>
      <x:c r="S280" s="62" t="n">
        <x:f>S279+Q280-R280</x:f>
        <x:v>2790</x:v>
      </x:c>
      <x:c r="T280" s="62" t="n">
        <x:f>MAX(0,T279+P280+Q280-R280)</x:f>
        <x:v>0</x:v>
      </x:c>
      <x:c r="U280" s="62" t="n">
        <x:f>MAX(0,-(T279+P280)-MAX(0,'17_Gia_dinh_mo_hinh'!$R$8-S279))</x:f>
        <x:v>22.087500000000002</x:v>
      </x:c>
      <x:c r="V280" s="61" t="str">
        <x:f>IF(B280&lt;'17_Gia_dinh_mo_hinh'!$F$8+D280,"Trước mở bán",IF(B280&lt;'17_Gia_dinh_mo_hinh'!$H$8+D280,"Bán hàng/thi công",IF(G280&gt;0,"Ghi nhận/bàn giao","Hậu bàn giao")))</x:f>
        <x:v>Hậu bàn giao</x:v>
      </x:c>
    </x:row>
    <x:row r="281">
      <x:c r="A281" s="54" t="str">
        <x:v>DA05</x:v>
      </x:c>
      <x:c r="B281" s="54" t="n">
        <x:v>38</x:v>
      </x:c>
      <x:c r="C281" s="60" t="n">
        <x:f>EDATE('17_Gia_dinh_mo_hinh'!$C$8,B281-1)</x:f>
        <x:v>47362</x:v>
      </x:c>
      <x:c r="D281" s="61" t="n">
        <x:f>ROUNDUP('17_Gia_dinh_mo_hinh'!$E$8/30,0)</x:f>
        <x:v>0</x:v>
      </x:c>
      <x:c r="E281" s="62" t="n">
        <x:f>IF(AND(B281&gt;='17_Gia_dinh_mo_hinh'!$F$8+D281,B281&lt;'17_Gia_dinh_mo_hinh'!$F$8+D281+'17_Gia_dinh_mo_hinh'!$G$8),'17_Gia_dinh_mo_hinh'!$L$8*(1-'17_Gia_dinh_mo_hinh'!$M$8)/'17_Gia_dinh_mo_hinh'!$G$8,0)</x:f>
        <x:v>0</x:v>
      </x:c>
      <x:c r="F281" s="62" t="n">
        <x:f>0.70*E281+0.30*E280</x:f>
        <x:v>0</x:v>
      </x:c>
      <x:c r="G281" s="62" t="n">
        <x:f>IF(AND(B281&gt;='17_Gia_dinh_mo_hinh'!$H$8+D281,B281&lt;'17_Gia_dinh_mo_hinh'!$H$8+D281+'17_Gia_dinh_mo_hinh'!$I$8),'17_Gia_dinh_mo_hinh'!$L$8*(1-'17_Gia_dinh_mo_hinh'!$M$8)/'17_Gia_dinh_mo_hinh'!$I$8,0)</x:f>
        <x:v>0</x:v>
      </x:c>
      <x:c r="H281" s="62" t="n">
        <x:f>G281*(1-'17_Gia_dinh_mo_hinh'!$N$8)</x:f>
        <x:v>0</x:v>
      </x:c>
      <x:c r="I281" s="62" t="n">
        <x:f>G281*'17_Gia_dinh_mo_hinh'!$O$8</x:f>
        <x:v>0</x:v>
      </x:c>
      <x:c r="J281" s="62" t="n">
        <x:f>G281*'17_Gia_dinh_mo_hinh'!$P$8</x:f>
        <x:v>0</x:v>
      </x:c>
      <x:c r="K281" s="62" t="n">
        <x:f>IF(B281&lt;='17_Gia_dinh_mo_hinh'!$J$8,'17_Gia_dinh_mo_hinh'!$K$8*(1-MIN(0.95,'17_Gia_dinh_mo_hinh'!$M$8*0.75))/'17_Gia_dinh_mo_hinh'!$J$8,0)</x:f>
        <x:v>0</x:v>
      </x:c>
      <x:c r="L281" s="62" t="n">
        <x:f>S280*'17_Gia_dinh_mo_hinh'!$Q$8/12</x:f>
        <x:v>22.087500000000002</x:v>
      </x:c>
      <x:c r="M281" s="62" t="n">
        <x:f>G281-H281-I281-J281-L281</x:f>
        <x:v>-22.087500000000002</x:v>
      </x:c>
      <x:c r="N281" s="62" t="n">
        <x:f>MAX(0,M281*'17_Gia_dinh_mo_hinh'!$S$8)</x:f>
        <x:v>0</x:v>
      </x:c>
      <x:c r="O281" s="62" t="n">
        <x:f>M281-N281</x:f>
        <x:v>-22.087500000000002</x:v>
      </x:c>
      <x:c r="P281" s="62" t="n">
        <x:f>F281-K281-I281-J281-N281-L281</x:f>
        <x:v>-22.087500000000002</x:v>
      </x:c>
      <x:c r="Q281" s="62" t="n">
        <x:f>MIN(MAX(0,-(T280+P281)),MAX(0,'17_Gia_dinh_mo_hinh'!$R$8-S280))</x:f>
        <x:v>0</x:v>
      </x:c>
      <x:c r="R281" s="62" t="n">
        <x:f>MIN(MAX(0,T280+P281+Q281),S280+Q281)</x:f>
        <x:v>0</x:v>
      </x:c>
      <x:c r="S281" s="62" t="n">
        <x:f>S280+Q281-R281</x:f>
        <x:v>2790</x:v>
      </x:c>
      <x:c r="T281" s="62" t="n">
        <x:f>MAX(0,T280+P281+Q281-R281)</x:f>
        <x:v>0</x:v>
      </x:c>
      <x:c r="U281" s="62" t="n">
        <x:f>MAX(0,-(T280+P281)-MAX(0,'17_Gia_dinh_mo_hinh'!$R$8-S280))</x:f>
        <x:v>22.087500000000002</x:v>
      </x:c>
      <x:c r="V281" s="61" t="str">
        <x:f>IF(B281&lt;'17_Gia_dinh_mo_hinh'!$F$8+D281,"Trước mở bán",IF(B281&lt;'17_Gia_dinh_mo_hinh'!$H$8+D281,"Bán hàng/thi công",IF(G281&gt;0,"Ghi nhận/bàn giao","Hậu bàn giao")))</x:f>
        <x:v>Hậu bàn giao</x:v>
      </x:c>
    </x:row>
    <x:row r="282">
      <x:c r="A282" s="54" t="str">
        <x:v>DA05</x:v>
      </x:c>
      <x:c r="B282" s="54" t="n">
        <x:v>39</x:v>
      </x:c>
      <x:c r="C282" s="60" t="n">
        <x:f>EDATE('17_Gia_dinh_mo_hinh'!$C$8,B282-1)</x:f>
        <x:v>47392</x:v>
      </x:c>
      <x:c r="D282" s="61" t="n">
        <x:f>ROUNDUP('17_Gia_dinh_mo_hinh'!$E$8/30,0)</x:f>
        <x:v>0</x:v>
      </x:c>
      <x:c r="E282" s="62" t="n">
        <x:f>IF(AND(B282&gt;='17_Gia_dinh_mo_hinh'!$F$8+D282,B282&lt;'17_Gia_dinh_mo_hinh'!$F$8+D282+'17_Gia_dinh_mo_hinh'!$G$8),'17_Gia_dinh_mo_hinh'!$L$8*(1-'17_Gia_dinh_mo_hinh'!$M$8)/'17_Gia_dinh_mo_hinh'!$G$8,0)</x:f>
        <x:v>0</x:v>
      </x:c>
      <x:c r="F282" s="62" t="n">
        <x:f>0.70*E282+0.30*E281</x:f>
        <x:v>0</x:v>
      </x:c>
      <x:c r="G282" s="62" t="n">
        <x:f>IF(AND(B282&gt;='17_Gia_dinh_mo_hinh'!$H$8+D282,B282&lt;'17_Gia_dinh_mo_hinh'!$H$8+D282+'17_Gia_dinh_mo_hinh'!$I$8),'17_Gia_dinh_mo_hinh'!$L$8*(1-'17_Gia_dinh_mo_hinh'!$M$8)/'17_Gia_dinh_mo_hinh'!$I$8,0)</x:f>
        <x:v>0</x:v>
      </x:c>
      <x:c r="H282" s="62" t="n">
        <x:f>G282*(1-'17_Gia_dinh_mo_hinh'!$N$8)</x:f>
        <x:v>0</x:v>
      </x:c>
      <x:c r="I282" s="62" t="n">
        <x:f>G282*'17_Gia_dinh_mo_hinh'!$O$8</x:f>
        <x:v>0</x:v>
      </x:c>
      <x:c r="J282" s="62" t="n">
        <x:f>G282*'17_Gia_dinh_mo_hinh'!$P$8</x:f>
        <x:v>0</x:v>
      </x:c>
      <x:c r="K282" s="62" t="n">
        <x:f>IF(B282&lt;='17_Gia_dinh_mo_hinh'!$J$8,'17_Gia_dinh_mo_hinh'!$K$8*(1-MIN(0.95,'17_Gia_dinh_mo_hinh'!$M$8*0.75))/'17_Gia_dinh_mo_hinh'!$J$8,0)</x:f>
        <x:v>0</x:v>
      </x:c>
      <x:c r="L282" s="62" t="n">
        <x:f>S281*'17_Gia_dinh_mo_hinh'!$Q$8/12</x:f>
        <x:v>22.087500000000002</x:v>
      </x:c>
      <x:c r="M282" s="62" t="n">
        <x:f>G282-H282-I282-J282-L282</x:f>
        <x:v>-22.087500000000002</x:v>
      </x:c>
      <x:c r="N282" s="62" t="n">
        <x:f>MAX(0,M282*'17_Gia_dinh_mo_hinh'!$S$8)</x:f>
        <x:v>0</x:v>
      </x:c>
      <x:c r="O282" s="62" t="n">
        <x:f>M282-N282</x:f>
        <x:v>-22.087500000000002</x:v>
      </x:c>
      <x:c r="P282" s="62" t="n">
        <x:f>F282-K282-I282-J282-N282-L282</x:f>
        <x:v>-22.087500000000002</x:v>
      </x:c>
      <x:c r="Q282" s="62" t="n">
        <x:f>MIN(MAX(0,-(T281+P282)),MAX(0,'17_Gia_dinh_mo_hinh'!$R$8-S281))</x:f>
        <x:v>0</x:v>
      </x:c>
      <x:c r="R282" s="62" t="n">
        <x:f>MIN(MAX(0,T281+P282+Q282),S281+Q282)</x:f>
        <x:v>0</x:v>
      </x:c>
      <x:c r="S282" s="62" t="n">
        <x:f>S281+Q282-R282</x:f>
        <x:v>2790</x:v>
      </x:c>
      <x:c r="T282" s="62" t="n">
        <x:f>MAX(0,T281+P282+Q282-R282)</x:f>
        <x:v>0</x:v>
      </x:c>
      <x:c r="U282" s="62" t="n">
        <x:f>MAX(0,-(T281+P282)-MAX(0,'17_Gia_dinh_mo_hinh'!$R$8-S281))</x:f>
        <x:v>22.087500000000002</x:v>
      </x:c>
      <x:c r="V282" s="61" t="str">
        <x:f>IF(B282&lt;'17_Gia_dinh_mo_hinh'!$F$8+D282,"Trước mở bán",IF(B282&lt;'17_Gia_dinh_mo_hinh'!$H$8+D282,"Bán hàng/thi công",IF(G282&gt;0,"Ghi nhận/bàn giao","Hậu bàn giao")))</x:f>
        <x:v>Hậu bàn giao</x:v>
      </x:c>
    </x:row>
    <x:row r="283">
      <x:c r="A283" s="54" t="str">
        <x:v>DA05</x:v>
      </x:c>
      <x:c r="B283" s="54" t="n">
        <x:v>40</x:v>
      </x:c>
      <x:c r="C283" s="60" t="n">
        <x:f>EDATE('17_Gia_dinh_mo_hinh'!$C$8,B283-1)</x:f>
        <x:v>47423</x:v>
      </x:c>
      <x:c r="D283" s="61" t="n">
        <x:f>ROUNDUP('17_Gia_dinh_mo_hinh'!$E$8/30,0)</x:f>
        <x:v>0</x:v>
      </x:c>
      <x:c r="E283" s="62" t="n">
        <x:f>IF(AND(B283&gt;='17_Gia_dinh_mo_hinh'!$F$8+D283,B283&lt;'17_Gia_dinh_mo_hinh'!$F$8+D283+'17_Gia_dinh_mo_hinh'!$G$8),'17_Gia_dinh_mo_hinh'!$L$8*(1-'17_Gia_dinh_mo_hinh'!$M$8)/'17_Gia_dinh_mo_hinh'!$G$8,0)</x:f>
        <x:v>0</x:v>
      </x:c>
      <x:c r="F283" s="62" t="n">
        <x:f>0.70*E283+0.30*E282</x:f>
        <x:v>0</x:v>
      </x:c>
      <x:c r="G283" s="62" t="n">
        <x:f>IF(AND(B283&gt;='17_Gia_dinh_mo_hinh'!$H$8+D283,B283&lt;'17_Gia_dinh_mo_hinh'!$H$8+D283+'17_Gia_dinh_mo_hinh'!$I$8),'17_Gia_dinh_mo_hinh'!$L$8*(1-'17_Gia_dinh_mo_hinh'!$M$8)/'17_Gia_dinh_mo_hinh'!$I$8,0)</x:f>
        <x:v>0</x:v>
      </x:c>
      <x:c r="H283" s="62" t="n">
        <x:f>G283*(1-'17_Gia_dinh_mo_hinh'!$N$8)</x:f>
        <x:v>0</x:v>
      </x:c>
      <x:c r="I283" s="62" t="n">
        <x:f>G283*'17_Gia_dinh_mo_hinh'!$O$8</x:f>
        <x:v>0</x:v>
      </x:c>
      <x:c r="J283" s="62" t="n">
        <x:f>G283*'17_Gia_dinh_mo_hinh'!$P$8</x:f>
        <x:v>0</x:v>
      </x:c>
      <x:c r="K283" s="62" t="n">
        <x:f>IF(B283&lt;='17_Gia_dinh_mo_hinh'!$J$8,'17_Gia_dinh_mo_hinh'!$K$8*(1-MIN(0.95,'17_Gia_dinh_mo_hinh'!$M$8*0.75))/'17_Gia_dinh_mo_hinh'!$J$8,0)</x:f>
        <x:v>0</x:v>
      </x:c>
      <x:c r="L283" s="62" t="n">
        <x:f>S282*'17_Gia_dinh_mo_hinh'!$Q$8/12</x:f>
        <x:v>22.087500000000002</x:v>
      </x:c>
      <x:c r="M283" s="62" t="n">
        <x:f>G283-H283-I283-J283-L283</x:f>
        <x:v>-22.087500000000002</x:v>
      </x:c>
      <x:c r="N283" s="62" t="n">
        <x:f>MAX(0,M283*'17_Gia_dinh_mo_hinh'!$S$8)</x:f>
        <x:v>0</x:v>
      </x:c>
      <x:c r="O283" s="62" t="n">
        <x:f>M283-N283</x:f>
        <x:v>-22.087500000000002</x:v>
      </x:c>
      <x:c r="P283" s="62" t="n">
        <x:f>F283-K283-I283-J283-N283-L283</x:f>
        <x:v>-22.087500000000002</x:v>
      </x:c>
      <x:c r="Q283" s="62" t="n">
        <x:f>MIN(MAX(0,-(T282+P283)),MAX(0,'17_Gia_dinh_mo_hinh'!$R$8-S282))</x:f>
        <x:v>0</x:v>
      </x:c>
      <x:c r="R283" s="62" t="n">
        <x:f>MIN(MAX(0,T282+P283+Q283),S282+Q283)</x:f>
        <x:v>0</x:v>
      </x:c>
      <x:c r="S283" s="62" t="n">
        <x:f>S282+Q283-R283</x:f>
        <x:v>2790</x:v>
      </x:c>
      <x:c r="T283" s="62" t="n">
        <x:f>MAX(0,T282+P283+Q283-R283)</x:f>
        <x:v>0</x:v>
      </x:c>
      <x:c r="U283" s="62" t="n">
        <x:f>MAX(0,-(T282+P283)-MAX(0,'17_Gia_dinh_mo_hinh'!$R$8-S282))</x:f>
        <x:v>22.087500000000002</x:v>
      </x:c>
      <x:c r="V283" s="61" t="str">
        <x:f>IF(B283&lt;'17_Gia_dinh_mo_hinh'!$F$8+D283,"Trước mở bán",IF(B283&lt;'17_Gia_dinh_mo_hinh'!$H$8+D283,"Bán hàng/thi công",IF(G283&gt;0,"Ghi nhận/bàn giao","Hậu bàn giao")))</x:f>
        <x:v>Hậu bàn giao</x:v>
      </x:c>
    </x:row>
    <x:row r="284">
      <x:c r="A284" s="54" t="str">
        <x:v>DA05</x:v>
      </x:c>
      <x:c r="B284" s="54" t="n">
        <x:v>41</x:v>
      </x:c>
      <x:c r="C284" s="60" t="n">
        <x:f>EDATE('17_Gia_dinh_mo_hinh'!$C$8,B284-1)</x:f>
        <x:v>47453</x:v>
      </x:c>
      <x:c r="D284" s="61" t="n">
        <x:f>ROUNDUP('17_Gia_dinh_mo_hinh'!$E$8/30,0)</x:f>
        <x:v>0</x:v>
      </x:c>
      <x:c r="E284" s="62" t="n">
        <x:f>IF(AND(B284&gt;='17_Gia_dinh_mo_hinh'!$F$8+D284,B284&lt;'17_Gia_dinh_mo_hinh'!$F$8+D284+'17_Gia_dinh_mo_hinh'!$G$8),'17_Gia_dinh_mo_hinh'!$L$8*(1-'17_Gia_dinh_mo_hinh'!$M$8)/'17_Gia_dinh_mo_hinh'!$G$8,0)</x:f>
        <x:v>0</x:v>
      </x:c>
      <x:c r="F284" s="62" t="n">
        <x:f>0.70*E284+0.30*E283</x:f>
        <x:v>0</x:v>
      </x:c>
      <x:c r="G284" s="62" t="n">
        <x:f>IF(AND(B284&gt;='17_Gia_dinh_mo_hinh'!$H$8+D284,B284&lt;'17_Gia_dinh_mo_hinh'!$H$8+D284+'17_Gia_dinh_mo_hinh'!$I$8),'17_Gia_dinh_mo_hinh'!$L$8*(1-'17_Gia_dinh_mo_hinh'!$M$8)/'17_Gia_dinh_mo_hinh'!$I$8,0)</x:f>
        <x:v>0</x:v>
      </x:c>
      <x:c r="H284" s="62" t="n">
        <x:f>G284*(1-'17_Gia_dinh_mo_hinh'!$N$8)</x:f>
        <x:v>0</x:v>
      </x:c>
      <x:c r="I284" s="62" t="n">
        <x:f>G284*'17_Gia_dinh_mo_hinh'!$O$8</x:f>
        <x:v>0</x:v>
      </x:c>
      <x:c r="J284" s="62" t="n">
        <x:f>G284*'17_Gia_dinh_mo_hinh'!$P$8</x:f>
        <x:v>0</x:v>
      </x:c>
      <x:c r="K284" s="62" t="n">
        <x:f>IF(B284&lt;='17_Gia_dinh_mo_hinh'!$J$8,'17_Gia_dinh_mo_hinh'!$K$8*(1-MIN(0.95,'17_Gia_dinh_mo_hinh'!$M$8*0.75))/'17_Gia_dinh_mo_hinh'!$J$8,0)</x:f>
        <x:v>0</x:v>
      </x:c>
      <x:c r="L284" s="62" t="n">
        <x:f>S283*'17_Gia_dinh_mo_hinh'!$Q$8/12</x:f>
        <x:v>22.087500000000002</x:v>
      </x:c>
      <x:c r="M284" s="62" t="n">
        <x:f>G284-H284-I284-J284-L284</x:f>
        <x:v>-22.087500000000002</x:v>
      </x:c>
      <x:c r="N284" s="62" t="n">
        <x:f>MAX(0,M284*'17_Gia_dinh_mo_hinh'!$S$8)</x:f>
        <x:v>0</x:v>
      </x:c>
      <x:c r="O284" s="62" t="n">
        <x:f>M284-N284</x:f>
        <x:v>-22.087500000000002</x:v>
      </x:c>
      <x:c r="P284" s="62" t="n">
        <x:f>F284-K284-I284-J284-N284-L284</x:f>
        <x:v>-22.087500000000002</x:v>
      </x:c>
      <x:c r="Q284" s="62" t="n">
        <x:f>MIN(MAX(0,-(T283+P284)),MAX(0,'17_Gia_dinh_mo_hinh'!$R$8-S283))</x:f>
        <x:v>0</x:v>
      </x:c>
      <x:c r="R284" s="62" t="n">
        <x:f>MIN(MAX(0,T283+P284+Q284),S283+Q284)</x:f>
        <x:v>0</x:v>
      </x:c>
      <x:c r="S284" s="62" t="n">
        <x:f>S283+Q284-R284</x:f>
        <x:v>2790</x:v>
      </x:c>
      <x:c r="T284" s="62" t="n">
        <x:f>MAX(0,T283+P284+Q284-R284)</x:f>
        <x:v>0</x:v>
      </x:c>
      <x:c r="U284" s="62" t="n">
        <x:f>MAX(0,-(T283+P284)-MAX(0,'17_Gia_dinh_mo_hinh'!$R$8-S283))</x:f>
        <x:v>22.087500000000002</x:v>
      </x:c>
      <x:c r="V284" s="61" t="str">
        <x:f>IF(B284&lt;'17_Gia_dinh_mo_hinh'!$F$8+D284,"Trước mở bán",IF(B284&lt;'17_Gia_dinh_mo_hinh'!$H$8+D284,"Bán hàng/thi công",IF(G284&gt;0,"Ghi nhận/bàn giao","Hậu bàn giao")))</x:f>
        <x:v>Hậu bàn giao</x:v>
      </x:c>
    </x:row>
    <x:row r="285">
      <x:c r="A285" s="54" t="str">
        <x:v>DA05</x:v>
      </x:c>
      <x:c r="B285" s="54" t="n">
        <x:v>42</x:v>
      </x:c>
      <x:c r="C285" s="60" t="n">
        <x:f>EDATE('17_Gia_dinh_mo_hinh'!$C$8,B285-1)</x:f>
        <x:v>47484</x:v>
      </x:c>
      <x:c r="D285" s="61" t="n">
        <x:f>ROUNDUP('17_Gia_dinh_mo_hinh'!$E$8/30,0)</x:f>
        <x:v>0</x:v>
      </x:c>
      <x:c r="E285" s="62" t="n">
        <x:f>IF(AND(B285&gt;='17_Gia_dinh_mo_hinh'!$F$8+D285,B285&lt;'17_Gia_dinh_mo_hinh'!$F$8+D285+'17_Gia_dinh_mo_hinh'!$G$8),'17_Gia_dinh_mo_hinh'!$L$8*(1-'17_Gia_dinh_mo_hinh'!$M$8)/'17_Gia_dinh_mo_hinh'!$G$8,0)</x:f>
        <x:v>0</x:v>
      </x:c>
      <x:c r="F285" s="62" t="n">
        <x:f>0.70*E285+0.30*E284</x:f>
        <x:v>0</x:v>
      </x:c>
      <x:c r="G285" s="62" t="n">
        <x:f>IF(AND(B285&gt;='17_Gia_dinh_mo_hinh'!$H$8+D285,B285&lt;'17_Gia_dinh_mo_hinh'!$H$8+D285+'17_Gia_dinh_mo_hinh'!$I$8),'17_Gia_dinh_mo_hinh'!$L$8*(1-'17_Gia_dinh_mo_hinh'!$M$8)/'17_Gia_dinh_mo_hinh'!$I$8,0)</x:f>
        <x:v>0</x:v>
      </x:c>
      <x:c r="H285" s="62" t="n">
        <x:f>G285*(1-'17_Gia_dinh_mo_hinh'!$N$8)</x:f>
        <x:v>0</x:v>
      </x:c>
      <x:c r="I285" s="62" t="n">
        <x:f>G285*'17_Gia_dinh_mo_hinh'!$O$8</x:f>
        <x:v>0</x:v>
      </x:c>
      <x:c r="J285" s="62" t="n">
        <x:f>G285*'17_Gia_dinh_mo_hinh'!$P$8</x:f>
        <x:v>0</x:v>
      </x:c>
      <x:c r="K285" s="62" t="n">
        <x:f>IF(B285&lt;='17_Gia_dinh_mo_hinh'!$J$8,'17_Gia_dinh_mo_hinh'!$K$8*(1-MIN(0.95,'17_Gia_dinh_mo_hinh'!$M$8*0.75))/'17_Gia_dinh_mo_hinh'!$J$8,0)</x:f>
        <x:v>0</x:v>
      </x:c>
      <x:c r="L285" s="62" t="n">
        <x:f>S284*'17_Gia_dinh_mo_hinh'!$Q$8/12</x:f>
        <x:v>22.087500000000002</x:v>
      </x:c>
      <x:c r="M285" s="62" t="n">
        <x:f>G285-H285-I285-J285-L285</x:f>
        <x:v>-22.087500000000002</x:v>
      </x:c>
      <x:c r="N285" s="62" t="n">
        <x:f>MAX(0,M285*'17_Gia_dinh_mo_hinh'!$S$8)</x:f>
        <x:v>0</x:v>
      </x:c>
      <x:c r="O285" s="62" t="n">
        <x:f>M285-N285</x:f>
        <x:v>-22.087500000000002</x:v>
      </x:c>
      <x:c r="P285" s="62" t="n">
        <x:f>F285-K285-I285-J285-N285-L285</x:f>
        <x:v>-22.087500000000002</x:v>
      </x:c>
      <x:c r="Q285" s="62" t="n">
        <x:f>MIN(MAX(0,-(T284+P285)),MAX(0,'17_Gia_dinh_mo_hinh'!$R$8-S284))</x:f>
        <x:v>0</x:v>
      </x:c>
      <x:c r="R285" s="62" t="n">
        <x:f>MIN(MAX(0,T284+P285+Q285),S284+Q285)</x:f>
        <x:v>0</x:v>
      </x:c>
      <x:c r="S285" s="62" t="n">
        <x:f>S284+Q285-R285</x:f>
        <x:v>2790</x:v>
      </x:c>
      <x:c r="T285" s="62" t="n">
        <x:f>MAX(0,T284+P285+Q285-R285)</x:f>
        <x:v>0</x:v>
      </x:c>
      <x:c r="U285" s="62" t="n">
        <x:f>MAX(0,-(T284+P285)-MAX(0,'17_Gia_dinh_mo_hinh'!$R$8-S284))</x:f>
        <x:v>22.087500000000002</x:v>
      </x:c>
      <x:c r="V285" s="61" t="str">
        <x:f>IF(B285&lt;'17_Gia_dinh_mo_hinh'!$F$8+D285,"Trước mở bán",IF(B285&lt;'17_Gia_dinh_mo_hinh'!$H$8+D285,"Bán hàng/thi công",IF(G285&gt;0,"Ghi nhận/bàn giao","Hậu bàn giao")))</x:f>
        <x:v>Hậu bàn giao</x:v>
      </x:c>
    </x:row>
    <x:row r="286">
      <x:c r="A286" s="54" t="str">
        <x:v>DA05</x:v>
      </x:c>
      <x:c r="B286" s="54" t="n">
        <x:v>43</x:v>
      </x:c>
      <x:c r="C286" s="60" t="n">
        <x:f>EDATE('17_Gia_dinh_mo_hinh'!$C$8,B286-1)</x:f>
        <x:v>47515</x:v>
      </x:c>
      <x:c r="D286" s="61" t="n">
        <x:f>ROUNDUP('17_Gia_dinh_mo_hinh'!$E$8/30,0)</x:f>
        <x:v>0</x:v>
      </x:c>
      <x:c r="E286" s="62" t="n">
        <x:f>IF(AND(B286&gt;='17_Gia_dinh_mo_hinh'!$F$8+D286,B286&lt;'17_Gia_dinh_mo_hinh'!$F$8+D286+'17_Gia_dinh_mo_hinh'!$G$8),'17_Gia_dinh_mo_hinh'!$L$8*(1-'17_Gia_dinh_mo_hinh'!$M$8)/'17_Gia_dinh_mo_hinh'!$G$8,0)</x:f>
        <x:v>0</x:v>
      </x:c>
      <x:c r="F286" s="62" t="n">
        <x:f>0.70*E286+0.30*E285</x:f>
        <x:v>0</x:v>
      </x:c>
      <x:c r="G286" s="62" t="n">
        <x:f>IF(AND(B286&gt;='17_Gia_dinh_mo_hinh'!$H$8+D286,B286&lt;'17_Gia_dinh_mo_hinh'!$H$8+D286+'17_Gia_dinh_mo_hinh'!$I$8),'17_Gia_dinh_mo_hinh'!$L$8*(1-'17_Gia_dinh_mo_hinh'!$M$8)/'17_Gia_dinh_mo_hinh'!$I$8,0)</x:f>
        <x:v>0</x:v>
      </x:c>
      <x:c r="H286" s="62" t="n">
        <x:f>G286*(1-'17_Gia_dinh_mo_hinh'!$N$8)</x:f>
        <x:v>0</x:v>
      </x:c>
      <x:c r="I286" s="62" t="n">
        <x:f>G286*'17_Gia_dinh_mo_hinh'!$O$8</x:f>
        <x:v>0</x:v>
      </x:c>
      <x:c r="J286" s="62" t="n">
        <x:f>G286*'17_Gia_dinh_mo_hinh'!$P$8</x:f>
        <x:v>0</x:v>
      </x:c>
      <x:c r="K286" s="62" t="n">
        <x:f>IF(B286&lt;='17_Gia_dinh_mo_hinh'!$J$8,'17_Gia_dinh_mo_hinh'!$K$8*(1-MIN(0.95,'17_Gia_dinh_mo_hinh'!$M$8*0.75))/'17_Gia_dinh_mo_hinh'!$J$8,0)</x:f>
        <x:v>0</x:v>
      </x:c>
      <x:c r="L286" s="62" t="n">
        <x:f>S285*'17_Gia_dinh_mo_hinh'!$Q$8/12</x:f>
        <x:v>22.087500000000002</x:v>
      </x:c>
      <x:c r="M286" s="62" t="n">
        <x:f>G286-H286-I286-J286-L286</x:f>
        <x:v>-22.087500000000002</x:v>
      </x:c>
      <x:c r="N286" s="62" t="n">
        <x:f>MAX(0,M286*'17_Gia_dinh_mo_hinh'!$S$8)</x:f>
        <x:v>0</x:v>
      </x:c>
      <x:c r="O286" s="62" t="n">
        <x:f>M286-N286</x:f>
        <x:v>-22.087500000000002</x:v>
      </x:c>
      <x:c r="P286" s="62" t="n">
        <x:f>F286-K286-I286-J286-N286-L286</x:f>
        <x:v>-22.087500000000002</x:v>
      </x:c>
      <x:c r="Q286" s="62" t="n">
        <x:f>MIN(MAX(0,-(T285+P286)),MAX(0,'17_Gia_dinh_mo_hinh'!$R$8-S285))</x:f>
        <x:v>0</x:v>
      </x:c>
      <x:c r="R286" s="62" t="n">
        <x:f>MIN(MAX(0,T285+P286+Q286),S285+Q286)</x:f>
        <x:v>0</x:v>
      </x:c>
      <x:c r="S286" s="62" t="n">
        <x:f>S285+Q286-R286</x:f>
        <x:v>2790</x:v>
      </x:c>
      <x:c r="T286" s="62" t="n">
        <x:f>MAX(0,T285+P286+Q286-R286)</x:f>
        <x:v>0</x:v>
      </x:c>
      <x:c r="U286" s="62" t="n">
        <x:f>MAX(0,-(T285+P286)-MAX(0,'17_Gia_dinh_mo_hinh'!$R$8-S285))</x:f>
        <x:v>22.087500000000002</x:v>
      </x:c>
      <x:c r="V286" s="61" t="str">
        <x:f>IF(B286&lt;'17_Gia_dinh_mo_hinh'!$F$8+D286,"Trước mở bán",IF(B286&lt;'17_Gia_dinh_mo_hinh'!$H$8+D286,"Bán hàng/thi công",IF(G286&gt;0,"Ghi nhận/bàn giao","Hậu bàn giao")))</x:f>
        <x:v>Hậu bàn giao</x:v>
      </x:c>
    </x:row>
    <x:row r="287">
      <x:c r="A287" s="54" t="str">
        <x:v>DA05</x:v>
      </x:c>
      <x:c r="B287" s="54" t="n">
        <x:v>44</x:v>
      </x:c>
      <x:c r="C287" s="60" t="n">
        <x:f>EDATE('17_Gia_dinh_mo_hinh'!$C$8,B287-1)</x:f>
        <x:v>47543</x:v>
      </x:c>
      <x:c r="D287" s="61" t="n">
        <x:f>ROUNDUP('17_Gia_dinh_mo_hinh'!$E$8/30,0)</x:f>
        <x:v>0</x:v>
      </x:c>
      <x:c r="E287" s="62" t="n">
        <x:f>IF(AND(B287&gt;='17_Gia_dinh_mo_hinh'!$F$8+D287,B287&lt;'17_Gia_dinh_mo_hinh'!$F$8+D287+'17_Gia_dinh_mo_hinh'!$G$8),'17_Gia_dinh_mo_hinh'!$L$8*(1-'17_Gia_dinh_mo_hinh'!$M$8)/'17_Gia_dinh_mo_hinh'!$G$8,0)</x:f>
        <x:v>0</x:v>
      </x:c>
      <x:c r="F287" s="62" t="n">
        <x:f>0.70*E287+0.30*E286</x:f>
        <x:v>0</x:v>
      </x:c>
      <x:c r="G287" s="62" t="n">
        <x:f>IF(AND(B287&gt;='17_Gia_dinh_mo_hinh'!$H$8+D287,B287&lt;'17_Gia_dinh_mo_hinh'!$H$8+D287+'17_Gia_dinh_mo_hinh'!$I$8),'17_Gia_dinh_mo_hinh'!$L$8*(1-'17_Gia_dinh_mo_hinh'!$M$8)/'17_Gia_dinh_mo_hinh'!$I$8,0)</x:f>
        <x:v>0</x:v>
      </x:c>
      <x:c r="H287" s="62" t="n">
        <x:f>G287*(1-'17_Gia_dinh_mo_hinh'!$N$8)</x:f>
        <x:v>0</x:v>
      </x:c>
      <x:c r="I287" s="62" t="n">
        <x:f>G287*'17_Gia_dinh_mo_hinh'!$O$8</x:f>
        <x:v>0</x:v>
      </x:c>
      <x:c r="J287" s="62" t="n">
        <x:f>G287*'17_Gia_dinh_mo_hinh'!$P$8</x:f>
        <x:v>0</x:v>
      </x:c>
      <x:c r="K287" s="62" t="n">
        <x:f>IF(B287&lt;='17_Gia_dinh_mo_hinh'!$J$8,'17_Gia_dinh_mo_hinh'!$K$8*(1-MIN(0.95,'17_Gia_dinh_mo_hinh'!$M$8*0.75))/'17_Gia_dinh_mo_hinh'!$J$8,0)</x:f>
        <x:v>0</x:v>
      </x:c>
      <x:c r="L287" s="62" t="n">
        <x:f>S286*'17_Gia_dinh_mo_hinh'!$Q$8/12</x:f>
        <x:v>22.087500000000002</x:v>
      </x:c>
      <x:c r="M287" s="62" t="n">
        <x:f>G287-H287-I287-J287-L287</x:f>
        <x:v>-22.087500000000002</x:v>
      </x:c>
      <x:c r="N287" s="62" t="n">
        <x:f>MAX(0,M287*'17_Gia_dinh_mo_hinh'!$S$8)</x:f>
        <x:v>0</x:v>
      </x:c>
      <x:c r="O287" s="62" t="n">
        <x:f>M287-N287</x:f>
        <x:v>-22.087500000000002</x:v>
      </x:c>
      <x:c r="P287" s="62" t="n">
        <x:f>F287-K287-I287-J287-N287-L287</x:f>
        <x:v>-22.087500000000002</x:v>
      </x:c>
      <x:c r="Q287" s="62" t="n">
        <x:f>MIN(MAX(0,-(T286+P287)),MAX(0,'17_Gia_dinh_mo_hinh'!$R$8-S286))</x:f>
        <x:v>0</x:v>
      </x:c>
      <x:c r="R287" s="62" t="n">
        <x:f>MIN(MAX(0,T286+P287+Q287),S286+Q287)</x:f>
        <x:v>0</x:v>
      </x:c>
      <x:c r="S287" s="62" t="n">
        <x:f>S286+Q287-R287</x:f>
        <x:v>2790</x:v>
      </x:c>
      <x:c r="T287" s="62" t="n">
        <x:f>MAX(0,T286+P287+Q287-R287)</x:f>
        <x:v>0</x:v>
      </x:c>
      <x:c r="U287" s="62" t="n">
        <x:f>MAX(0,-(T286+P287)-MAX(0,'17_Gia_dinh_mo_hinh'!$R$8-S286))</x:f>
        <x:v>22.087500000000002</x:v>
      </x:c>
      <x:c r="V287" s="61" t="str">
        <x:f>IF(B287&lt;'17_Gia_dinh_mo_hinh'!$F$8+D287,"Trước mở bán",IF(B287&lt;'17_Gia_dinh_mo_hinh'!$H$8+D287,"Bán hàng/thi công",IF(G287&gt;0,"Ghi nhận/bàn giao","Hậu bàn giao")))</x:f>
        <x:v>Hậu bàn giao</x:v>
      </x:c>
    </x:row>
    <x:row r="288">
      <x:c r="A288" s="54" t="str">
        <x:v>DA05</x:v>
      </x:c>
      <x:c r="B288" s="54" t="n">
        <x:v>45</x:v>
      </x:c>
      <x:c r="C288" s="60" t="n">
        <x:f>EDATE('17_Gia_dinh_mo_hinh'!$C$8,B288-1)</x:f>
        <x:v>47574</x:v>
      </x:c>
      <x:c r="D288" s="61" t="n">
        <x:f>ROUNDUP('17_Gia_dinh_mo_hinh'!$E$8/30,0)</x:f>
        <x:v>0</x:v>
      </x:c>
      <x:c r="E288" s="62" t="n">
        <x:f>IF(AND(B288&gt;='17_Gia_dinh_mo_hinh'!$F$8+D288,B288&lt;'17_Gia_dinh_mo_hinh'!$F$8+D288+'17_Gia_dinh_mo_hinh'!$G$8),'17_Gia_dinh_mo_hinh'!$L$8*(1-'17_Gia_dinh_mo_hinh'!$M$8)/'17_Gia_dinh_mo_hinh'!$G$8,0)</x:f>
        <x:v>0</x:v>
      </x:c>
      <x:c r="F288" s="62" t="n">
        <x:f>0.70*E288+0.30*E287</x:f>
        <x:v>0</x:v>
      </x:c>
      <x:c r="G288" s="62" t="n">
        <x:f>IF(AND(B288&gt;='17_Gia_dinh_mo_hinh'!$H$8+D288,B288&lt;'17_Gia_dinh_mo_hinh'!$H$8+D288+'17_Gia_dinh_mo_hinh'!$I$8),'17_Gia_dinh_mo_hinh'!$L$8*(1-'17_Gia_dinh_mo_hinh'!$M$8)/'17_Gia_dinh_mo_hinh'!$I$8,0)</x:f>
        <x:v>0</x:v>
      </x:c>
      <x:c r="H288" s="62" t="n">
        <x:f>G288*(1-'17_Gia_dinh_mo_hinh'!$N$8)</x:f>
        <x:v>0</x:v>
      </x:c>
      <x:c r="I288" s="62" t="n">
        <x:f>G288*'17_Gia_dinh_mo_hinh'!$O$8</x:f>
        <x:v>0</x:v>
      </x:c>
      <x:c r="J288" s="62" t="n">
        <x:f>G288*'17_Gia_dinh_mo_hinh'!$P$8</x:f>
        <x:v>0</x:v>
      </x:c>
      <x:c r="K288" s="62" t="n">
        <x:f>IF(B288&lt;='17_Gia_dinh_mo_hinh'!$J$8,'17_Gia_dinh_mo_hinh'!$K$8*(1-MIN(0.95,'17_Gia_dinh_mo_hinh'!$M$8*0.75))/'17_Gia_dinh_mo_hinh'!$J$8,0)</x:f>
        <x:v>0</x:v>
      </x:c>
      <x:c r="L288" s="62" t="n">
        <x:f>S287*'17_Gia_dinh_mo_hinh'!$Q$8/12</x:f>
        <x:v>22.087500000000002</x:v>
      </x:c>
      <x:c r="M288" s="62" t="n">
        <x:f>G288-H288-I288-J288-L288</x:f>
        <x:v>-22.087500000000002</x:v>
      </x:c>
      <x:c r="N288" s="62" t="n">
        <x:f>MAX(0,M288*'17_Gia_dinh_mo_hinh'!$S$8)</x:f>
        <x:v>0</x:v>
      </x:c>
      <x:c r="O288" s="62" t="n">
        <x:f>M288-N288</x:f>
        <x:v>-22.087500000000002</x:v>
      </x:c>
      <x:c r="P288" s="62" t="n">
        <x:f>F288-K288-I288-J288-N288-L288</x:f>
        <x:v>-22.087500000000002</x:v>
      </x:c>
      <x:c r="Q288" s="62" t="n">
        <x:f>MIN(MAX(0,-(T287+P288)),MAX(0,'17_Gia_dinh_mo_hinh'!$R$8-S287))</x:f>
        <x:v>0</x:v>
      </x:c>
      <x:c r="R288" s="62" t="n">
        <x:f>MIN(MAX(0,T287+P288+Q288),S287+Q288)</x:f>
        <x:v>0</x:v>
      </x:c>
      <x:c r="S288" s="62" t="n">
        <x:f>S287+Q288-R288</x:f>
        <x:v>2790</x:v>
      </x:c>
      <x:c r="T288" s="62" t="n">
        <x:f>MAX(0,T287+P288+Q288-R288)</x:f>
        <x:v>0</x:v>
      </x:c>
      <x:c r="U288" s="62" t="n">
        <x:f>MAX(0,-(T287+P288)-MAX(0,'17_Gia_dinh_mo_hinh'!$R$8-S287))</x:f>
        <x:v>22.087500000000002</x:v>
      </x:c>
      <x:c r="V288" s="61" t="str">
        <x:f>IF(B288&lt;'17_Gia_dinh_mo_hinh'!$F$8+D288,"Trước mở bán",IF(B288&lt;'17_Gia_dinh_mo_hinh'!$H$8+D288,"Bán hàng/thi công",IF(G288&gt;0,"Ghi nhận/bàn giao","Hậu bàn giao")))</x:f>
        <x:v>Hậu bàn giao</x:v>
      </x:c>
    </x:row>
    <x:row r="289">
      <x:c r="A289" s="54" t="str">
        <x:v>DA05</x:v>
      </x:c>
      <x:c r="B289" s="54" t="n">
        <x:v>46</x:v>
      </x:c>
      <x:c r="C289" s="60" t="n">
        <x:f>EDATE('17_Gia_dinh_mo_hinh'!$C$8,B289-1)</x:f>
        <x:v>47604</x:v>
      </x:c>
      <x:c r="D289" s="61" t="n">
        <x:f>ROUNDUP('17_Gia_dinh_mo_hinh'!$E$8/30,0)</x:f>
        <x:v>0</x:v>
      </x:c>
      <x:c r="E289" s="62" t="n">
        <x:f>IF(AND(B289&gt;='17_Gia_dinh_mo_hinh'!$F$8+D289,B289&lt;'17_Gia_dinh_mo_hinh'!$F$8+D289+'17_Gia_dinh_mo_hinh'!$G$8),'17_Gia_dinh_mo_hinh'!$L$8*(1-'17_Gia_dinh_mo_hinh'!$M$8)/'17_Gia_dinh_mo_hinh'!$G$8,0)</x:f>
        <x:v>0</x:v>
      </x:c>
      <x:c r="F289" s="62" t="n">
        <x:f>0.70*E289+0.30*E288</x:f>
        <x:v>0</x:v>
      </x:c>
      <x:c r="G289" s="62" t="n">
        <x:f>IF(AND(B289&gt;='17_Gia_dinh_mo_hinh'!$H$8+D289,B289&lt;'17_Gia_dinh_mo_hinh'!$H$8+D289+'17_Gia_dinh_mo_hinh'!$I$8),'17_Gia_dinh_mo_hinh'!$L$8*(1-'17_Gia_dinh_mo_hinh'!$M$8)/'17_Gia_dinh_mo_hinh'!$I$8,0)</x:f>
        <x:v>0</x:v>
      </x:c>
      <x:c r="H289" s="62" t="n">
        <x:f>G289*(1-'17_Gia_dinh_mo_hinh'!$N$8)</x:f>
        <x:v>0</x:v>
      </x:c>
      <x:c r="I289" s="62" t="n">
        <x:f>G289*'17_Gia_dinh_mo_hinh'!$O$8</x:f>
        <x:v>0</x:v>
      </x:c>
      <x:c r="J289" s="62" t="n">
        <x:f>G289*'17_Gia_dinh_mo_hinh'!$P$8</x:f>
        <x:v>0</x:v>
      </x:c>
      <x:c r="K289" s="62" t="n">
        <x:f>IF(B289&lt;='17_Gia_dinh_mo_hinh'!$J$8,'17_Gia_dinh_mo_hinh'!$K$8*(1-MIN(0.95,'17_Gia_dinh_mo_hinh'!$M$8*0.75))/'17_Gia_dinh_mo_hinh'!$J$8,0)</x:f>
        <x:v>0</x:v>
      </x:c>
      <x:c r="L289" s="62" t="n">
        <x:f>S288*'17_Gia_dinh_mo_hinh'!$Q$8/12</x:f>
        <x:v>22.087500000000002</x:v>
      </x:c>
      <x:c r="M289" s="62" t="n">
        <x:f>G289-H289-I289-J289-L289</x:f>
        <x:v>-22.087500000000002</x:v>
      </x:c>
      <x:c r="N289" s="62" t="n">
        <x:f>MAX(0,M289*'17_Gia_dinh_mo_hinh'!$S$8)</x:f>
        <x:v>0</x:v>
      </x:c>
      <x:c r="O289" s="62" t="n">
        <x:f>M289-N289</x:f>
        <x:v>-22.087500000000002</x:v>
      </x:c>
      <x:c r="P289" s="62" t="n">
        <x:f>F289-K289-I289-J289-N289-L289</x:f>
        <x:v>-22.087500000000002</x:v>
      </x:c>
      <x:c r="Q289" s="62" t="n">
        <x:f>MIN(MAX(0,-(T288+P289)),MAX(0,'17_Gia_dinh_mo_hinh'!$R$8-S288))</x:f>
        <x:v>0</x:v>
      </x:c>
      <x:c r="R289" s="62" t="n">
        <x:f>MIN(MAX(0,T288+P289+Q289),S288+Q289)</x:f>
        <x:v>0</x:v>
      </x:c>
      <x:c r="S289" s="62" t="n">
        <x:f>S288+Q289-R289</x:f>
        <x:v>2790</x:v>
      </x:c>
      <x:c r="T289" s="62" t="n">
        <x:f>MAX(0,T288+P289+Q289-R289)</x:f>
        <x:v>0</x:v>
      </x:c>
      <x:c r="U289" s="62" t="n">
        <x:f>MAX(0,-(T288+P289)-MAX(0,'17_Gia_dinh_mo_hinh'!$R$8-S288))</x:f>
        <x:v>22.087500000000002</x:v>
      </x:c>
      <x:c r="V289" s="61" t="str">
        <x:f>IF(B289&lt;'17_Gia_dinh_mo_hinh'!$F$8+D289,"Trước mở bán",IF(B289&lt;'17_Gia_dinh_mo_hinh'!$H$8+D289,"Bán hàng/thi công",IF(G289&gt;0,"Ghi nhận/bàn giao","Hậu bàn giao")))</x:f>
        <x:v>Hậu bàn giao</x:v>
      </x:c>
    </x:row>
    <x:row r="290">
      <x:c r="A290" s="54" t="str">
        <x:v>DA05</x:v>
      </x:c>
      <x:c r="B290" s="54" t="n">
        <x:v>47</x:v>
      </x:c>
      <x:c r="C290" s="60" t="n">
        <x:f>EDATE('17_Gia_dinh_mo_hinh'!$C$8,B290-1)</x:f>
        <x:v>47635</x:v>
      </x:c>
      <x:c r="D290" s="61" t="n">
        <x:f>ROUNDUP('17_Gia_dinh_mo_hinh'!$E$8/30,0)</x:f>
        <x:v>0</x:v>
      </x:c>
      <x:c r="E290" s="62" t="n">
        <x:f>IF(AND(B290&gt;='17_Gia_dinh_mo_hinh'!$F$8+D290,B290&lt;'17_Gia_dinh_mo_hinh'!$F$8+D290+'17_Gia_dinh_mo_hinh'!$G$8),'17_Gia_dinh_mo_hinh'!$L$8*(1-'17_Gia_dinh_mo_hinh'!$M$8)/'17_Gia_dinh_mo_hinh'!$G$8,0)</x:f>
        <x:v>0</x:v>
      </x:c>
      <x:c r="F290" s="62" t="n">
        <x:f>0.70*E290+0.30*E289</x:f>
        <x:v>0</x:v>
      </x:c>
      <x:c r="G290" s="62" t="n">
        <x:f>IF(AND(B290&gt;='17_Gia_dinh_mo_hinh'!$H$8+D290,B290&lt;'17_Gia_dinh_mo_hinh'!$H$8+D290+'17_Gia_dinh_mo_hinh'!$I$8),'17_Gia_dinh_mo_hinh'!$L$8*(1-'17_Gia_dinh_mo_hinh'!$M$8)/'17_Gia_dinh_mo_hinh'!$I$8,0)</x:f>
        <x:v>0</x:v>
      </x:c>
      <x:c r="H290" s="62" t="n">
        <x:f>G290*(1-'17_Gia_dinh_mo_hinh'!$N$8)</x:f>
        <x:v>0</x:v>
      </x:c>
      <x:c r="I290" s="62" t="n">
        <x:f>G290*'17_Gia_dinh_mo_hinh'!$O$8</x:f>
        <x:v>0</x:v>
      </x:c>
      <x:c r="J290" s="62" t="n">
        <x:f>G290*'17_Gia_dinh_mo_hinh'!$P$8</x:f>
        <x:v>0</x:v>
      </x:c>
      <x:c r="K290" s="62" t="n">
        <x:f>IF(B290&lt;='17_Gia_dinh_mo_hinh'!$J$8,'17_Gia_dinh_mo_hinh'!$K$8*(1-MIN(0.95,'17_Gia_dinh_mo_hinh'!$M$8*0.75))/'17_Gia_dinh_mo_hinh'!$J$8,0)</x:f>
        <x:v>0</x:v>
      </x:c>
      <x:c r="L290" s="62" t="n">
        <x:f>S289*'17_Gia_dinh_mo_hinh'!$Q$8/12</x:f>
        <x:v>22.087500000000002</x:v>
      </x:c>
      <x:c r="M290" s="62" t="n">
        <x:f>G290-H290-I290-J290-L290</x:f>
        <x:v>-22.087500000000002</x:v>
      </x:c>
      <x:c r="N290" s="62" t="n">
        <x:f>MAX(0,M290*'17_Gia_dinh_mo_hinh'!$S$8)</x:f>
        <x:v>0</x:v>
      </x:c>
      <x:c r="O290" s="62" t="n">
        <x:f>M290-N290</x:f>
        <x:v>-22.087500000000002</x:v>
      </x:c>
      <x:c r="P290" s="62" t="n">
        <x:f>F290-K290-I290-J290-N290-L290</x:f>
        <x:v>-22.087500000000002</x:v>
      </x:c>
      <x:c r="Q290" s="62" t="n">
        <x:f>MIN(MAX(0,-(T289+P290)),MAX(0,'17_Gia_dinh_mo_hinh'!$R$8-S289))</x:f>
        <x:v>0</x:v>
      </x:c>
      <x:c r="R290" s="62" t="n">
        <x:f>MIN(MAX(0,T289+P290+Q290),S289+Q290)</x:f>
        <x:v>0</x:v>
      </x:c>
      <x:c r="S290" s="62" t="n">
        <x:f>S289+Q290-R290</x:f>
        <x:v>2790</x:v>
      </x:c>
      <x:c r="T290" s="62" t="n">
        <x:f>MAX(0,T289+P290+Q290-R290)</x:f>
        <x:v>0</x:v>
      </x:c>
      <x:c r="U290" s="62" t="n">
        <x:f>MAX(0,-(T289+P290)-MAX(0,'17_Gia_dinh_mo_hinh'!$R$8-S289))</x:f>
        <x:v>22.087500000000002</x:v>
      </x:c>
      <x:c r="V290" s="61" t="str">
        <x:f>IF(B290&lt;'17_Gia_dinh_mo_hinh'!$F$8+D290,"Trước mở bán",IF(B290&lt;'17_Gia_dinh_mo_hinh'!$H$8+D290,"Bán hàng/thi công",IF(G290&gt;0,"Ghi nhận/bàn giao","Hậu bàn giao")))</x:f>
        <x:v>Hậu bàn giao</x:v>
      </x:c>
    </x:row>
    <x:row r="291">
      <x:c r="A291" s="54" t="str">
        <x:v>DA05</x:v>
      </x:c>
      <x:c r="B291" s="54" t="n">
        <x:v>48</x:v>
      </x:c>
      <x:c r="C291" s="60" t="n">
        <x:f>EDATE('17_Gia_dinh_mo_hinh'!$C$8,B291-1)</x:f>
        <x:v>47665</x:v>
      </x:c>
      <x:c r="D291" s="61" t="n">
        <x:f>ROUNDUP('17_Gia_dinh_mo_hinh'!$E$8/30,0)</x:f>
        <x:v>0</x:v>
      </x:c>
      <x:c r="E291" s="62" t="n">
        <x:f>IF(AND(B291&gt;='17_Gia_dinh_mo_hinh'!$F$8+D291,B291&lt;'17_Gia_dinh_mo_hinh'!$F$8+D291+'17_Gia_dinh_mo_hinh'!$G$8),'17_Gia_dinh_mo_hinh'!$L$8*(1-'17_Gia_dinh_mo_hinh'!$M$8)/'17_Gia_dinh_mo_hinh'!$G$8,0)</x:f>
        <x:v>0</x:v>
      </x:c>
      <x:c r="F291" s="62" t="n">
        <x:f>0.70*E291+0.30*E290</x:f>
        <x:v>0</x:v>
      </x:c>
      <x:c r="G291" s="62" t="n">
        <x:f>IF(AND(B291&gt;='17_Gia_dinh_mo_hinh'!$H$8+D291,B291&lt;'17_Gia_dinh_mo_hinh'!$H$8+D291+'17_Gia_dinh_mo_hinh'!$I$8),'17_Gia_dinh_mo_hinh'!$L$8*(1-'17_Gia_dinh_mo_hinh'!$M$8)/'17_Gia_dinh_mo_hinh'!$I$8,0)</x:f>
        <x:v>0</x:v>
      </x:c>
      <x:c r="H291" s="62" t="n">
        <x:f>G291*(1-'17_Gia_dinh_mo_hinh'!$N$8)</x:f>
        <x:v>0</x:v>
      </x:c>
      <x:c r="I291" s="62" t="n">
        <x:f>G291*'17_Gia_dinh_mo_hinh'!$O$8</x:f>
        <x:v>0</x:v>
      </x:c>
      <x:c r="J291" s="62" t="n">
        <x:f>G291*'17_Gia_dinh_mo_hinh'!$P$8</x:f>
        <x:v>0</x:v>
      </x:c>
      <x:c r="K291" s="62" t="n">
        <x:f>IF(B291&lt;='17_Gia_dinh_mo_hinh'!$J$8,'17_Gia_dinh_mo_hinh'!$K$8*(1-MIN(0.95,'17_Gia_dinh_mo_hinh'!$M$8*0.75))/'17_Gia_dinh_mo_hinh'!$J$8,0)</x:f>
        <x:v>0</x:v>
      </x:c>
      <x:c r="L291" s="62" t="n">
        <x:f>S290*'17_Gia_dinh_mo_hinh'!$Q$8/12</x:f>
        <x:v>22.087500000000002</x:v>
      </x:c>
      <x:c r="M291" s="62" t="n">
        <x:f>G291-H291-I291-J291-L291</x:f>
        <x:v>-22.087500000000002</x:v>
      </x:c>
      <x:c r="N291" s="62" t="n">
        <x:f>MAX(0,M291*'17_Gia_dinh_mo_hinh'!$S$8)</x:f>
        <x:v>0</x:v>
      </x:c>
      <x:c r="O291" s="62" t="n">
        <x:f>M291-N291</x:f>
        <x:v>-22.087500000000002</x:v>
      </x:c>
      <x:c r="P291" s="62" t="n">
        <x:f>F291-K291-I291-J291-N291-L291</x:f>
        <x:v>-22.087500000000002</x:v>
      </x:c>
      <x:c r="Q291" s="62" t="n">
        <x:f>MIN(MAX(0,-(T290+P291)),MAX(0,'17_Gia_dinh_mo_hinh'!$R$8-S290))</x:f>
        <x:v>0</x:v>
      </x:c>
      <x:c r="R291" s="62" t="n">
        <x:f>MIN(MAX(0,T290+P291+Q291),S290+Q291)</x:f>
        <x:v>0</x:v>
      </x:c>
      <x:c r="S291" s="62" t="n">
        <x:f>S290+Q291-R291</x:f>
        <x:v>2790</x:v>
      </x:c>
      <x:c r="T291" s="62" t="n">
        <x:f>MAX(0,T290+P291+Q291-R291)</x:f>
        <x:v>0</x:v>
      </x:c>
      <x:c r="U291" s="62" t="n">
        <x:f>MAX(0,-(T290+P291)-MAX(0,'17_Gia_dinh_mo_hinh'!$R$8-S290))</x:f>
        <x:v>22.087500000000002</x:v>
      </x:c>
      <x:c r="V291" s="61" t="str">
        <x:f>IF(B291&lt;'17_Gia_dinh_mo_hinh'!$F$8+D291,"Trước mở bán",IF(B291&lt;'17_Gia_dinh_mo_hinh'!$H$8+D291,"Bán hàng/thi công",IF(G291&gt;0,"Ghi nhận/bàn giao","Hậu bàn giao")))</x:f>
        <x:v>Hậu bàn giao</x:v>
      </x:c>
    </x:row>
    <x:row r="292">
      <x:c r="A292" s="54" t="str">
        <x:v>DA05</x:v>
      </x:c>
      <x:c r="B292" s="54" t="n">
        <x:v>49</x:v>
      </x:c>
      <x:c r="C292" s="60" t="n">
        <x:f>EDATE('17_Gia_dinh_mo_hinh'!$C$8,B292-1)</x:f>
        <x:v>47696</x:v>
      </x:c>
      <x:c r="D292" s="61" t="n">
        <x:f>ROUNDUP('17_Gia_dinh_mo_hinh'!$E$8/30,0)</x:f>
        <x:v>0</x:v>
      </x:c>
      <x:c r="E292" s="62" t="n">
        <x:f>IF(AND(B292&gt;='17_Gia_dinh_mo_hinh'!$F$8+D292,B292&lt;'17_Gia_dinh_mo_hinh'!$F$8+D292+'17_Gia_dinh_mo_hinh'!$G$8),'17_Gia_dinh_mo_hinh'!$L$8*(1-'17_Gia_dinh_mo_hinh'!$M$8)/'17_Gia_dinh_mo_hinh'!$G$8,0)</x:f>
        <x:v>0</x:v>
      </x:c>
      <x:c r="F292" s="62" t="n">
        <x:f>0.70*E292+0.30*E291</x:f>
        <x:v>0</x:v>
      </x:c>
      <x:c r="G292" s="62" t="n">
        <x:f>IF(AND(B292&gt;='17_Gia_dinh_mo_hinh'!$H$8+D292,B292&lt;'17_Gia_dinh_mo_hinh'!$H$8+D292+'17_Gia_dinh_mo_hinh'!$I$8),'17_Gia_dinh_mo_hinh'!$L$8*(1-'17_Gia_dinh_mo_hinh'!$M$8)/'17_Gia_dinh_mo_hinh'!$I$8,0)</x:f>
        <x:v>0</x:v>
      </x:c>
      <x:c r="H292" s="62" t="n">
        <x:f>G292*(1-'17_Gia_dinh_mo_hinh'!$N$8)</x:f>
        <x:v>0</x:v>
      </x:c>
      <x:c r="I292" s="62" t="n">
        <x:f>G292*'17_Gia_dinh_mo_hinh'!$O$8</x:f>
        <x:v>0</x:v>
      </x:c>
      <x:c r="J292" s="62" t="n">
        <x:f>G292*'17_Gia_dinh_mo_hinh'!$P$8</x:f>
        <x:v>0</x:v>
      </x:c>
      <x:c r="K292" s="62" t="n">
        <x:f>IF(B292&lt;='17_Gia_dinh_mo_hinh'!$J$8,'17_Gia_dinh_mo_hinh'!$K$8*(1-MIN(0.95,'17_Gia_dinh_mo_hinh'!$M$8*0.75))/'17_Gia_dinh_mo_hinh'!$J$8,0)</x:f>
        <x:v>0</x:v>
      </x:c>
      <x:c r="L292" s="62" t="n">
        <x:f>S291*'17_Gia_dinh_mo_hinh'!$Q$8/12</x:f>
        <x:v>22.087500000000002</x:v>
      </x:c>
      <x:c r="M292" s="62" t="n">
        <x:f>G292-H292-I292-J292-L292</x:f>
        <x:v>-22.087500000000002</x:v>
      </x:c>
      <x:c r="N292" s="62" t="n">
        <x:f>MAX(0,M292*'17_Gia_dinh_mo_hinh'!$S$8)</x:f>
        <x:v>0</x:v>
      </x:c>
      <x:c r="O292" s="62" t="n">
        <x:f>M292-N292</x:f>
        <x:v>-22.087500000000002</x:v>
      </x:c>
      <x:c r="P292" s="62" t="n">
        <x:f>F292-K292-I292-J292-N292-L292</x:f>
        <x:v>-22.087500000000002</x:v>
      </x:c>
      <x:c r="Q292" s="62" t="n">
        <x:f>MIN(MAX(0,-(T291+P292)),MAX(0,'17_Gia_dinh_mo_hinh'!$R$8-S291))</x:f>
        <x:v>0</x:v>
      </x:c>
      <x:c r="R292" s="62" t="n">
        <x:f>MIN(MAX(0,T291+P292+Q292),S291+Q292)</x:f>
        <x:v>0</x:v>
      </x:c>
      <x:c r="S292" s="62" t="n">
        <x:f>S291+Q292-R292</x:f>
        <x:v>2790</x:v>
      </x:c>
      <x:c r="T292" s="62" t="n">
        <x:f>MAX(0,T291+P292+Q292-R292)</x:f>
        <x:v>0</x:v>
      </x:c>
      <x:c r="U292" s="62" t="n">
        <x:f>MAX(0,-(T291+P292)-MAX(0,'17_Gia_dinh_mo_hinh'!$R$8-S291))</x:f>
        <x:v>22.087500000000002</x:v>
      </x:c>
      <x:c r="V292" s="61" t="str">
        <x:f>IF(B292&lt;'17_Gia_dinh_mo_hinh'!$F$8+D292,"Trước mở bán",IF(B292&lt;'17_Gia_dinh_mo_hinh'!$H$8+D292,"Bán hàng/thi công",IF(G292&gt;0,"Ghi nhận/bàn giao","Hậu bàn giao")))</x:f>
        <x:v>Hậu bàn giao</x:v>
      </x:c>
    </x:row>
    <x:row r="293">
      <x:c r="A293" s="54" t="str">
        <x:v>DA05</x:v>
      </x:c>
      <x:c r="B293" s="54" t="n">
        <x:v>50</x:v>
      </x:c>
      <x:c r="C293" s="60" t="n">
        <x:f>EDATE('17_Gia_dinh_mo_hinh'!$C$8,B293-1)</x:f>
        <x:v>47727</x:v>
      </x:c>
      <x:c r="D293" s="61" t="n">
        <x:f>ROUNDUP('17_Gia_dinh_mo_hinh'!$E$8/30,0)</x:f>
        <x:v>0</x:v>
      </x:c>
      <x:c r="E293" s="62" t="n">
        <x:f>IF(AND(B293&gt;='17_Gia_dinh_mo_hinh'!$F$8+D293,B293&lt;'17_Gia_dinh_mo_hinh'!$F$8+D293+'17_Gia_dinh_mo_hinh'!$G$8),'17_Gia_dinh_mo_hinh'!$L$8*(1-'17_Gia_dinh_mo_hinh'!$M$8)/'17_Gia_dinh_mo_hinh'!$G$8,0)</x:f>
        <x:v>0</x:v>
      </x:c>
      <x:c r="F293" s="62" t="n">
        <x:f>0.70*E293+0.30*E292</x:f>
        <x:v>0</x:v>
      </x:c>
      <x:c r="G293" s="62" t="n">
        <x:f>IF(AND(B293&gt;='17_Gia_dinh_mo_hinh'!$H$8+D293,B293&lt;'17_Gia_dinh_mo_hinh'!$H$8+D293+'17_Gia_dinh_mo_hinh'!$I$8),'17_Gia_dinh_mo_hinh'!$L$8*(1-'17_Gia_dinh_mo_hinh'!$M$8)/'17_Gia_dinh_mo_hinh'!$I$8,0)</x:f>
        <x:v>0</x:v>
      </x:c>
      <x:c r="H293" s="62" t="n">
        <x:f>G293*(1-'17_Gia_dinh_mo_hinh'!$N$8)</x:f>
        <x:v>0</x:v>
      </x:c>
      <x:c r="I293" s="62" t="n">
        <x:f>G293*'17_Gia_dinh_mo_hinh'!$O$8</x:f>
        <x:v>0</x:v>
      </x:c>
      <x:c r="J293" s="62" t="n">
        <x:f>G293*'17_Gia_dinh_mo_hinh'!$P$8</x:f>
        <x:v>0</x:v>
      </x:c>
      <x:c r="K293" s="62" t="n">
        <x:f>IF(B293&lt;='17_Gia_dinh_mo_hinh'!$J$8,'17_Gia_dinh_mo_hinh'!$K$8*(1-MIN(0.95,'17_Gia_dinh_mo_hinh'!$M$8*0.75))/'17_Gia_dinh_mo_hinh'!$J$8,0)</x:f>
        <x:v>0</x:v>
      </x:c>
      <x:c r="L293" s="62" t="n">
        <x:f>S292*'17_Gia_dinh_mo_hinh'!$Q$8/12</x:f>
        <x:v>22.087500000000002</x:v>
      </x:c>
      <x:c r="M293" s="62" t="n">
        <x:f>G293-H293-I293-J293-L293</x:f>
        <x:v>-22.087500000000002</x:v>
      </x:c>
      <x:c r="N293" s="62" t="n">
        <x:f>MAX(0,M293*'17_Gia_dinh_mo_hinh'!$S$8)</x:f>
        <x:v>0</x:v>
      </x:c>
      <x:c r="O293" s="62" t="n">
        <x:f>M293-N293</x:f>
        <x:v>-22.087500000000002</x:v>
      </x:c>
      <x:c r="P293" s="62" t="n">
        <x:f>F293-K293-I293-J293-N293-L293</x:f>
        <x:v>-22.087500000000002</x:v>
      </x:c>
      <x:c r="Q293" s="62" t="n">
        <x:f>MIN(MAX(0,-(T292+P293)),MAX(0,'17_Gia_dinh_mo_hinh'!$R$8-S292))</x:f>
        <x:v>0</x:v>
      </x:c>
      <x:c r="R293" s="62" t="n">
        <x:f>MIN(MAX(0,T292+P293+Q293),S292+Q293)</x:f>
        <x:v>0</x:v>
      </x:c>
      <x:c r="S293" s="62" t="n">
        <x:f>S292+Q293-R293</x:f>
        <x:v>2790</x:v>
      </x:c>
      <x:c r="T293" s="62" t="n">
        <x:f>MAX(0,T292+P293+Q293-R293)</x:f>
        <x:v>0</x:v>
      </x:c>
      <x:c r="U293" s="62" t="n">
        <x:f>MAX(0,-(T292+P293)-MAX(0,'17_Gia_dinh_mo_hinh'!$R$8-S292))</x:f>
        <x:v>22.087500000000002</x:v>
      </x:c>
      <x:c r="V293" s="61" t="str">
        <x:f>IF(B293&lt;'17_Gia_dinh_mo_hinh'!$F$8+D293,"Trước mở bán",IF(B293&lt;'17_Gia_dinh_mo_hinh'!$H$8+D293,"Bán hàng/thi công",IF(G293&gt;0,"Ghi nhận/bàn giao","Hậu bàn giao")))</x:f>
        <x:v>Hậu bàn giao</x:v>
      </x:c>
    </x:row>
    <x:row r="294">
      <x:c r="A294" s="54" t="str">
        <x:v>DA05</x:v>
      </x:c>
      <x:c r="B294" s="54" t="n">
        <x:v>51</x:v>
      </x:c>
      <x:c r="C294" s="60" t="n">
        <x:f>EDATE('17_Gia_dinh_mo_hinh'!$C$8,B294-1)</x:f>
        <x:v>47757</x:v>
      </x:c>
      <x:c r="D294" s="61" t="n">
        <x:f>ROUNDUP('17_Gia_dinh_mo_hinh'!$E$8/30,0)</x:f>
        <x:v>0</x:v>
      </x:c>
      <x:c r="E294" s="62" t="n">
        <x:f>IF(AND(B294&gt;='17_Gia_dinh_mo_hinh'!$F$8+D294,B294&lt;'17_Gia_dinh_mo_hinh'!$F$8+D294+'17_Gia_dinh_mo_hinh'!$G$8),'17_Gia_dinh_mo_hinh'!$L$8*(1-'17_Gia_dinh_mo_hinh'!$M$8)/'17_Gia_dinh_mo_hinh'!$G$8,0)</x:f>
        <x:v>0</x:v>
      </x:c>
      <x:c r="F294" s="62" t="n">
        <x:f>0.70*E294+0.30*E293</x:f>
        <x:v>0</x:v>
      </x:c>
      <x:c r="G294" s="62" t="n">
        <x:f>IF(AND(B294&gt;='17_Gia_dinh_mo_hinh'!$H$8+D294,B294&lt;'17_Gia_dinh_mo_hinh'!$H$8+D294+'17_Gia_dinh_mo_hinh'!$I$8),'17_Gia_dinh_mo_hinh'!$L$8*(1-'17_Gia_dinh_mo_hinh'!$M$8)/'17_Gia_dinh_mo_hinh'!$I$8,0)</x:f>
        <x:v>0</x:v>
      </x:c>
      <x:c r="H294" s="62" t="n">
        <x:f>G294*(1-'17_Gia_dinh_mo_hinh'!$N$8)</x:f>
        <x:v>0</x:v>
      </x:c>
      <x:c r="I294" s="62" t="n">
        <x:f>G294*'17_Gia_dinh_mo_hinh'!$O$8</x:f>
        <x:v>0</x:v>
      </x:c>
      <x:c r="J294" s="62" t="n">
        <x:f>G294*'17_Gia_dinh_mo_hinh'!$P$8</x:f>
        <x:v>0</x:v>
      </x:c>
      <x:c r="K294" s="62" t="n">
        <x:f>IF(B294&lt;='17_Gia_dinh_mo_hinh'!$J$8,'17_Gia_dinh_mo_hinh'!$K$8*(1-MIN(0.95,'17_Gia_dinh_mo_hinh'!$M$8*0.75))/'17_Gia_dinh_mo_hinh'!$J$8,0)</x:f>
        <x:v>0</x:v>
      </x:c>
      <x:c r="L294" s="62" t="n">
        <x:f>S293*'17_Gia_dinh_mo_hinh'!$Q$8/12</x:f>
        <x:v>22.087500000000002</x:v>
      </x:c>
      <x:c r="M294" s="62" t="n">
        <x:f>G294-H294-I294-J294-L294</x:f>
        <x:v>-22.087500000000002</x:v>
      </x:c>
      <x:c r="N294" s="62" t="n">
        <x:f>MAX(0,M294*'17_Gia_dinh_mo_hinh'!$S$8)</x:f>
        <x:v>0</x:v>
      </x:c>
      <x:c r="O294" s="62" t="n">
        <x:f>M294-N294</x:f>
        <x:v>-22.087500000000002</x:v>
      </x:c>
      <x:c r="P294" s="62" t="n">
        <x:f>F294-K294-I294-J294-N294-L294</x:f>
        <x:v>-22.087500000000002</x:v>
      </x:c>
      <x:c r="Q294" s="62" t="n">
        <x:f>MIN(MAX(0,-(T293+P294)),MAX(0,'17_Gia_dinh_mo_hinh'!$R$8-S293))</x:f>
        <x:v>0</x:v>
      </x:c>
      <x:c r="R294" s="62" t="n">
        <x:f>MIN(MAX(0,T293+P294+Q294),S293+Q294)</x:f>
        <x:v>0</x:v>
      </x:c>
      <x:c r="S294" s="62" t="n">
        <x:f>S293+Q294-R294</x:f>
        <x:v>2790</x:v>
      </x:c>
      <x:c r="T294" s="62" t="n">
        <x:f>MAX(0,T293+P294+Q294-R294)</x:f>
        <x:v>0</x:v>
      </x:c>
      <x:c r="U294" s="62" t="n">
        <x:f>MAX(0,-(T293+P294)-MAX(0,'17_Gia_dinh_mo_hinh'!$R$8-S293))</x:f>
        <x:v>22.087500000000002</x:v>
      </x:c>
      <x:c r="V294" s="61" t="str">
        <x:f>IF(B294&lt;'17_Gia_dinh_mo_hinh'!$F$8+D294,"Trước mở bán",IF(B294&lt;'17_Gia_dinh_mo_hinh'!$H$8+D294,"Bán hàng/thi công",IF(G294&gt;0,"Ghi nhận/bàn giao","Hậu bàn giao")))</x:f>
        <x:v>Hậu bàn giao</x:v>
      </x:c>
    </x:row>
    <x:row r="295">
      <x:c r="A295" s="54" t="str">
        <x:v>DA05</x:v>
      </x:c>
      <x:c r="B295" s="54" t="n">
        <x:v>52</x:v>
      </x:c>
      <x:c r="C295" s="60" t="n">
        <x:f>EDATE('17_Gia_dinh_mo_hinh'!$C$8,B295-1)</x:f>
        <x:v>47788</x:v>
      </x:c>
      <x:c r="D295" s="61" t="n">
        <x:f>ROUNDUP('17_Gia_dinh_mo_hinh'!$E$8/30,0)</x:f>
        <x:v>0</x:v>
      </x:c>
      <x:c r="E295" s="62" t="n">
        <x:f>IF(AND(B295&gt;='17_Gia_dinh_mo_hinh'!$F$8+D295,B295&lt;'17_Gia_dinh_mo_hinh'!$F$8+D295+'17_Gia_dinh_mo_hinh'!$G$8),'17_Gia_dinh_mo_hinh'!$L$8*(1-'17_Gia_dinh_mo_hinh'!$M$8)/'17_Gia_dinh_mo_hinh'!$G$8,0)</x:f>
        <x:v>0</x:v>
      </x:c>
      <x:c r="F295" s="62" t="n">
        <x:f>0.70*E295+0.30*E294</x:f>
        <x:v>0</x:v>
      </x:c>
      <x:c r="G295" s="62" t="n">
        <x:f>IF(AND(B295&gt;='17_Gia_dinh_mo_hinh'!$H$8+D295,B295&lt;'17_Gia_dinh_mo_hinh'!$H$8+D295+'17_Gia_dinh_mo_hinh'!$I$8),'17_Gia_dinh_mo_hinh'!$L$8*(1-'17_Gia_dinh_mo_hinh'!$M$8)/'17_Gia_dinh_mo_hinh'!$I$8,0)</x:f>
        <x:v>0</x:v>
      </x:c>
      <x:c r="H295" s="62" t="n">
        <x:f>G295*(1-'17_Gia_dinh_mo_hinh'!$N$8)</x:f>
        <x:v>0</x:v>
      </x:c>
      <x:c r="I295" s="62" t="n">
        <x:f>G295*'17_Gia_dinh_mo_hinh'!$O$8</x:f>
        <x:v>0</x:v>
      </x:c>
      <x:c r="J295" s="62" t="n">
        <x:f>G295*'17_Gia_dinh_mo_hinh'!$P$8</x:f>
        <x:v>0</x:v>
      </x:c>
      <x:c r="K295" s="62" t="n">
        <x:f>IF(B295&lt;='17_Gia_dinh_mo_hinh'!$J$8,'17_Gia_dinh_mo_hinh'!$K$8*(1-MIN(0.95,'17_Gia_dinh_mo_hinh'!$M$8*0.75))/'17_Gia_dinh_mo_hinh'!$J$8,0)</x:f>
        <x:v>0</x:v>
      </x:c>
      <x:c r="L295" s="62" t="n">
        <x:f>S294*'17_Gia_dinh_mo_hinh'!$Q$8/12</x:f>
        <x:v>22.087500000000002</x:v>
      </x:c>
      <x:c r="M295" s="62" t="n">
        <x:f>G295-H295-I295-J295-L295</x:f>
        <x:v>-22.087500000000002</x:v>
      </x:c>
      <x:c r="N295" s="62" t="n">
        <x:f>MAX(0,M295*'17_Gia_dinh_mo_hinh'!$S$8)</x:f>
        <x:v>0</x:v>
      </x:c>
      <x:c r="O295" s="62" t="n">
        <x:f>M295-N295</x:f>
        <x:v>-22.087500000000002</x:v>
      </x:c>
      <x:c r="P295" s="62" t="n">
        <x:f>F295-K295-I295-J295-N295-L295</x:f>
        <x:v>-22.087500000000002</x:v>
      </x:c>
      <x:c r="Q295" s="62" t="n">
        <x:f>MIN(MAX(0,-(T294+P295)),MAX(0,'17_Gia_dinh_mo_hinh'!$R$8-S294))</x:f>
        <x:v>0</x:v>
      </x:c>
      <x:c r="R295" s="62" t="n">
        <x:f>MIN(MAX(0,T294+P295+Q295),S294+Q295)</x:f>
        <x:v>0</x:v>
      </x:c>
      <x:c r="S295" s="62" t="n">
        <x:f>S294+Q295-R295</x:f>
        <x:v>2790</x:v>
      </x:c>
      <x:c r="T295" s="62" t="n">
        <x:f>MAX(0,T294+P295+Q295-R295)</x:f>
        <x:v>0</x:v>
      </x:c>
      <x:c r="U295" s="62" t="n">
        <x:f>MAX(0,-(T294+P295)-MAX(0,'17_Gia_dinh_mo_hinh'!$R$8-S294))</x:f>
        <x:v>22.087500000000002</x:v>
      </x:c>
      <x:c r="V295" s="61" t="str">
        <x:f>IF(B295&lt;'17_Gia_dinh_mo_hinh'!$F$8+D295,"Trước mở bán",IF(B295&lt;'17_Gia_dinh_mo_hinh'!$H$8+D295,"Bán hàng/thi công",IF(G295&gt;0,"Ghi nhận/bàn giao","Hậu bàn giao")))</x:f>
        <x:v>Hậu bàn giao</x:v>
      </x:c>
    </x:row>
    <x:row r="296">
      <x:c r="A296" s="54" t="str">
        <x:v>DA05</x:v>
      </x:c>
      <x:c r="B296" s="54" t="n">
        <x:v>53</x:v>
      </x:c>
      <x:c r="C296" s="60" t="n">
        <x:f>EDATE('17_Gia_dinh_mo_hinh'!$C$8,B296-1)</x:f>
        <x:v>47818</x:v>
      </x:c>
      <x:c r="D296" s="61" t="n">
        <x:f>ROUNDUP('17_Gia_dinh_mo_hinh'!$E$8/30,0)</x:f>
        <x:v>0</x:v>
      </x:c>
      <x:c r="E296" s="62" t="n">
        <x:f>IF(AND(B296&gt;='17_Gia_dinh_mo_hinh'!$F$8+D296,B296&lt;'17_Gia_dinh_mo_hinh'!$F$8+D296+'17_Gia_dinh_mo_hinh'!$G$8),'17_Gia_dinh_mo_hinh'!$L$8*(1-'17_Gia_dinh_mo_hinh'!$M$8)/'17_Gia_dinh_mo_hinh'!$G$8,0)</x:f>
        <x:v>0</x:v>
      </x:c>
      <x:c r="F296" s="62" t="n">
        <x:f>0.70*E296+0.30*E295</x:f>
        <x:v>0</x:v>
      </x:c>
      <x:c r="G296" s="62" t="n">
        <x:f>IF(AND(B296&gt;='17_Gia_dinh_mo_hinh'!$H$8+D296,B296&lt;'17_Gia_dinh_mo_hinh'!$H$8+D296+'17_Gia_dinh_mo_hinh'!$I$8),'17_Gia_dinh_mo_hinh'!$L$8*(1-'17_Gia_dinh_mo_hinh'!$M$8)/'17_Gia_dinh_mo_hinh'!$I$8,0)</x:f>
        <x:v>0</x:v>
      </x:c>
      <x:c r="H296" s="62" t="n">
        <x:f>G296*(1-'17_Gia_dinh_mo_hinh'!$N$8)</x:f>
        <x:v>0</x:v>
      </x:c>
      <x:c r="I296" s="62" t="n">
        <x:f>G296*'17_Gia_dinh_mo_hinh'!$O$8</x:f>
        <x:v>0</x:v>
      </x:c>
      <x:c r="J296" s="62" t="n">
        <x:f>G296*'17_Gia_dinh_mo_hinh'!$P$8</x:f>
        <x:v>0</x:v>
      </x:c>
      <x:c r="K296" s="62" t="n">
        <x:f>IF(B296&lt;='17_Gia_dinh_mo_hinh'!$J$8,'17_Gia_dinh_mo_hinh'!$K$8*(1-MIN(0.95,'17_Gia_dinh_mo_hinh'!$M$8*0.75))/'17_Gia_dinh_mo_hinh'!$J$8,0)</x:f>
        <x:v>0</x:v>
      </x:c>
      <x:c r="L296" s="62" t="n">
        <x:f>S295*'17_Gia_dinh_mo_hinh'!$Q$8/12</x:f>
        <x:v>22.087500000000002</x:v>
      </x:c>
      <x:c r="M296" s="62" t="n">
        <x:f>G296-H296-I296-J296-L296</x:f>
        <x:v>-22.087500000000002</x:v>
      </x:c>
      <x:c r="N296" s="62" t="n">
        <x:f>MAX(0,M296*'17_Gia_dinh_mo_hinh'!$S$8)</x:f>
        <x:v>0</x:v>
      </x:c>
      <x:c r="O296" s="62" t="n">
        <x:f>M296-N296</x:f>
        <x:v>-22.087500000000002</x:v>
      </x:c>
      <x:c r="P296" s="62" t="n">
        <x:f>F296-K296-I296-J296-N296-L296</x:f>
        <x:v>-22.087500000000002</x:v>
      </x:c>
      <x:c r="Q296" s="62" t="n">
        <x:f>MIN(MAX(0,-(T295+P296)),MAX(0,'17_Gia_dinh_mo_hinh'!$R$8-S295))</x:f>
        <x:v>0</x:v>
      </x:c>
      <x:c r="R296" s="62" t="n">
        <x:f>MIN(MAX(0,T295+P296+Q296),S295+Q296)</x:f>
        <x:v>0</x:v>
      </x:c>
      <x:c r="S296" s="62" t="n">
        <x:f>S295+Q296-R296</x:f>
        <x:v>2790</x:v>
      </x:c>
      <x:c r="T296" s="62" t="n">
        <x:f>MAX(0,T295+P296+Q296-R296)</x:f>
        <x:v>0</x:v>
      </x:c>
      <x:c r="U296" s="62" t="n">
        <x:f>MAX(0,-(T295+P296)-MAX(0,'17_Gia_dinh_mo_hinh'!$R$8-S295))</x:f>
        <x:v>22.087500000000002</x:v>
      </x:c>
      <x:c r="V296" s="61" t="str">
        <x:f>IF(B296&lt;'17_Gia_dinh_mo_hinh'!$F$8+D296,"Trước mở bán",IF(B296&lt;'17_Gia_dinh_mo_hinh'!$H$8+D296,"Bán hàng/thi công",IF(G296&gt;0,"Ghi nhận/bàn giao","Hậu bàn giao")))</x:f>
        <x:v>Hậu bàn giao</x:v>
      </x:c>
    </x:row>
    <x:row r="297">
      <x:c r="A297" s="54" t="str">
        <x:v>DA05</x:v>
      </x:c>
      <x:c r="B297" s="54" t="n">
        <x:v>54</x:v>
      </x:c>
      <x:c r="C297" s="60" t="n">
        <x:f>EDATE('17_Gia_dinh_mo_hinh'!$C$8,B297-1)</x:f>
        <x:v>47849</x:v>
      </x:c>
      <x:c r="D297" s="61" t="n">
        <x:f>ROUNDUP('17_Gia_dinh_mo_hinh'!$E$8/30,0)</x:f>
        <x:v>0</x:v>
      </x:c>
      <x:c r="E297" s="62" t="n">
        <x:f>IF(AND(B297&gt;='17_Gia_dinh_mo_hinh'!$F$8+D297,B297&lt;'17_Gia_dinh_mo_hinh'!$F$8+D297+'17_Gia_dinh_mo_hinh'!$G$8),'17_Gia_dinh_mo_hinh'!$L$8*(1-'17_Gia_dinh_mo_hinh'!$M$8)/'17_Gia_dinh_mo_hinh'!$G$8,0)</x:f>
        <x:v>0</x:v>
      </x:c>
      <x:c r="F297" s="62" t="n">
        <x:f>0.70*E297+0.30*E296</x:f>
        <x:v>0</x:v>
      </x:c>
      <x:c r="G297" s="62" t="n">
        <x:f>IF(AND(B297&gt;='17_Gia_dinh_mo_hinh'!$H$8+D297,B297&lt;'17_Gia_dinh_mo_hinh'!$H$8+D297+'17_Gia_dinh_mo_hinh'!$I$8),'17_Gia_dinh_mo_hinh'!$L$8*(1-'17_Gia_dinh_mo_hinh'!$M$8)/'17_Gia_dinh_mo_hinh'!$I$8,0)</x:f>
        <x:v>0</x:v>
      </x:c>
      <x:c r="H297" s="62" t="n">
        <x:f>G297*(1-'17_Gia_dinh_mo_hinh'!$N$8)</x:f>
        <x:v>0</x:v>
      </x:c>
      <x:c r="I297" s="62" t="n">
        <x:f>G297*'17_Gia_dinh_mo_hinh'!$O$8</x:f>
        <x:v>0</x:v>
      </x:c>
      <x:c r="J297" s="62" t="n">
        <x:f>G297*'17_Gia_dinh_mo_hinh'!$P$8</x:f>
        <x:v>0</x:v>
      </x:c>
      <x:c r="K297" s="62" t="n">
        <x:f>IF(B297&lt;='17_Gia_dinh_mo_hinh'!$J$8,'17_Gia_dinh_mo_hinh'!$K$8*(1-MIN(0.95,'17_Gia_dinh_mo_hinh'!$M$8*0.75))/'17_Gia_dinh_mo_hinh'!$J$8,0)</x:f>
        <x:v>0</x:v>
      </x:c>
      <x:c r="L297" s="62" t="n">
        <x:f>S296*'17_Gia_dinh_mo_hinh'!$Q$8/12</x:f>
        <x:v>22.087500000000002</x:v>
      </x:c>
      <x:c r="M297" s="62" t="n">
        <x:f>G297-H297-I297-J297-L297</x:f>
        <x:v>-22.087500000000002</x:v>
      </x:c>
      <x:c r="N297" s="62" t="n">
        <x:f>MAX(0,M297*'17_Gia_dinh_mo_hinh'!$S$8)</x:f>
        <x:v>0</x:v>
      </x:c>
      <x:c r="O297" s="62" t="n">
        <x:f>M297-N297</x:f>
        <x:v>-22.087500000000002</x:v>
      </x:c>
      <x:c r="P297" s="62" t="n">
        <x:f>F297-K297-I297-J297-N297-L297</x:f>
        <x:v>-22.087500000000002</x:v>
      </x:c>
      <x:c r="Q297" s="62" t="n">
        <x:f>MIN(MAX(0,-(T296+P297)),MAX(0,'17_Gia_dinh_mo_hinh'!$R$8-S296))</x:f>
        <x:v>0</x:v>
      </x:c>
      <x:c r="R297" s="62" t="n">
        <x:f>MIN(MAX(0,T296+P297+Q297),S296+Q297)</x:f>
        <x:v>0</x:v>
      </x:c>
      <x:c r="S297" s="62" t="n">
        <x:f>S296+Q297-R297</x:f>
        <x:v>2790</x:v>
      </x:c>
      <x:c r="T297" s="62" t="n">
        <x:f>MAX(0,T296+P297+Q297-R297)</x:f>
        <x:v>0</x:v>
      </x:c>
      <x:c r="U297" s="62" t="n">
        <x:f>MAX(0,-(T296+P297)-MAX(0,'17_Gia_dinh_mo_hinh'!$R$8-S296))</x:f>
        <x:v>22.087500000000002</x:v>
      </x:c>
      <x:c r="V297" s="61" t="str">
        <x:f>IF(B297&lt;'17_Gia_dinh_mo_hinh'!$F$8+D297,"Trước mở bán",IF(B297&lt;'17_Gia_dinh_mo_hinh'!$H$8+D297,"Bán hàng/thi công",IF(G297&gt;0,"Ghi nhận/bàn giao","Hậu bàn giao")))</x:f>
        <x:v>Hậu bàn giao</x:v>
      </x:c>
    </x:row>
    <x:row r="298">
      <x:c r="A298" s="54" t="str">
        <x:v>DA05</x:v>
      </x:c>
      <x:c r="B298" s="54" t="n">
        <x:v>55</x:v>
      </x:c>
      <x:c r="C298" s="60" t="n">
        <x:f>EDATE('17_Gia_dinh_mo_hinh'!$C$8,B298-1)</x:f>
        <x:v>47880</x:v>
      </x:c>
      <x:c r="D298" s="61" t="n">
        <x:f>ROUNDUP('17_Gia_dinh_mo_hinh'!$E$8/30,0)</x:f>
        <x:v>0</x:v>
      </x:c>
      <x:c r="E298" s="62" t="n">
        <x:f>IF(AND(B298&gt;='17_Gia_dinh_mo_hinh'!$F$8+D298,B298&lt;'17_Gia_dinh_mo_hinh'!$F$8+D298+'17_Gia_dinh_mo_hinh'!$G$8),'17_Gia_dinh_mo_hinh'!$L$8*(1-'17_Gia_dinh_mo_hinh'!$M$8)/'17_Gia_dinh_mo_hinh'!$G$8,0)</x:f>
        <x:v>0</x:v>
      </x:c>
      <x:c r="F298" s="62" t="n">
        <x:f>0.70*E298+0.30*E297</x:f>
        <x:v>0</x:v>
      </x:c>
      <x:c r="G298" s="62" t="n">
        <x:f>IF(AND(B298&gt;='17_Gia_dinh_mo_hinh'!$H$8+D298,B298&lt;'17_Gia_dinh_mo_hinh'!$H$8+D298+'17_Gia_dinh_mo_hinh'!$I$8),'17_Gia_dinh_mo_hinh'!$L$8*(1-'17_Gia_dinh_mo_hinh'!$M$8)/'17_Gia_dinh_mo_hinh'!$I$8,0)</x:f>
        <x:v>0</x:v>
      </x:c>
      <x:c r="H298" s="62" t="n">
        <x:f>G298*(1-'17_Gia_dinh_mo_hinh'!$N$8)</x:f>
        <x:v>0</x:v>
      </x:c>
      <x:c r="I298" s="62" t="n">
        <x:f>G298*'17_Gia_dinh_mo_hinh'!$O$8</x:f>
        <x:v>0</x:v>
      </x:c>
      <x:c r="J298" s="62" t="n">
        <x:f>G298*'17_Gia_dinh_mo_hinh'!$P$8</x:f>
        <x:v>0</x:v>
      </x:c>
      <x:c r="K298" s="62" t="n">
        <x:f>IF(B298&lt;='17_Gia_dinh_mo_hinh'!$J$8,'17_Gia_dinh_mo_hinh'!$K$8*(1-MIN(0.95,'17_Gia_dinh_mo_hinh'!$M$8*0.75))/'17_Gia_dinh_mo_hinh'!$J$8,0)</x:f>
        <x:v>0</x:v>
      </x:c>
      <x:c r="L298" s="62" t="n">
        <x:f>S297*'17_Gia_dinh_mo_hinh'!$Q$8/12</x:f>
        <x:v>22.087500000000002</x:v>
      </x:c>
      <x:c r="M298" s="62" t="n">
        <x:f>G298-H298-I298-J298-L298</x:f>
        <x:v>-22.087500000000002</x:v>
      </x:c>
      <x:c r="N298" s="62" t="n">
        <x:f>MAX(0,M298*'17_Gia_dinh_mo_hinh'!$S$8)</x:f>
        <x:v>0</x:v>
      </x:c>
      <x:c r="O298" s="62" t="n">
        <x:f>M298-N298</x:f>
        <x:v>-22.087500000000002</x:v>
      </x:c>
      <x:c r="P298" s="62" t="n">
        <x:f>F298-K298-I298-J298-N298-L298</x:f>
        <x:v>-22.087500000000002</x:v>
      </x:c>
      <x:c r="Q298" s="62" t="n">
        <x:f>MIN(MAX(0,-(T297+P298)),MAX(0,'17_Gia_dinh_mo_hinh'!$R$8-S297))</x:f>
        <x:v>0</x:v>
      </x:c>
      <x:c r="R298" s="62" t="n">
        <x:f>MIN(MAX(0,T297+P298+Q298),S297+Q298)</x:f>
        <x:v>0</x:v>
      </x:c>
      <x:c r="S298" s="62" t="n">
        <x:f>S297+Q298-R298</x:f>
        <x:v>2790</x:v>
      </x:c>
      <x:c r="T298" s="62" t="n">
        <x:f>MAX(0,T297+P298+Q298-R298)</x:f>
        <x:v>0</x:v>
      </x:c>
      <x:c r="U298" s="62" t="n">
        <x:f>MAX(0,-(T297+P298)-MAX(0,'17_Gia_dinh_mo_hinh'!$R$8-S297))</x:f>
        <x:v>22.087500000000002</x:v>
      </x:c>
      <x:c r="V298" s="61" t="str">
        <x:f>IF(B298&lt;'17_Gia_dinh_mo_hinh'!$F$8+D298,"Trước mở bán",IF(B298&lt;'17_Gia_dinh_mo_hinh'!$H$8+D298,"Bán hàng/thi công",IF(G298&gt;0,"Ghi nhận/bàn giao","Hậu bàn giao")))</x:f>
        <x:v>Hậu bàn giao</x:v>
      </x:c>
    </x:row>
    <x:row r="299">
      <x:c r="A299" s="54" t="str">
        <x:v>DA05</x:v>
      </x:c>
      <x:c r="B299" s="54" t="n">
        <x:v>56</x:v>
      </x:c>
      <x:c r="C299" s="60" t="n">
        <x:f>EDATE('17_Gia_dinh_mo_hinh'!$C$8,B299-1)</x:f>
        <x:v>47908</x:v>
      </x:c>
      <x:c r="D299" s="61" t="n">
        <x:f>ROUNDUP('17_Gia_dinh_mo_hinh'!$E$8/30,0)</x:f>
        <x:v>0</x:v>
      </x:c>
      <x:c r="E299" s="62" t="n">
        <x:f>IF(AND(B299&gt;='17_Gia_dinh_mo_hinh'!$F$8+D299,B299&lt;'17_Gia_dinh_mo_hinh'!$F$8+D299+'17_Gia_dinh_mo_hinh'!$G$8),'17_Gia_dinh_mo_hinh'!$L$8*(1-'17_Gia_dinh_mo_hinh'!$M$8)/'17_Gia_dinh_mo_hinh'!$G$8,0)</x:f>
        <x:v>0</x:v>
      </x:c>
      <x:c r="F299" s="62" t="n">
        <x:f>0.70*E299+0.30*E298</x:f>
        <x:v>0</x:v>
      </x:c>
      <x:c r="G299" s="62" t="n">
        <x:f>IF(AND(B299&gt;='17_Gia_dinh_mo_hinh'!$H$8+D299,B299&lt;'17_Gia_dinh_mo_hinh'!$H$8+D299+'17_Gia_dinh_mo_hinh'!$I$8),'17_Gia_dinh_mo_hinh'!$L$8*(1-'17_Gia_dinh_mo_hinh'!$M$8)/'17_Gia_dinh_mo_hinh'!$I$8,0)</x:f>
        <x:v>0</x:v>
      </x:c>
      <x:c r="H299" s="62" t="n">
        <x:f>G299*(1-'17_Gia_dinh_mo_hinh'!$N$8)</x:f>
        <x:v>0</x:v>
      </x:c>
      <x:c r="I299" s="62" t="n">
        <x:f>G299*'17_Gia_dinh_mo_hinh'!$O$8</x:f>
        <x:v>0</x:v>
      </x:c>
      <x:c r="J299" s="62" t="n">
        <x:f>G299*'17_Gia_dinh_mo_hinh'!$P$8</x:f>
        <x:v>0</x:v>
      </x:c>
      <x:c r="K299" s="62" t="n">
        <x:f>IF(B299&lt;='17_Gia_dinh_mo_hinh'!$J$8,'17_Gia_dinh_mo_hinh'!$K$8*(1-MIN(0.95,'17_Gia_dinh_mo_hinh'!$M$8*0.75))/'17_Gia_dinh_mo_hinh'!$J$8,0)</x:f>
        <x:v>0</x:v>
      </x:c>
      <x:c r="L299" s="62" t="n">
        <x:f>S298*'17_Gia_dinh_mo_hinh'!$Q$8/12</x:f>
        <x:v>22.087500000000002</x:v>
      </x:c>
      <x:c r="M299" s="62" t="n">
        <x:f>G299-H299-I299-J299-L299</x:f>
        <x:v>-22.087500000000002</x:v>
      </x:c>
      <x:c r="N299" s="62" t="n">
        <x:f>MAX(0,M299*'17_Gia_dinh_mo_hinh'!$S$8)</x:f>
        <x:v>0</x:v>
      </x:c>
      <x:c r="O299" s="62" t="n">
        <x:f>M299-N299</x:f>
        <x:v>-22.087500000000002</x:v>
      </x:c>
      <x:c r="P299" s="62" t="n">
        <x:f>F299-K299-I299-J299-N299-L299</x:f>
        <x:v>-22.087500000000002</x:v>
      </x:c>
      <x:c r="Q299" s="62" t="n">
        <x:f>MIN(MAX(0,-(T298+P299)),MAX(0,'17_Gia_dinh_mo_hinh'!$R$8-S298))</x:f>
        <x:v>0</x:v>
      </x:c>
      <x:c r="R299" s="62" t="n">
        <x:f>MIN(MAX(0,T298+P299+Q299),S298+Q299)</x:f>
        <x:v>0</x:v>
      </x:c>
      <x:c r="S299" s="62" t="n">
        <x:f>S298+Q299-R299</x:f>
        <x:v>2790</x:v>
      </x:c>
      <x:c r="T299" s="62" t="n">
        <x:f>MAX(0,T298+P299+Q299-R299)</x:f>
        <x:v>0</x:v>
      </x:c>
      <x:c r="U299" s="62" t="n">
        <x:f>MAX(0,-(T298+P299)-MAX(0,'17_Gia_dinh_mo_hinh'!$R$8-S298))</x:f>
        <x:v>22.087500000000002</x:v>
      </x:c>
      <x:c r="V299" s="61" t="str">
        <x:f>IF(B299&lt;'17_Gia_dinh_mo_hinh'!$F$8+D299,"Trước mở bán",IF(B299&lt;'17_Gia_dinh_mo_hinh'!$H$8+D299,"Bán hàng/thi công",IF(G299&gt;0,"Ghi nhận/bàn giao","Hậu bàn giao")))</x:f>
        <x:v>Hậu bàn giao</x:v>
      </x:c>
    </x:row>
    <x:row r="300">
      <x:c r="A300" s="54" t="str">
        <x:v>DA05</x:v>
      </x:c>
      <x:c r="B300" s="54" t="n">
        <x:v>57</x:v>
      </x:c>
      <x:c r="C300" s="60" t="n">
        <x:f>EDATE('17_Gia_dinh_mo_hinh'!$C$8,B300-1)</x:f>
        <x:v>47939</x:v>
      </x:c>
      <x:c r="D300" s="61" t="n">
        <x:f>ROUNDUP('17_Gia_dinh_mo_hinh'!$E$8/30,0)</x:f>
        <x:v>0</x:v>
      </x:c>
      <x:c r="E300" s="62" t="n">
        <x:f>IF(AND(B300&gt;='17_Gia_dinh_mo_hinh'!$F$8+D300,B300&lt;'17_Gia_dinh_mo_hinh'!$F$8+D300+'17_Gia_dinh_mo_hinh'!$G$8),'17_Gia_dinh_mo_hinh'!$L$8*(1-'17_Gia_dinh_mo_hinh'!$M$8)/'17_Gia_dinh_mo_hinh'!$G$8,0)</x:f>
        <x:v>0</x:v>
      </x:c>
      <x:c r="F300" s="62" t="n">
        <x:f>0.70*E300+0.30*E299</x:f>
        <x:v>0</x:v>
      </x:c>
      <x:c r="G300" s="62" t="n">
        <x:f>IF(AND(B300&gt;='17_Gia_dinh_mo_hinh'!$H$8+D300,B300&lt;'17_Gia_dinh_mo_hinh'!$H$8+D300+'17_Gia_dinh_mo_hinh'!$I$8),'17_Gia_dinh_mo_hinh'!$L$8*(1-'17_Gia_dinh_mo_hinh'!$M$8)/'17_Gia_dinh_mo_hinh'!$I$8,0)</x:f>
        <x:v>0</x:v>
      </x:c>
      <x:c r="H300" s="62" t="n">
        <x:f>G300*(1-'17_Gia_dinh_mo_hinh'!$N$8)</x:f>
        <x:v>0</x:v>
      </x:c>
      <x:c r="I300" s="62" t="n">
        <x:f>G300*'17_Gia_dinh_mo_hinh'!$O$8</x:f>
        <x:v>0</x:v>
      </x:c>
      <x:c r="J300" s="62" t="n">
        <x:f>G300*'17_Gia_dinh_mo_hinh'!$P$8</x:f>
        <x:v>0</x:v>
      </x:c>
      <x:c r="K300" s="62" t="n">
        <x:f>IF(B300&lt;='17_Gia_dinh_mo_hinh'!$J$8,'17_Gia_dinh_mo_hinh'!$K$8*(1-MIN(0.95,'17_Gia_dinh_mo_hinh'!$M$8*0.75))/'17_Gia_dinh_mo_hinh'!$J$8,0)</x:f>
        <x:v>0</x:v>
      </x:c>
      <x:c r="L300" s="62" t="n">
        <x:f>S299*'17_Gia_dinh_mo_hinh'!$Q$8/12</x:f>
        <x:v>22.087500000000002</x:v>
      </x:c>
      <x:c r="M300" s="62" t="n">
        <x:f>G300-H300-I300-J300-L300</x:f>
        <x:v>-22.087500000000002</x:v>
      </x:c>
      <x:c r="N300" s="62" t="n">
        <x:f>MAX(0,M300*'17_Gia_dinh_mo_hinh'!$S$8)</x:f>
        <x:v>0</x:v>
      </x:c>
      <x:c r="O300" s="62" t="n">
        <x:f>M300-N300</x:f>
        <x:v>-22.087500000000002</x:v>
      </x:c>
      <x:c r="P300" s="62" t="n">
        <x:f>F300-K300-I300-J300-N300-L300</x:f>
        <x:v>-22.087500000000002</x:v>
      </x:c>
      <x:c r="Q300" s="62" t="n">
        <x:f>MIN(MAX(0,-(T299+P300)),MAX(0,'17_Gia_dinh_mo_hinh'!$R$8-S299))</x:f>
        <x:v>0</x:v>
      </x:c>
      <x:c r="R300" s="62" t="n">
        <x:f>MIN(MAX(0,T299+P300+Q300),S299+Q300)</x:f>
        <x:v>0</x:v>
      </x:c>
      <x:c r="S300" s="62" t="n">
        <x:f>S299+Q300-R300</x:f>
        <x:v>2790</x:v>
      </x:c>
      <x:c r="T300" s="62" t="n">
        <x:f>MAX(0,T299+P300+Q300-R300)</x:f>
        <x:v>0</x:v>
      </x:c>
      <x:c r="U300" s="62" t="n">
        <x:f>MAX(0,-(T299+P300)-MAX(0,'17_Gia_dinh_mo_hinh'!$R$8-S299))</x:f>
        <x:v>22.087500000000002</x:v>
      </x:c>
      <x:c r="V300" s="61" t="str">
        <x:f>IF(B300&lt;'17_Gia_dinh_mo_hinh'!$F$8+D300,"Trước mở bán",IF(B300&lt;'17_Gia_dinh_mo_hinh'!$H$8+D300,"Bán hàng/thi công",IF(G300&gt;0,"Ghi nhận/bàn giao","Hậu bàn giao")))</x:f>
        <x:v>Hậu bàn giao</x:v>
      </x:c>
    </x:row>
    <x:row r="301">
      <x:c r="A301" s="54" t="str">
        <x:v>DA05</x:v>
      </x:c>
      <x:c r="B301" s="54" t="n">
        <x:v>58</x:v>
      </x:c>
      <x:c r="C301" s="60" t="n">
        <x:f>EDATE('17_Gia_dinh_mo_hinh'!$C$8,B301-1)</x:f>
        <x:v>47969</x:v>
      </x:c>
      <x:c r="D301" s="61" t="n">
        <x:f>ROUNDUP('17_Gia_dinh_mo_hinh'!$E$8/30,0)</x:f>
        <x:v>0</x:v>
      </x:c>
      <x:c r="E301" s="62" t="n">
        <x:f>IF(AND(B301&gt;='17_Gia_dinh_mo_hinh'!$F$8+D301,B301&lt;'17_Gia_dinh_mo_hinh'!$F$8+D301+'17_Gia_dinh_mo_hinh'!$G$8),'17_Gia_dinh_mo_hinh'!$L$8*(1-'17_Gia_dinh_mo_hinh'!$M$8)/'17_Gia_dinh_mo_hinh'!$G$8,0)</x:f>
        <x:v>0</x:v>
      </x:c>
      <x:c r="F301" s="62" t="n">
        <x:f>0.70*E301+0.30*E300</x:f>
        <x:v>0</x:v>
      </x:c>
      <x:c r="G301" s="62" t="n">
        <x:f>IF(AND(B301&gt;='17_Gia_dinh_mo_hinh'!$H$8+D301,B301&lt;'17_Gia_dinh_mo_hinh'!$H$8+D301+'17_Gia_dinh_mo_hinh'!$I$8),'17_Gia_dinh_mo_hinh'!$L$8*(1-'17_Gia_dinh_mo_hinh'!$M$8)/'17_Gia_dinh_mo_hinh'!$I$8,0)</x:f>
        <x:v>0</x:v>
      </x:c>
      <x:c r="H301" s="62" t="n">
        <x:f>G301*(1-'17_Gia_dinh_mo_hinh'!$N$8)</x:f>
        <x:v>0</x:v>
      </x:c>
      <x:c r="I301" s="62" t="n">
        <x:f>G301*'17_Gia_dinh_mo_hinh'!$O$8</x:f>
        <x:v>0</x:v>
      </x:c>
      <x:c r="J301" s="62" t="n">
        <x:f>G301*'17_Gia_dinh_mo_hinh'!$P$8</x:f>
        <x:v>0</x:v>
      </x:c>
      <x:c r="K301" s="62" t="n">
        <x:f>IF(B301&lt;='17_Gia_dinh_mo_hinh'!$J$8,'17_Gia_dinh_mo_hinh'!$K$8*(1-MIN(0.95,'17_Gia_dinh_mo_hinh'!$M$8*0.75))/'17_Gia_dinh_mo_hinh'!$J$8,0)</x:f>
        <x:v>0</x:v>
      </x:c>
      <x:c r="L301" s="62" t="n">
        <x:f>S300*'17_Gia_dinh_mo_hinh'!$Q$8/12</x:f>
        <x:v>22.087500000000002</x:v>
      </x:c>
      <x:c r="M301" s="62" t="n">
        <x:f>G301-H301-I301-J301-L301</x:f>
        <x:v>-22.087500000000002</x:v>
      </x:c>
      <x:c r="N301" s="62" t="n">
        <x:f>MAX(0,M301*'17_Gia_dinh_mo_hinh'!$S$8)</x:f>
        <x:v>0</x:v>
      </x:c>
      <x:c r="O301" s="62" t="n">
        <x:f>M301-N301</x:f>
        <x:v>-22.087500000000002</x:v>
      </x:c>
      <x:c r="P301" s="62" t="n">
        <x:f>F301-K301-I301-J301-N301-L301</x:f>
        <x:v>-22.087500000000002</x:v>
      </x:c>
      <x:c r="Q301" s="62" t="n">
        <x:f>MIN(MAX(0,-(T300+P301)),MAX(0,'17_Gia_dinh_mo_hinh'!$R$8-S300))</x:f>
        <x:v>0</x:v>
      </x:c>
      <x:c r="R301" s="62" t="n">
        <x:f>MIN(MAX(0,T300+P301+Q301),S300+Q301)</x:f>
        <x:v>0</x:v>
      </x:c>
      <x:c r="S301" s="62" t="n">
        <x:f>S300+Q301-R301</x:f>
        <x:v>2790</x:v>
      </x:c>
      <x:c r="T301" s="62" t="n">
        <x:f>MAX(0,T300+P301+Q301-R301)</x:f>
        <x:v>0</x:v>
      </x:c>
      <x:c r="U301" s="62" t="n">
        <x:f>MAX(0,-(T300+P301)-MAX(0,'17_Gia_dinh_mo_hinh'!$R$8-S300))</x:f>
        <x:v>22.087500000000002</x:v>
      </x:c>
      <x:c r="V301" s="61" t="str">
        <x:f>IF(B301&lt;'17_Gia_dinh_mo_hinh'!$F$8+D301,"Trước mở bán",IF(B301&lt;'17_Gia_dinh_mo_hinh'!$H$8+D301,"Bán hàng/thi công",IF(G301&gt;0,"Ghi nhận/bàn giao","Hậu bàn giao")))</x:f>
        <x:v>Hậu bàn giao</x:v>
      </x:c>
    </x:row>
    <x:row r="302">
      <x:c r="A302" s="54" t="str">
        <x:v>DA05</x:v>
      </x:c>
      <x:c r="B302" s="54" t="n">
        <x:v>59</x:v>
      </x:c>
      <x:c r="C302" s="60" t="n">
        <x:f>EDATE('17_Gia_dinh_mo_hinh'!$C$8,B302-1)</x:f>
        <x:v>48000</x:v>
      </x:c>
      <x:c r="D302" s="61" t="n">
        <x:f>ROUNDUP('17_Gia_dinh_mo_hinh'!$E$8/30,0)</x:f>
        <x:v>0</x:v>
      </x:c>
      <x:c r="E302" s="62" t="n">
        <x:f>IF(AND(B302&gt;='17_Gia_dinh_mo_hinh'!$F$8+D302,B302&lt;'17_Gia_dinh_mo_hinh'!$F$8+D302+'17_Gia_dinh_mo_hinh'!$G$8),'17_Gia_dinh_mo_hinh'!$L$8*(1-'17_Gia_dinh_mo_hinh'!$M$8)/'17_Gia_dinh_mo_hinh'!$G$8,0)</x:f>
        <x:v>0</x:v>
      </x:c>
      <x:c r="F302" s="62" t="n">
        <x:f>0.70*E302+0.30*E301</x:f>
        <x:v>0</x:v>
      </x:c>
      <x:c r="G302" s="62" t="n">
        <x:f>IF(AND(B302&gt;='17_Gia_dinh_mo_hinh'!$H$8+D302,B302&lt;'17_Gia_dinh_mo_hinh'!$H$8+D302+'17_Gia_dinh_mo_hinh'!$I$8),'17_Gia_dinh_mo_hinh'!$L$8*(1-'17_Gia_dinh_mo_hinh'!$M$8)/'17_Gia_dinh_mo_hinh'!$I$8,0)</x:f>
        <x:v>0</x:v>
      </x:c>
      <x:c r="H302" s="62" t="n">
        <x:f>G302*(1-'17_Gia_dinh_mo_hinh'!$N$8)</x:f>
        <x:v>0</x:v>
      </x:c>
      <x:c r="I302" s="62" t="n">
        <x:f>G302*'17_Gia_dinh_mo_hinh'!$O$8</x:f>
        <x:v>0</x:v>
      </x:c>
      <x:c r="J302" s="62" t="n">
        <x:f>G302*'17_Gia_dinh_mo_hinh'!$P$8</x:f>
        <x:v>0</x:v>
      </x:c>
      <x:c r="K302" s="62" t="n">
        <x:f>IF(B302&lt;='17_Gia_dinh_mo_hinh'!$J$8,'17_Gia_dinh_mo_hinh'!$K$8*(1-MIN(0.95,'17_Gia_dinh_mo_hinh'!$M$8*0.75))/'17_Gia_dinh_mo_hinh'!$J$8,0)</x:f>
        <x:v>0</x:v>
      </x:c>
      <x:c r="L302" s="62" t="n">
        <x:f>S301*'17_Gia_dinh_mo_hinh'!$Q$8/12</x:f>
        <x:v>22.087500000000002</x:v>
      </x:c>
      <x:c r="M302" s="62" t="n">
        <x:f>G302-H302-I302-J302-L302</x:f>
        <x:v>-22.087500000000002</x:v>
      </x:c>
      <x:c r="N302" s="62" t="n">
        <x:f>MAX(0,M302*'17_Gia_dinh_mo_hinh'!$S$8)</x:f>
        <x:v>0</x:v>
      </x:c>
      <x:c r="O302" s="62" t="n">
        <x:f>M302-N302</x:f>
        <x:v>-22.087500000000002</x:v>
      </x:c>
      <x:c r="P302" s="62" t="n">
        <x:f>F302-K302-I302-J302-N302-L302</x:f>
        <x:v>-22.087500000000002</x:v>
      </x:c>
      <x:c r="Q302" s="62" t="n">
        <x:f>MIN(MAX(0,-(T301+P302)),MAX(0,'17_Gia_dinh_mo_hinh'!$R$8-S301))</x:f>
        <x:v>0</x:v>
      </x:c>
      <x:c r="R302" s="62" t="n">
        <x:f>MIN(MAX(0,T301+P302+Q302),S301+Q302)</x:f>
        <x:v>0</x:v>
      </x:c>
      <x:c r="S302" s="62" t="n">
        <x:f>S301+Q302-R302</x:f>
        <x:v>2790</x:v>
      </x:c>
      <x:c r="T302" s="62" t="n">
        <x:f>MAX(0,T301+P302+Q302-R302)</x:f>
        <x:v>0</x:v>
      </x:c>
      <x:c r="U302" s="62" t="n">
        <x:f>MAX(0,-(T301+P302)-MAX(0,'17_Gia_dinh_mo_hinh'!$R$8-S301))</x:f>
        <x:v>22.087500000000002</x:v>
      </x:c>
      <x:c r="V302" s="61" t="str">
        <x:f>IF(B302&lt;'17_Gia_dinh_mo_hinh'!$F$8+D302,"Trước mở bán",IF(B302&lt;'17_Gia_dinh_mo_hinh'!$H$8+D302,"Bán hàng/thi công",IF(G302&gt;0,"Ghi nhận/bàn giao","Hậu bàn giao")))</x:f>
        <x:v>Hậu bàn giao</x:v>
      </x:c>
    </x:row>
    <x:row r="303">
      <x:c r="A303" s="54" t="str">
        <x:v>DA05</x:v>
      </x:c>
      <x:c r="B303" s="54" t="n">
        <x:v>60</x:v>
      </x:c>
      <x:c r="C303" s="60" t="n">
        <x:f>EDATE('17_Gia_dinh_mo_hinh'!$C$8,B303-1)</x:f>
        <x:v>48030</x:v>
      </x:c>
      <x:c r="D303" s="61" t="n">
        <x:f>ROUNDUP('17_Gia_dinh_mo_hinh'!$E$8/30,0)</x:f>
        <x:v>0</x:v>
      </x:c>
      <x:c r="E303" s="62" t="n">
        <x:f>IF(AND(B303&gt;='17_Gia_dinh_mo_hinh'!$F$8+D303,B303&lt;'17_Gia_dinh_mo_hinh'!$F$8+D303+'17_Gia_dinh_mo_hinh'!$G$8),'17_Gia_dinh_mo_hinh'!$L$8*(1-'17_Gia_dinh_mo_hinh'!$M$8)/'17_Gia_dinh_mo_hinh'!$G$8,0)</x:f>
        <x:v>0</x:v>
      </x:c>
      <x:c r="F303" s="62" t="n">
        <x:f>0.70*E303+0.30*E302</x:f>
        <x:v>0</x:v>
      </x:c>
      <x:c r="G303" s="62" t="n">
        <x:f>IF(AND(B303&gt;='17_Gia_dinh_mo_hinh'!$H$8+D303,B303&lt;'17_Gia_dinh_mo_hinh'!$H$8+D303+'17_Gia_dinh_mo_hinh'!$I$8),'17_Gia_dinh_mo_hinh'!$L$8*(1-'17_Gia_dinh_mo_hinh'!$M$8)/'17_Gia_dinh_mo_hinh'!$I$8,0)</x:f>
        <x:v>0</x:v>
      </x:c>
      <x:c r="H303" s="62" t="n">
        <x:f>G303*(1-'17_Gia_dinh_mo_hinh'!$N$8)</x:f>
        <x:v>0</x:v>
      </x:c>
      <x:c r="I303" s="62" t="n">
        <x:f>G303*'17_Gia_dinh_mo_hinh'!$O$8</x:f>
        <x:v>0</x:v>
      </x:c>
      <x:c r="J303" s="62" t="n">
        <x:f>G303*'17_Gia_dinh_mo_hinh'!$P$8</x:f>
        <x:v>0</x:v>
      </x:c>
      <x:c r="K303" s="62" t="n">
        <x:f>IF(B303&lt;='17_Gia_dinh_mo_hinh'!$J$8,'17_Gia_dinh_mo_hinh'!$K$8*(1-MIN(0.95,'17_Gia_dinh_mo_hinh'!$M$8*0.75))/'17_Gia_dinh_mo_hinh'!$J$8,0)</x:f>
        <x:v>0</x:v>
      </x:c>
      <x:c r="L303" s="62" t="n">
        <x:f>S302*'17_Gia_dinh_mo_hinh'!$Q$8/12</x:f>
        <x:v>22.087500000000002</x:v>
      </x:c>
      <x:c r="M303" s="62" t="n">
        <x:f>G303-H303-I303-J303-L303</x:f>
        <x:v>-22.087500000000002</x:v>
      </x:c>
      <x:c r="N303" s="62" t="n">
        <x:f>MAX(0,M303*'17_Gia_dinh_mo_hinh'!$S$8)</x:f>
        <x:v>0</x:v>
      </x:c>
      <x:c r="O303" s="62" t="n">
        <x:f>M303-N303</x:f>
        <x:v>-22.087500000000002</x:v>
      </x:c>
      <x:c r="P303" s="62" t="n">
        <x:f>F303-K303-I303-J303-N303-L303</x:f>
        <x:v>-22.087500000000002</x:v>
      </x:c>
      <x:c r="Q303" s="62" t="n">
        <x:f>MIN(MAX(0,-(T302+P303)),MAX(0,'17_Gia_dinh_mo_hinh'!$R$8-S302))</x:f>
        <x:v>0</x:v>
      </x:c>
      <x:c r="R303" s="62" t="n">
        <x:f>MIN(MAX(0,T302+P303+Q303),S302+Q303)</x:f>
        <x:v>0</x:v>
      </x:c>
      <x:c r="S303" s="62" t="n">
        <x:f>S302+Q303-R303</x:f>
        <x:v>2790</x:v>
      </x:c>
      <x:c r="T303" s="62" t="n">
        <x:f>MAX(0,T302+P303+Q303-R303)</x:f>
        <x:v>0</x:v>
      </x:c>
      <x:c r="U303" s="62" t="n">
        <x:f>MAX(0,-(T302+P303)-MAX(0,'17_Gia_dinh_mo_hinh'!$R$8-S302))</x:f>
        <x:v>22.087500000000002</x:v>
      </x:c>
      <x:c r="V303" s="61" t="str">
        <x:f>IF(B303&lt;'17_Gia_dinh_mo_hinh'!$F$8+D303,"Trước mở bán",IF(B303&lt;'17_Gia_dinh_mo_hinh'!$H$8+D303,"Bán hàng/thi công",IF(G303&gt;0,"Ghi nhận/bàn giao","Hậu bàn giao")))</x:f>
        <x:v>Hậu bàn giao</x:v>
      </x:c>
    </x:row>
    <x:row r="304">
      <x:c r="A304" s="54" t="str">
        <x:v>DA06</x:v>
      </x:c>
      <x:c r="B304" s="54" t="n">
        <x:v>1</x:v>
      </x:c>
      <x:c r="C304" s="60" t="n">
        <x:f>EDATE('17_Gia_dinh_mo_hinh'!$C$9,B304-1)</x:f>
        <x:v>46235</x:v>
      </x:c>
      <x:c r="D304" s="61" t="n">
        <x:f>ROUNDUP('17_Gia_dinh_mo_hinh'!$E$9/30,0)</x:f>
        <x:v>9</x:v>
      </x:c>
      <x:c r="E304" s="62" t="n">
        <x:f>IF(AND(B304&gt;='17_Gia_dinh_mo_hinh'!$F$9+D304,B304&lt;'17_Gia_dinh_mo_hinh'!$F$9+D304+'17_Gia_dinh_mo_hinh'!$G$9),'17_Gia_dinh_mo_hinh'!$L$9*(1-'17_Gia_dinh_mo_hinh'!$M$9)/'17_Gia_dinh_mo_hinh'!$G$9,0)</x:f>
        <x:v>0</x:v>
      </x:c>
      <x:c r="F304" s="62" t="n">
        <x:f>0.70*E304+0.30*0</x:f>
        <x:v>0</x:v>
      </x:c>
      <x:c r="G304" s="62" t="n">
        <x:f>IF(AND(B304&gt;='17_Gia_dinh_mo_hinh'!$H$9+D304,B304&lt;'17_Gia_dinh_mo_hinh'!$H$9+D304+'17_Gia_dinh_mo_hinh'!$I$9),'17_Gia_dinh_mo_hinh'!$L$9*(1-'17_Gia_dinh_mo_hinh'!$M$9)/'17_Gia_dinh_mo_hinh'!$I$9,0)</x:f>
        <x:v>0</x:v>
      </x:c>
      <x:c r="H304" s="62" t="n">
        <x:f>G304*(1-'17_Gia_dinh_mo_hinh'!$N$9)</x:f>
        <x:v>0</x:v>
      </x:c>
      <x:c r="I304" s="62" t="n">
        <x:f>G304*'17_Gia_dinh_mo_hinh'!$O$9</x:f>
        <x:v>0</x:v>
      </x:c>
      <x:c r="J304" s="62" t="n">
        <x:f>G304*'17_Gia_dinh_mo_hinh'!$P$9</x:f>
        <x:v>0</x:v>
      </x:c>
      <x:c r="K304" s="62" t="n">
        <x:f>IF(B304&lt;='17_Gia_dinh_mo_hinh'!$J$9,'17_Gia_dinh_mo_hinh'!$K$9*(1-MIN(0.95,'17_Gia_dinh_mo_hinh'!$M$9*0.75))/'17_Gia_dinh_mo_hinh'!$J$9,0)</x:f>
        <x:v>83.33333333333333</x:v>
      </x:c>
      <x:c r="L304" s="62" t="n">
        <x:f>'17_Gia_dinh_mo_hinh'!$U$9*'17_Gia_dinh_mo_hinh'!$Q$9/12</x:f>
        <x:v>3.9677343750000005</x:v>
      </x:c>
      <x:c r="M304" s="62" t="n">
        <x:f>G304-H304-I304-J304-L304</x:f>
        <x:v>-3.9677343750000005</x:v>
      </x:c>
      <x:c r="N304" s="62" t="n">
        <x:f>MAX(0,M304*'17_Gia_dinh_mo_hinh'!$S$9)</x:f>
        <x:v>0</x:v>
      </x:c>
      <x:c r="O304" s="62" t="n">
        <x:f>M304-N304</x:f>
        <x:v>-3.9677343750000005</x:v>
      </x:c>
      <x:c r="P304" s="62" t="n">
        <x:f>F304-K304-I304-J304-N304-L304</x:f>
        <x:v>-87.30106770833333</x:v>
      </x:c>
      <x:c r="Q304" s="62" t="n">
        <x:f>MIN(MAX(0,-('17_Gia_dinh_mo_hinh'!$T$9+P304)),MAX(0,'17_Gia_dinh_mo_hinh'!$R$9-'17_Gia_dinh_mo_hinh'!$U$9))</x:f>
        <x:v>0</x:v>
      </x:c>
      <x:c r="R304" s="62" t="n">
        <x:f>MIN(MAX(0,'17_Gia_dinh_mo_hinh'!$T$9+P304+Q304),'17_Gia_dinh_mo_hinh'!$U$9+Q304)</x:f>
        <x:v>12.698932291666665</x:v>
      </x:c>
      <x:c r="S304" s="62" t="n">
        <x:f>'17_Gia_dinh_mo_hinh'!$U$9+Q304-R304</x:f>
        <x:v>488.48856770833333</x:v>
      </x:c>
      <x:c r="T304" s="62" t="n">
        <x:f>MAX(0,'17_Gia_dinh_mo_hinh'!$T$9+P304+Q304-R304)</x:f>
        <x:v>0</x:v>
      </x:c>
      <x:c r="U304" s="62" t="n">
        <x:f>MAX(0,-('17_Gia_dinh_mo_hinh'!$T$9+P304)-MAX(0,'17_Gia_dinh_mo_hinh'!$R$9-'17_Gia_dinh_mo_hinh'!$U$9))</x:f>
        <x:v>0</x:v>
      </x:c>
      <x:c r="V304" s="61" t="str">
        <x:f>IF(B304&lt;'17_Gia_dinh_mo_hinh'!$F$9+D304,"Trước mở bán",IF(B304&lt;'17_Gia_dinh_mo_hinh'!$H$9+D304,"Bán hàng/thi công",IF(G304&gt;0,"Ghi nhận/bàn giao","Hậu bàn giao")))</x:f>
        <x:v>Trước mở bán</x:v>
      </x:c>
    </x:row>
    <x:row r="305">
      <x:c r="A305" s="54" t="str">
        <x:v>DA06</x:v>
      </x:c>
      <x:c r="B305" s="54" t="n">
        <x:v>2</x:v>
      </x:c>
      <x:c r="C305" s="60" t="n">
        <x:f>EDATE('17_Gia_dinh_mo_hinh'!$C$9,B305-1)</x:f>
        <x:v>46266</x:v>
      </x:c>
      <x:c r="D305" s="61" t="n">
        <x:f>ROUNDUP('17_Gia_dinh_mo_hinh'!$E$9/30,0)</x:f>
        <x:v>9</x:v>
      </x:c>
      <x:c r="E305" s="62" t="n">
        <x:f>IF(AND(B305&gt;='17_Gia_dinh_mo_hinh'!$F$9+D305,B305&lt;'17_Gia_dinh_mo_hinh'!$F$9+D305+'17_Gia_dinh_mo_hinh'!$G$9),'17_Gia_dinh_mo_hinh'!$L$9*(1-'17_Gia_dinh_mo_hinh'!$M$9)/'17_Gia_dinh_mo_hinh'!$G$9,0)</x:f>
        <x:v>0</x:v>
      </x:c>
      <x:c r="F305" s="62" t="n">
        <x:f>0.70*E305+0.30*E304</x:f>
        <x:v>0</x:v>
      </x:c>
      <x:c r="G305" s="62" t="n">
        <x:f>IF(AND(B305&gt;='17_Gia_dinh_mo_hinh'!$H$9+D305,B305&lt;'17_Gia_dinh_mo_hinh'!$H$9+D305+'17_Gia_dinh_mo_hinh'!$I$9),'17_Gia_dinh_mo_hinh'!$L$9*(1-'17_Gia_dinh_mo_hinh'!$M$9)/'17_Gia_dinh_mo_hinh'!$I$9,0)</x:f>
        <x:v>0</x:v>
      </x:c>
      <x:c r="H305" s="62" t="n">
        <x:f>G305*(1-'17_Gia_dinh_mo_hinh'!$N$9)</x:f>
        <x:v>0</x:v>
      </x:c>
      <x:c r="I305" s="62" t="n">
        <x:f>G305*'17_Gia_dinh_mo_hinh'!$O$9</x:f>
        <x:v>0</x:v>
      </x:c>
      <x:c r="J305" s="62" t="n">
        <x:f>G305*'17_Gia_dinh_mo_hinh'!$P$9</x:f>
        <x:v>0</x:v>
      </x:c>
      <x:c r="K305" s="62" t="n">
        <x:f>IF(B305&lt;='17_Gia_dinh_mo_hinh'!$J$9,'17_Gia_dinh_mo_hinh'!$K$9*(1-MIN(0.95,'17_Gia_dinh_mo_hinh'!$M$9*0.75))/'17_Gia_dinh_mo_hinh'!$J$9,0)</x:f>
        <x:v>83.33333333333333</x:v>
      </x:c>
      <x:c r="L305" s="62" t="n">
        <x:f>S304*'17_Gia_dinh_mo_hinh'!$Q$9/12</x:f>
        <x:v>3.867201161024306</x:v>
      </x:c>
      <x:c r="M305" s="62" t="n">
        <x:f>G305-H305-I305-J305-L305</x:f>
        <x:v>-3.867201161024306</x:v>
      </x:c>
      <x:c r="N305" s="62" t="n">
        <x:f>MAX(0,M305*'17_Gia_dinh_mo_hinh'!$S$9)</x:f>
        <x:v>0</x:v>
      </x:c>
      <x:c r="O305" s="62" t="n">
        <x:f>M305-N305</x:f>
        <x:v>-3.867201161024306</x:v>
      </x:c>
      <x:c r="P305" s="62" t="n">
        <x:f>F305-K305-I305-J305-N305-L305</x:f>
        <x:v>-87.20053449435764</x:v>
      </x:c>
      <x:c r="Q305" s="62" t="n">
        <x:f>MIN(MAX(0,-(T304+P305)),MAX(0,'17_Gia_dinh_mo_hinh'!$R$9-S304))</x:f>
        <x:v>87.20053449435764</x:v>
      </x:c>
      <x:c r="R305" s="62" t="n">
        <x:f>MIN(MAX(0,T304+P305+Q305),S304+Q305)</x:f>
        <x:v>0</x:v>
      </x:c>
      <x:c r="S305" s="62" t="n">
        <x:f>S304+Q305-R305</x:f>
        <x:v>575.689102202691</x:v>
      </x:c>
      <x:c r="T305" s="62" t="n">
        <x:f>MAX(0,T304+P305+Q305-R305)</x:f>
        <x:v>0</x:v>
      </x:c>
      <x:c r="U305" s="62" t="n">
        <x:f>MAX(0,-(T304+P305)-MAX(0,'17_Gia_dinh_mo_hinh'!$R$9-S304))</x:f>
        <x:v>0</x:v>
      </x:c>
      <x:c r="V305" s="61" t="str">
        <x:f>IF(B305&lt;'17_Gia_dinh_mo_hinh'!$F$9+D305,"Trước mở bán",IF(B305&lt;'17_Gia_dinh_mo_hinh'!$H$9+D305,"Bán hàng/thi công",IF(G305&gt;0,"Ghi nhận/bàn giao","Hậu bàn giao")))</x:f>
        <x:v>Trước mở bán</x:v>
      </x:c>
    </x:row>
    <x:row r="306">
      <x:c r="A306" s="54" t="str">
        <x:v>DA06</x:v>
      </x:c>
      <x:c r="B306" s="54" t="n">
        <x:v>3</x:v>
      </x:c>
      <x:c r="C306" s="60" t="n">
        <x:f>EDATE('17_Gia_dinh_mo_hinh'!$C$9,B306-1)</x:f>
        <x:v>46296</x:v>
      </x:c>
      <x:c r="D306" s="61" t="n">
        <x:f>ROUNDUP('17_Gia_dinh_mo_hinh'!$E$9/30,0)</x:f>
        <x:v>9</x:v>
      </x:c>
      <x:c r="E306" s="62" t="n">
        <x:f>IF(AND(B306&gt;='17_Gia_dinh_mo_hinh'!$F$9+D306,B306&lt;'17_Gia_dinh_mo_hinh'!$F$9+D306+'17_Gia_dinh_mo_hinh'!$G$9),'17_Gia_dinh_mo_hinh'!$L$9*(1-'17_Gia_dinh_mo_hinh'!$M$9)/'17_Gia_dinh_mo_hinh'!$G$9,0)</x:f>
        <x:v>0</x:v>
      </x:c>
      <x:c r="F306" s="62" t="n">
        <x:f>0.70*E306+0.30*E305</x:f>
        <x:v>0</x:v>
      </x:c>
      <x:c r="G306" s="62" t="n">
        <x:f>IF(AND(B306&gt;='17_Gia_dinh_mo_hinh'!$H$9+D306,B306&lt;'17_Gia_dinh_mo_hinh'!$H$9+D306+'17_Gia_dinh_mo_hinh'!$I$9),'17_Gia_dinh_mo_hinh'!$L$9*(1-'17_Gia_dinh_mo_hinh'!$M$9)/'17_Gia_dinh_mo_hinh'!$I$9,0)</x:f>
        <x:v>0</x:v>
      </x:c>
      <x:c r="H306" s="62" t="n">
        <x:f>G306*(1-'17_Gia_dinh_mo_hinh'!$N$9)</x:f>
        <x:v>0</x:v>
      </x:c>
      <x:c r="I306" s="62" t="n">
        <x:f>G306*'17_Gia_dinh_mo_hinh'!$O$9</x:f>
        <x:v>0</x:v>
      </x:c>
      <x:c r="J306" s="62" t="n">
        <x:f>G306*'17_Gia_dinh_mo_hinh'!$P$9</x:f>
        <x:v>0</x:v>
      </x:c>
      <x:c r="K306" s="62" t="n">
        <x:f>IF(B306&lt;='17_Gia_dinh_mo_hinh'!$J$9,'17_Gia_dinh_mo_hinh'!$K$9*(1-MIN(0.95,'17_Gia_dinh_mo_hinh'!$M$9*0.75))/'17_Gia_dinh_mo_hinh'!$J$9,0)</x:f>
        <x:v>83.33333333333333</x:v>
      </x:c>
      <x:c r="L306" s="62" t="n">
        <x:f>S305*'17_Gia_dinh_mo_hinh'!$Q$9/12</x:f>
        <x:v>4.557538725771304</x:v>
      </x:c>
      <x:c r="M306" s="62" t="n">
        <x:f>G306-H306-I306-J306-L306</x:f>
        <x:v>-4.557538725771304</x:v>
      </x:c>
      <x:c r="N306" s="62" t="n">
        <x:f>MAX(0,M306*'17_Gia_dinh_mo_hinh'!$S$9)</x:f>
        <x:v>0</x:v>
      </x:c>
      <x:c r="O306" s="62" t="n">
        <x:f>M306-N306</x:f>
        <x:v>-4.557538725771304</x:v>
      </x:c>
      <x:c r="P306" s="62" t="n">
        <x:f>F306-K306-I306-J306-N306-L306</x:f>
        <x:v>-87.89087205910464</x:v>
      </x:c>
      <x:c r="Q306" s="62" t="n">
        <x:f>MIN(MAX(0,-(T305+P306)),MAX(0,'17_Gia_dinh_mo_hinh'!$R$9-S305))</x:f>
        <x:v>87.89087205910464</x:v>
      </x:c>
      <x:c r="R306" s="62" t="n">
        <x:f>MIN(MAX(0,T305+P306+Q306),S305+Q306)</x:f>
        <x:v>0</x:v>
      </x:c>
      <x:c r="S306" s="62" t="n">
        <x:f>S305+Q306-R306</x:f>
        <x:v>663.5799742617955</x:v>
      </x:c>
      <x:c r="T306" s="62" t="n">
        <x:f>MAX(0,T305+P306+Q306-R306)</x:f>
        <x:v>0</x:v>
      </x:c>
      <x:c r="U306" s="62" t="n">
        <x:f>MAX(0,-(T305+P306)-MAX(0,'17_Gia_dinh_mo_hinh'!$R$9-S305))</x:f>
        <x:v>0</x:v>
      </x:c>
      <x:c r="V306" s="61" t="str">
        <x:f>IF(B306&lt;'17_Gia_dinh_mo_hinh'!$F$9+D306,"Trước mở bán",IF(B306&lt;'17_Gia_dinh_mo_hinh'!$H$9+D306,"Bán hàng/thi công",IF(G306&gt;0,"Ghi nhận/bàn giao","Hậu bàn giao")))</x:f>
        <x:v>Trước mở bán</x:v>
      </x:c>
    </x:row>
    <x:row r="307">
      <x:c r="A307" s="54" t="str">
        <x:v>DA06</x:v>
      </x:c>
      <x:c r="B307" s="54" t="n">
        <x:v>4</x:v>
      </x:c>
      <x:c r="C307" s="60" t="n">
        <x:f>EDATE('17_Gia_dinh_mo_hinh'!$C$9,B307-1)</x:f>
        <x:v>46327</x:v>
      </x:c>
      <x:c r="D307" s="61" t="n">
        <x:f>ROUNDUP('17_Gia_dinh_mo_hinh'!$E$9/30,0)</x:f>
        <x:v>9</x:v>
      </x:c>
      <x:c r="E307" s="62" t="n">
        <x:f>IF(AND(B307&gt;='17_Gia_dinh_mo_hinh'!$F$9+D307,B307&lt;'17_Gia_dinh_mo_hinh'!$F$9+D307+'17_Gia_dinh_mo_hinh'!$G$9),'17_Gia_dinh_mo_hinh'!$L$9*(1-'17_Gia_dinh_mo_hinh'!$M$9)/'17_Gia_dinh_mo_hinh'!$G$9,0)</x:f>
        <x:v>0</x:v>
      </x:c>
      <x:c r="F307" s="62" t="n">
        <x:f>0.70*E307+0.30*E306</x:f>
        <x:v>0</x:v>
      </x:c>
      <x:c r="G307" s="62" t="n">
        <x:f>IF(AND(B307&gt;='17_Gia_dinh_mo_hinh'!$H$9+D307,B307&lt;'17_Gia_dinh_mo_hinh'!$H$9+D307+'17_Gia_dinh_mo_hinh'!$I$9),'17_Gia_dinh_mo_hinh'!$L$9*(1-'17_Gia_dinh_mo_hinh'!$M$9)/'17_Gia_dinh_mo_hinh'!$I$9,0)</x:f>
        <x:v>0</x:v>
      </x:c>
      <x:c r="H307" s="62" t="n">
        <x:f>G307*(1-'17_Gia_dinh_mo_hinh'!$N$9)</x:f>
        <x:v>0</x:v>
      </x:c>
      <x:c r="I307" s="62" t="n">
        <x:f>G307*'17_Gia_dinh_mo_hinh'!$O$9</x:f>
        <x:v>0</x:v>
      </x:c>
      <x:c r="J307" s="62" t="n">
        <x:f>G307*'17_Gia_dinh_mo_hinh'!$P$9</x:f>
        <x:v>0</x:v>
      </x:c>
      <x:c r="K307" s="62" t="n">
        <x:f>IF(B307&lt;='17_Gia_dinh_mo_hinh'!$J$9,'17_Gia_dinh_mo_hinh'!$K$9*(1-MIN(0.95,'17_Gia_dinh_mo_hinh'!$M$9*0.75))/'17_Gia_dinh_mo_hinh'!$J$9,0)</x:f>
        <x:v>83.33333333333333</x:v>
      </x:c>
      <x:c r="L307" s="62" t="n">
        <x:f>S306*'17_Gia_dinh_mo_hinh'!$Q$9/12</x:f>
        <x:v>5.253341462905881</x:v>
      </x:c>
      <x:c r="M307" s="62" t="n">
        <x:f>G307-H307-I307-J307-L307</x:f>
        <x:v>-5.253341462905881</x:v>
      </x:c>
      <x:c r="N307" s="62" t="n">
        <x:f>MAX(0,M307*'17_Gia_dinh_mo_hinh'!$S$9)</x:f>
        <x:v>0</x:v>
      </x:c>
      <x:c r="O307" s="62" t="n">
        <x:f>M307-N307</x:f>
        <x:v>-5.253341462905881</x:v>
      </x:c>
      <x:c r="P307" s="62" t="n">
        <x:f>F307-K307-I307-J307-N307-L307</x:f>
        <x:v>-88.58667479623921</x:v>
      </x:c>
      <x:c r="Q307" s="62" t="n">
        <x:f>MIN(MAX(0,-(T306+P307)),MAX(0,'17_Gia_dinh_mo_hinh'!$R$9-S306))</x:f>
        <x:v>88.58667479623921</x:v>
      </x:c>
      <x:c r="R307" s="62" t="n">
        <x:f>MIN(MAX(0,T306+P307+Q307),S306+Q307)</x:f>
        <x:v>0</x:v>
      </x:c>
      <x:c r="S307" s="62" t="n">
        <x:f>S306+Q307-R307</x:f>
        <x:v>752.1666490580347</x:v>
      </x:c>
      <x:c r="T307" s="62" t="n">
        <x:f>MAX(0,T306+P307+Q307-R307)</x:f>
        <x:v>0</x:v>
      </x:c>
      <x:c r="U307" s="62" t="n">
        <x:f>MAX(0,-(T306+P307)-MAX(0,'17_Gia_dinh_mo_hinh'!$R$9-S306))</x:f>
        <x:v>0</x:v>
      </x:c>
      <x:c r="V307" s="61" t="str">
        <x:f>IF(B307&lt;'17_Gia_dinh_mo_hinh'!$F$9+D307,"Trước mở bán",IF(B307&lt;'17_Gia_dinh_mo_hinh'!$H$9+D307,"Bán hàng/thi công",IF(G307&gt;0,"Ghi nhận/bàn giao","Hậu bàn giao")))</x:f>
        <x:v>Trước mở bán</x:v>
      </x:c>
    </x:row>
    <x:row r="308">
      <x:c r="A308" s="54" t="str">
        <x:v>DA06</x:v>
      </x:c>
      <x:c r="B308" s="54" t="n">
        <x:v>5</x:v>
      </x:c>
      <x:c r="C308" s="60" t="n">
        <x:f>EDATE('17_Gia_dinh_mo_hinh'!$C$9,B308-1)</x:f>
        <x:v>46357</x:v>
      </x:c>
      <x:c r="D308" s="61" t="n">
        <x:f>ROUNDUP('17_Gia_dinh_mo_hinh'!$E$9/30,0)</x:f>
        <x:v>9</x:v>
      </x:c>
      <x:c r="E308" s="62" t="n">
        <x:f>IF(AND(B308&gt;='17_Gia_dinh_mo_hinh'!$F$9+D308,B308&lt;'17_Gia_dinh_mo_hinh'!$F$9+D308+'17_Gia_dinh_mo_hinh'!$G$9),'17_Gia_dinh_mo_hinh'!$L$9*(1-'17_Gia_dinh_mo_hinh'!$M$9)/'17_Gia_dinh_mo_hinh'!$G$9,0)</x:f>
        <x:v>0</x:v>
      </x:c>
      <x:c r="F308" s="62" t="n">
        <x:f>0.70*E308+0.30*E307</x:f>
        <x:v>0</x:v>
      </x:c>
      <x:c r="G308" s="62" t="n">
        <x:f>IF(AND(B308&gt;='17_Gia_dinh_mo_hinh'!$H$9+D308,B308&lt;'17_Gia_dinh_mo_hinh'!$H$9+D308+'17_Gia_dinh_mo_hinh'!$I$9),'17_Gia_dinh_mo_hinh'!$L$9*(1-'17_Gia_dinh_mo_hinh'!$M$9)/'17_Gia_dinh_mo_hinh'!$I$9,0)</x:f>
        <x:v>0</x:v>
      </x:c>
      <x:c r="H308" s="62" t="n">
        <x:f>G308*(1-'17_Gia_dinh_mo_hinh'!$N$9)</x:f>
        <x:v>0</x:v>
      </x:c>
      <x:c r="I308" s="62" t="n">
        <x:f>G308*'17_Gia_dinh_mo_hinh'!$O$9</x:f>
        <x:v>0</x:v>
      </x:c>
      <x:c r="J308" s="62" t="n">
        <x:f>G308*'17_Gia_dinh_mo_hinh'!$P$9</x:f>
        <x:v>0</x:v>
      </x:c>
      <x:c r="K308" s="62" t="n">
        <x:f>IF(B308&lt;='17_Gia_dinh_mo_hinh'!$J$9,'17_Gia_dinh_mo_hinh'!$K$9*(1-MIN(0.95,'17_Gia_dinh_mo_hinh'!$M$9*0.75))/'17_Gia_dinh_mo_hinh'!$J$9,0)</x:f>
        <x:v>83.33333333333333</x:v>
      </x:c>
      <x:c r="L308" s="62" t="n">
        <x:f>S307*'17_Gia_dinh_mo_hinh'!$Q$9/12</x:f>
        <x:v>5.954652638376108</x:v>
      </x:c>
      <x:c r="M308" s="62" t="n">
        <x:f>G308-H308-I308-J308-L308</x:f>
        <x:v>-5.954652638376108</x:v>
      </x:c>
      <x:c r="N308" s="62" t="n">
        <x:f>MAX(0,M308*'17_Gia_dinh_mo_hinh'!$S$9)</x:f>
        <x:v>0</x:v>
      </x:c>
      <x:c r="O308" s="62" t="n">
        <x:f>M308-N308</x:f>
        <x:v>-5.954652638376108</x:v>
      </x:c>
      <x:c r="P308" s="62" t="n">
        <x:f>F308-K308-I308-J308-N308-L308</x:f>
        <x:v>-89.28798597170943</x:v>
      </x:c>
      <x:c r="Q308" s="62" t="n">
        <x:f>MIN(MAX(0,-(T307+P308)),MAX(0,'17_Gia_dinh_mo_hinh'!$R$9-S307))</x:f>
        <x:v>89.28798597170943</x:v>
      </x:c>
      <x:c r="R308" s="62" t="n">
        <x:f>MIN(MAX(0,T307+P308+Q308),S307+Q308)</x:f>
        <x:v>0</x:v>
      </x:c>
      <x:c r="S308" s="62" t="n">
        <x:f>S307+Q308-R308</x:f>
        <x:v>841.4546350297442</x:v>
      </x:c>
      <x:c r="T308" s="62" t="n">
        <x:f>MAX(0,T307+P308+Q308-R308)</x:f>
        <x:v>0</x:v>
      </x:c>
      <x:c r="U308" s="62" t="n">
        <x:f>MAX(0,-(T307+P308)-MAX(0,'17_Gia_dinh_mo_hinh'!$R$9-S307))</x:f>
        <x:v>0</x:v>
      </x:c>
      <x:c r="V308" s="61" t="str">
        <x:f>IF(B308&lt;'17_Gia_dinh_mo_hinh'!$F$9+D308,"Trước mở bán",IF(B308&lt;'17_Gia_dinh_mo_hinh'!$H$9+D308,"Bán hàng/thi công",IF(G308&gt;0,"Ghi nhận/bàn giao","Hậu bàn giao")))</x:f>
        <x:v>Trước mở bán</x:v>
      </x:c>
    </x:row>
    <x:row r="309">
      <x:c r="A309" s="54" t="str">
        <x:v>DA06</x:v>
      </x:c>
      <x:c r="B309" s="54" t="n">
        <x:v>6</x:v>
      </x:c>
      <x:c r="C309" s="60" t="n">
        <x:f>EDATE('17_Gia_dinh_mo_hinh'!$C$9,B309-1)</x:f>
        <x:v>46388</x:v>
      </x:c>
      <x:c r="D309" s="61" t="n">
        <x:f>ROUNDUP('17_Gia_dinh_mo_hinh'!$E$9/30,0)</x:f>
        <x:v>9</x:v>
      </x:c>
      <x:c r="E309" s="62" t="n">
        <x:f>IF(AND(B309&gt;='17_Gia_dinh_mo_hinh'!$F$9+D309,B309&lt;'17_Gia_dinh_mo_hinh'!$F$9+D309+'17_Gia_dinh_mo_hinh'!$G$9),'17_Gia_dinh_mo_hinh'!$L$9*(1-'17_Gia_dinh_mo_hinh'!$M$9)/'17_Gia_dinh_mo_hinh'!$G$9,0)</x:f>
        <x:v>0</x:v>
      </x:c>
      <x:c r="F309" s="62" t="n">
        <x:f>0.70*E309+0.30*E308</x:f>
        <x:v>0</x:v>
      </x:c>
      <x:c r="G309" s="62" t="n">
        <x:f>IF(AND(B309&gt;='17_Gia_dinh_mo_hinh'!$H$9+D309,B309&lt;'17_Gia_dinh_mo_hinh'!$H$9+D309+'17_Gia_dinh_mo_hinh'!$I$9),'17_Gia_dinh_mo_hinh'!$L$9*(1-'17_Gia_dinh_mo_hinh'!$M$9)/'17_Gia_dinh_mo_hinh'!$I$9,0)</x:f>
        <x:v>0</x:v>
      </x:c>
      <x:c r="H309" s="62" t="n">
        <x:f>G309*(1-'17_Gia_dinh_mo_hinh'!$N$9)</x:f>
        <x:v>0</x:v>
      </x:c>
      <x:c r="I309" s="62" t="n">
        <x:f>G309*'17_Gia_dinh_mo_hinh'!$O$9</x:f>
        <x:v>0</x:v>
      </x:c>
      <x:c r="J309" s="62" t="n">
        <x:f>G309*'17_Gia_dinh_mo_hinh'!$P$9</x:f>
        <x:v>0</x:v>
      </x:c>
      <x:c r="K309" s="62" t="n">
        <x:f>IF(B309&lt;='17_Gia_dinh_mo_hinh'!$J$9,'17_Gia_dinh_mo_hinh'!$K$9*(1-MIN(0.95,'17_Gia_dinh_mo_hinh'!$M$9*0.75))/'17_Gia_dinh_mo_hinh'!$J$9,0)</x:f>
        <x:v>83.33333333333333</x:v>
      </x:c>
      <x:c r="L309" s="62" t="n">
        <x:f>S308*'17_Gia_dinh_mo_hinh'!$Q$9/12</x:f>
        <x:v>6.661515860652141</x:v>
      </x:c>
      <x:c r="M309" s="62" t="n">
        <x:f>G309-H309-I309-J309-L309</x:f>
        <x:v>-6.661515860652141</x:v>
      </x:c>
      <x:c r="N309" s="62" t="n">
        <x:f>MAX(0,M309*'17_Gia_dinh_mo_hinh'!$S$9)</x:f>
        <x:v>0</x:v>
      </x:c>
      <x:c r="O309" s="62" t="n">
        <x:f>M309-N309</x:f>
        <x:v>-6.661515860652141</x:v>
      </x:c>
      <x:c r="P309" s="62" t="n">
        <x:f>F309-K309-I309-J309-N309-L309</x:f>
        <x:v>-89.99484919398547</x:v>
      </x:c>
      <x:c r="Q309" s="62" t="n">
        <x:f>MIN(MAX(0,-(T308+P309)),MAX(0,'17_Gia_dinh_mo_hinh'!$R$9-S308))</x:f>
        <x:v>89.99484919398547</x:v>
      </x:c>
      <x:c r="R309" s="62" t="n">
        <x:f>MIN(MAX(0,T308+P309+Q309),S308+Q309)</x:f>
        <x:v>0</x:v>
      </x:c>
      <x:c r="S309" s="62" t="n">
        <x:f>S308+Q309-R309</x:f>
        <x:v>931.4494842237297</x:v>
      </x:c>
      <x:c r="T309" s="62" t="n">
        <x:f>MAX(0,T308+P309+Q309-R309)</x:f>
        <x:v>0</x:v>
      </x:c>
      <x:c r="U309" s="62" t="n">
        <x:f>MAX(0,-(T308+P309)-MAX(0,'17_Gia_dinh_mo_hinh'!$R$9-S308))</x:f>
        <x:v>0</x:v>
      </x:c>
      <x:c r="V309" s="61" t="str">
        <x:f>IF(B309&lt;'17_Gia_dinh_mo_hinh'!$F$9+D309,"Trước mở bán",IF(B309&lt;'17_Gia_dinh_mo_hinh'!$H$9+D309,"Bán hàng/thi công",IF(G309&gt;0,"Ghi nhận/bàn giao","Hậu bàn giao")))</x:f>
        <x:v>Trước mở bán</x:v>
      </x:c>
    </x:row>
    <x:row r="310">
      <x:c r="A310" s="54" t="str">
        <x:v>DA06</x:v>
      </x:c>
      <x:c r="B310" s="54" t="n">
        <x:v>7</x:v>
      </x:c>
      <x:c r="C310" s="60" t="n">
        <x:f>EDATE('17_Gia_dinh_mo_hinh'!$C$9,B310-1)</x:f>
        <x:v>46419</x:v>
      </x:c>
      <x:c r="D310" s="61" t="n">
        <x:f>ROUNDUP('17_Gia_dinh_mo_hinh'!$E$9/30,0)</x:f>
        <x:v>9</x:v>
      </x:c>
      <x:c r="E310" s="62" t="n">
        <x:f>IF(AND(B310&gt;='17_Gia_dinh_mo_hinh'!$F$9+D310,B310&lt;'17_Gia_dinh_mo_hinh'!$F$9+D310+'17_Gia_dinh_mo_hinh'!$G$9),'17_Gia_dinh_mo_hinh'!$L$9*(1-'17_Gia_dinh_mo_hinh'!$M$9)/'17_Gia_dinh_mo_hinh'!$G$9,0)</x:f>
        <x:v>0</x:v>
      </x:c>
      <x:c r="F310" s="62" t="n">
        <x:f>0.70*E310+0.30*E309</x:f>
        <x:v>0</x:v>
      </x:c>
      <x:c r="G310" s="62" t="n">
        <x:f>IF(AND(B310&gt;='17_Gia_dinh_mo_hinh'!$H$9+D310,B310&lt;'17_Gia_dinh_mo_hinh'!$H$9+D310+'17_Gia_dinh_mo_hinh'!$I$9),'17_Gia_dinh_mo_hinh'!$L$9*(1-'17_Gia_dinh_mo_hinh'!$M$9)/'17_Gia_dinh_mo_hinh'!$I$9,0)</x:f>
        <x:v>0</x:v>
      </x:c>
      <x:c r="H310" s="62" t="n">
        <x:f>G310*(1-'17_Gia_dinh_mo_hinh'!$N$9)</x:f>
        <x:v>0</x:v>
      </x:c>
      <x:c r="I310" s="62" t="n">
        <x:f>G310*'17_Gia_dinh_mo_hinh'!$O$9</x:f>
        <x:v>0</x:v>
      </x:c>
      <x:c r="J310" s="62" t="n">
        <x:f>G310*'17_Gia_dinh_mo_hinh'!$P$9</x:f>
        <x:v>0</x:v>
      </x:c>
      <x:c r="K310" s="62" t="n">
        <x:f>IF(B310&lt;='17_Gia_dinh_mo_hinh'!$J$9,'17_Gia_dinh_mo_hinh'!$K$9*(1-MIN(0.95,'17_Gia_dinh_mo_hinh'!$M$9*0.75))/'17_Gia_dinh_mo_hinh'!$J$9,0)</x:f>
        <x:v>83.33333333333333</x:v>
      </x:c>
      <x:c r="L310" s="62" t="n">
        <x:f>S309*'17_Gia_dinh_mo_hinh'!$Q$9/12</x:f>
        <x:v>7.37397508343786</x:v>
      </x:c>
      <x:c r="M310" s="62" t="n">
        <x:f>G310-H310-I310-J310-L310</x:f>
        <x:v>-7.37397508343786</x:v>
      </x:c>
      <x:c r="N310" s="62" t="n">
        <x:f>MAX(0,M310*'17_Gia_dinh_mo_hinh'!$S$9)</x:f>
        <x:v>0</x:v>
      </x:c>
      <x:c r="O310" s="62" t="n">
        <x:f>M310-N310</x:f>
        <x:v>-7.37397508343786</x:v>
      </x:c>
      <x:c r="P310" s="62" t="n">
        <x:f>F310-K310-I310-J310-N310-L310</x:f>
        <x:v>-90.70730841677118</x:v>
      </x:c>
      <x:c r="Q310" s="62" t="n">
        <x:f>MIN(MAX(0,-(T309+P310)),MAX(0,'17_Gia_dinh_mo_hinh'!$R$9-S309))</x:f>
        <x:v>90.70730841677118</x:v>
      </x:c>
      <x:c r="R310" s="62" t="n">
        <x:f>MIN(MAX(0,T309+P310+Q310),S309+Q310)</x:f>
        <x:v>0</x:v>
      </x:c>
      <x:c r="S310" s="62" t="n">
        <x:f>S309+Q310-R310</x:f>
        <x:v>1022.1567926405008</x:v>
      </x:c>
      <x:c r="T310" s="62" t="n">
        <x:f>MAX(0,T309+P310+Q310-R310)</x:f>
        <x:v>0</x:v>
      </x:c>
      <x:c r="U310" s="62" t="n">
        <x:f>MAX(0,-(T309+P310)-MAX(0,'17_Gia_dinh_mo_hinh'!$R$9-S309))</x:f>
        <x:v>0</x:v>
      </x:c>
      <x:c r="V310" s="61" t="str">
        <x:f>IF(B310&lt;'17_Gia_dinh_mo_hinh'!$F$9+D310,"Trước mở bán",IF(B310&lt;'17_Gia_dinh_mo_hinh'!$H$9+D310,"Bán hàng/thi công",IF(G310&gt;0,"Ghi nhận/bàn giao","Hậu bàn giao")))</x:f>
        <x:v>Trước mở bán</x:v>
      </x:c>
    </x:row>
    <x:row r="311">
      <x:c r="A311" s="54" t="str">
        <x:v>DA06</x:v>
      </x:c>
      <x:c r="B311" s="54" t="n">
        <x:v>8</x:v>
      </x:c>
      <x:c r="C311" s="60" t="n">
        <x:f>EDATE('17_Gia_dinh_mo_hinh'!$C$9,B311-1)</x:f>
        <x:v>46447</x:v>
      </x:c>
      <x:c r="D311" s="61" t="n">
        <x:f>ROUNDUP('17_Gia_dinh_mo_hinh'!$E$9/30,0)</x:f>
        <x:v>9</x:v>
      </x:c>
      <x:c r="E311" s="62" t="n">
        <x:f>IF(AND(B311&gt;='17_Gia_dinh_mo_hinh'!$F$9+D311,B311&lt;'17_Gia_dinh_mo_hinh'!$F$9+D311+'17_Gia_dinh_mo_hinh'!$G$9),'17_Gia_dinh_mo_hinh'!$L$9*(1-'17_Gia_dinh_mo_hinh'!$M$9)/'17_Gia_dinh_mo_hinh'!$G$9,0)</x:f>
        <x:v>0</x:v>
      </x:c>
      <x:c r="F311" s="62" t="n">
        <x:f>0.70*E311+0.30*E310</x:f>
        <x:v>0</x:v>
      </x:c>
      <x:c r="G311" s="62" t="n">
        <x:f>IF(AND(B311&gt;='17_Gia_dinh_mo_hinh'!$H$9+D311,B311&lt;'17_Gia_dinh_mo_hinh'!$H$9+D311+'17_Gia_dinh_mo_hinh'!$I$9),'17_Gia_dinh_mo_hinh'!$L$9*(1-'17_Gia_dinh_mo_hinh'!$M$9)/'17_Gia_dinh_mo_hinh'!$I$9,0)</x:f>
        <x:v>0</x:v>
      </x:c>
      <x:c r="H311" s="62" t="n">
        <x:f>G311*(1-'17_Gia_dinh_mo_hinh'!$N$9)</x:f>
        <x:v>0</x:v>
      </x:c>
      <x:c r="I311" s="62" t="n">
        <x:f>G311*'17_Gia_dinh_mo_hinh'!$O$9</x:f>
        <x:v>0</x:v>
      </x:c>
      <x:c r="J311" s="62" t="n">
        <x:f>G311*'17_Gia_dinh_mo_hinh'!$P$9</x:f>
        <x:v>0</x:v>
      </x:c>
      <x:c r="K311" s="62" t="n">
        <x:f>IF(B311&lt;='17_Gia_dinh_mo_hinh'!$J$9,'17_Gia_dinh_mo_hinh'!$K$9*(1-MIN(0.95,'17_Gia_dinh_mo_hinh'!$M$9*0.75))/'17_Gia_dinh_mo_hinh'!$J$9,0)</x:f>
        <x:v>83.33333333333333</x:v>
      </x:c>
      <x:c r="L311" s="62" t="n">
        <x:f>S310*'17_Gia_dinh_mo_hinh'!$Q$9/12</x:f>
        <x:v>8.092074608403966</x:v>
      </x:c>
      <x:c r="M311" s="62" t="n">
        <x:f>G311-H311-I311-J311-L311</x:f>
        <x:v>-8.092074608403966</x:v>
      </x:c>
      <x:c r="N311" s="62" t="n">
        <x:f>MAX(0,M311*'17_Gia_dinh_mo_hinh'!$S$9)</x:f>
        <x:v>0</x:v>
      </x:c>
      <x:c r="O311" s="62" t="n">
        <x:f>M311-N311</x:f>
        <x:v>-8.092074608403966</x:v>
      </x:c>
      <x:c r="P311" s="62" t="n">
        <x:f>F311-K311-I311-J311-N311-L311</x:f>
        <x:v>-91.42540794173729</x:v>
      </x:c>
      <x:c r="Q311" s="62" t="n">
        <x:f>MIN(MAX(0,-(T310+P311)),MAX(0,'17_Gia_dinh_mo_hinh'!$R$9-S310))</x:f>
        <x:v>91.42540794173729</x:v>
      </x:c>
      <x:c r="R311" s="62" t="n">
        <x:f>MIN(MAX(0,T310+P311+Q311),S310+Q311)</x:f>
        <x:v>0</x:v>
      </x:c>
      <x:c r="S311" s="62" t="n">
        <x:f>S310+Q311-R311</x:f>
        <x:v>1113.582200582238</x:v>
      </x:c>
      <x:c r="T311" s="62" t="n">
        <x:f>MAX(0,T310+P311+Q311-R311)</x:f>
        <x:v>0</x:v>
      </x:c>
      <x:c r="U311" s="62" t="n">
        <x:f>MAX(0,-(T310+P311)-MAX(0,'17_Gia_dinh_mo_hinh'!$R$9-S310))</x:f>
        <x:v>0</x:v>
      </x:c>
      <x:c r="V311" s="61" t="str">
        <x:f>IF(B311&lt;'17_Gia_dinh_mo_hinh'!$F$9+D311,"Trước mở bán",IF(B311&lt;'17_Gia_dinh_mo_hinh'!$H$9+D311,"Bán hàng/thi công",IF(G311&gt;0,"Ghi nhận/bàn giao","Hậu bàn giao")))</x:f>
        <x:v>Trước mở bán</x:v>
      </x:c>
    </x:row>
    <x:row r="312">
      <x:c r="A312" s="54" t="str">
        <x:v>DA06</x:v>
      </x:c>
      <x:c r="B312" s="54" t="n">
        <x:v>9</x:v>
      </x:c>
      <x:c r="C312" s="60" t="n">
        <x:f>EDATE('17_Gia_dinh_mo_hinh'!$C$9,B312-1)</x:f>
        <x:v>46478</x:v>
      </x:c>
      <x:c r="D312" s="61" t="n">
        <x:f>ROUNDUP('17_Gia_dinh_mo_hinh'!$E$9/30,0)</x:f>
        <x:v>9</x:v>
      </x:c>
      <x:c r="E312" s="62" t="n">
        <x:f>IF(AND(B312&gt;='17_Gia_dinh_mo_hinh'!$F$9+D312,B312&lt;'17_Gia_dinh_mo_hinh'!$F$9+D312+'17_Gia_dinh_mo_hinh'!$G$9),'17_Gia_dinh_mo_hinh'!$L$9*(1-'17_Gia_dinh_mo_hinh'!$M$9)/'17_Gia_dinh_mo_hinh'!$G$9,0)</x:f>
        <x:v>0</x:v>
      </x:c>
      <x:c r="F312" s="62" t="n">
        <x:f>0.70*E312+0.30*E311</x:f>
        <x:v>0</x:v>
      </x:c>
      <x:c r="G312" s="62" t="n">
        <x:f>IF(AND(B312&gt;='17_Gia_dinh_mo_hinh'!$H$9+D312,B312&lt;'17_Gia_dinh_mo_hinh'!$H$9+D312+'17_Gia_dinh_mo_hinh'!$I$9),'17_Gia_dinh_mo_hinh'!$L$9*(1-'17_Gia_dinh_mo_hinh'!$M$9)/'17_Gia_dinh_mo_hinh'!$I$9,0)</x:f>
        <x:v>0</x:v>
      </x:c>
      <x:c r="H312" s="62" t="n">
        <x:f>G312*(1-'17_Gia_dinh_mo_hinh'!$N$9)</x:f>
        <x:v>0</x:v>
      </x:c>
      <x:c r="I312" s="62" t="n">
        <x:f>G312*'17_Gia_dinh_mo_hinh'!$O$9</x:f>
        <x:v>0</x:v>
      </x:c>
      <x:c r="J312" s="62" t="n">
        <x:f>G312*'17_Gia_dinh_mo_hinh'!$P$9</x:f>
        <x:v>0</x:v>
      </x:c>
      <x:c r="K312" s="62" t="n">
        <x:f>IF(B312&lt;='17_Gia_dinh_mo_hinh'!$J$9,'17_Gia_dinh_mo_hinh'!$K$9*(1-MIN(0.95,'17_Gia_dinh_mo_hinh'!$M$9*0.75))/'17_Gia_dinh_mo_hinh'!$J$9,0)</x:f>
        <x:v>83.33333333333333</x:v>
      </x:c>
      <x:c r="L312" s="62" t="n">
        <x:f>S311*'17_Gia_dinh_mo_hinh'!$Q$9/12</x:f>
        <x:v>8.815859087942718</x:v>
      </x:c>
      <x:c r="M312" s="62" t="n">
        <x:f>G312-H312-I312-J312-L312</x:f>
        <x:v>-8.815859087942718</x:v>
      </x:c>
      <x:c r="N312" s="62" t="n">
        <x:f>MAX(0,M312*'17_Gia_dinh_mo_hinh'!$S$9)</x:f>
        <x:v>0</x:v>
      </x:c>
      <x:c r="O312" s="62" t="n">
        <x:f>M312-N312</x:f>
        <x:v>-8.815859087942718</x:v>
      </x:c>
      <x:c r="P312" s="62" t="n">
        <x:f>F312-K312-I312-J312-N312-L312</x:f>
        <x:v>-92.14919242127604</x:v>
      </x:c>
      <x:c r="Q312" s="62" t="n">
        <x:f>MIN(MAX(0,-(T311+P312)),MAX(0,'17_Gia_dinh_mo_hinh'!$R$9-S311))</x:f>
        <x:v>92.14919242127604</x:v>
      </x:c>
      <x:c r="R312" s="62" t="n">
        <x:f>MIN(MAX(0,T311+P312+Q312),S311+Q312)</x:f>
        <x:v>0</x:v>
      </x:c>
      <x:c r="S312" s="62" t="n">
        <x:f>S311+Q312-R312</x:f>
        <x:v>1205.731393003514</x:v>
      </x:c>
      <x:c r="T312" s="62" t="n">
        <x:f>MAX(0,T311+P312+Q312-R312)</x:f>
        <x:v>0</x:v>
      </x:c>
      <x:c r="U312" s="62" t="n">
        <x:f>MAX(0,-(T311+P312)-MAX(0,'17_Gia_dinh_mo_hinh'!$R$9-S311))</x:f>
        <x:v>0</x:v>
      </x:c>
      <x:c r="V312" s="61" t="str">
        <x:f>IF(B312&lt;'17_Gia_dinh_mo_hinh'!$F$9+D312,"Trước mở bán",IF(B312&lt;'17_Gia_dinh_mo_hinh'!$H$9+D312,"Bán hàng/thi công",IF(G312&gt;0,"Ghi nhận/bàn giao","Hậu bàn giao")))</x:f>
        <x:v>Trước mở bán</x:v>
      </x:c>
    </x:row>
    <x:row r="313">
      <x:c r="A313" s="54" t="str">
        <x:v>DA06</x:v>
      </x:c>
      <x:c r="B313" s="54" t="n">
        <x:v>10</x:v>
      </x:c>
      <x:c r="C313" s="60" t="n">
        <x:f>EDATE('17_Gia_dinh_mo_hinh'!$C$9,B313-1)</x:f>
        <x:v>46508</x:v>
      </x:c>
      <x:c r="D313" s="61" t="n">
        <x:f>ROUNDUP('17_Gia_dinh_mo_hinh'!$E$9/30,0)</x:f>
        <x:v>9</x:v>
      </x:c>
      <x:c r="E313" s="62" t="n">
        <x:f>IF(AND(B313&gt;='17_Gia_dinh_mo_hinh'!$F$9+D313,B313&lt;'17_Gia_dinh_mo_hinh'!$F$9+D313+'17_Gia_dinh_mo_hinh'!$G$9),'17_Gia_dinh_mo_hinh'!$L$9*(1-'17_Gia_dinh_mo_hinh'!$M$9)/'17_Gia_dinh_mo_hinh'!$G$9,0)</x:f>
        <x:v>0</x:v>
      </x:c>
      <x:c r="F313" s="62" t="n">
        <x:f>0.70*E313+0.30*E312</x:f>
        <x:v>0</x:v>
      </x:c>
      <x:c r="G313" s="62" t="n">
        <x:f>IF(AND(B313&gt;='17_Gia_dinh_mo_hinh'!$H$9+D313,B313&lt;'17_Gia_dinh_mo_hinh'!$H$9+D313+'17_Gia_dinh_mo_hinh'!$I$9),'17_Gia_dinh_mo_hinh'!$L$9*(1-'17_Gia_dinh_mo_hinh'!$M$9)/'17_Gia_dinh_mo_hinh'!$I$9,0)</x:f>
        <x:v>0</x:v>
      </x:c>
      <x:c r="H313" s="62" t="n">
        <x:f>G313*(1-'17_Gia_dinh_mo_hinh'!$N$9)</x:f>
        <x:v>0</x:v>
      </x:c>
      <x:c r="I313" s="62" t="n">
        <x:f>G313*'17_Gia_dinh_mo_hinh'!$O$9</x:f>
        <x:v>0</x:v>
      </x:c>
      <x:c r="J313" s="62" t="n">
        <x:f>G313*'17_Gia_dinh_mo_hinh'!$P$9</x:f>
        <x:v>0</x:v>
      </x:c>
      <x:c r="K313" s="62" t="n">
        <x:f>IF(B313&lt;='17_Gia_dinh_mo_hinh'!$J$9,'17_Gia_dinh_mo_hinh'!$K$9*(1-MIN(0.95,'17_Gia_dinh_mo_hinh'!$M$9*0.75))/'17_Gia_dinh_mo_hinh'!$J$9,0)</x:f>
        <x:v>83.33333333333333</x:v>
      </x:c>
      <x:c r="L313" s="62" t="n">
        <x:f>S312*'17_Gia_dinh_mo_hinh'!$Q$9/12</x:f>
        <x:v>9.545373527944486</x:v>
      </x:c>
      <x:c r="M313" s="62" t="n">
        <x:f>G313-H313-I313-J313-L313</x:f>
        <x:v>-9.545373527944486</x:v>
      </x:c>
      <x:c r="N313" s="62" t="n">
        <x:f>MAX(0,M313*'17_Gia_dinh_mo_hinh'!$S$9)</x:f>
        <x:v>0</x:v>
      </x:c>
      <x:c r="O313" s="62" t="n">
        <x:f>M313-N313</x:f>
        <x:v>-9.545373527944486</x:v>
      </x:c>
      <x:c r="P313" s="62" t="n">
        <x:f>F313-K313-I313-J313-N313-L313</x:f>
        <x:v>-92.87870686127782</x:v>
      </x:c>
      <x:c r="Q313" s="62" t="n">
        <x:f>MIN(MAX(0,-(T312+P313)),MAX(0,'17_Gia_dinh_mo_hinh'!$R$9-S312))</x:f>
        <x:v>92.87870686127782</x:v>
      </x:c>
      <x:c r="R313" s="62" t="n">
        <x:f>MIN(MAX(0,T312+P313+Q313),S312+Q313)</x:f>
        <x:v>0</x:v>
      </x:c>
      <x:c r="S313" s="62" t="n">
        <x:f>S312+Q313-R313</x:f>
        <x:v>1298.610099864792</x:v>
      </x:c>
      <x:c r="T313" s="62" t="n">
        <x:f>MAX(0,T312+P313+Q313-R313)</x:f>
        <x:v>0</x:v>
      </x:c>
      <x:c r="U313" s="62" t="n">
        <x:f>MAX(0,-(T312+P313)-MAX(0,'17_Gia_dinh_mo_hinh'!$R$9-S312))</x:f>
        <x:v>0</x:v>
      </x:c>
      <x:c r="V313" s="61" t="str">
        <x:f>IF(B313&lt;'17_Gia_dinh_mo_hinh'!$F$9+D313,"Trước mở bán",IF(B313&lt;'17_Gia_dinh_mo_hinh'!$H$9+D313,"Bán hàng/thi công",IF(G313&gt;0,"Ghi nhận/bàn giao","Hậu bàn giao")))</x:f>
        <x:v>Trước mở bán</x:v>
      </x:c>
    </x:row>
    <x:row r="314">
      <x:c r="A314" s="54" t="str">
        <x:v>DA06</x:v>
      </x:c>
      <x:c r="B314" s="54" t="n">
        <x:v>11</x:v>
      </x:c>
      <x:c r="C314" s="60" t="n">
        <x:f>EDATE('17_Gia_dinh_mo_hinh'!$C$9,B314-1)</x:f>
        <x:v>46539</x:v>
      </x:c>
      <x:c r="D314" s="61" t="n">
        <x:f>ROUNDUP('17_Gia_dinh_mo_hinh'!$E$9/30,0)</x:f>
        <x:v>9</x:v>
      </x:c>
      <x:c r="E314" s="62" t="n">
        <x:f>IF(AND(B314&gt;='17_Gia_dinh_mo_hinh'!$F$9+D314,B314&lt;'17_Gia_dinh_mo_hinh'!$F$9+D314+'17_Gia_dinh_mo_hinh'!$G$9),'17_Gia_dinh_mo_hinh'!$L$9*(1-'17_Gia_dinh_mo_hinh'!$M$9)/'17_Gia_dinh_mo_hinh'!$G$9,0)</x:f>
        <x:v>0</x:v>
      </x:c>
      <x:c r="F314" s="62" t="n">
        <x:f>0.70*E314+0.30*E313</x:f>
        <x:v>0</x:v>
      </x:c>
      <x:c r="G314" s="62" t="n">
        <x:f>IF(AND(B314&gt;='17_Gia_dinh_mo_hinh'!$H$9+D314,B314&lt;'17_Gia_dinh_mo_hinh'!$H$9+D314+'17_Gia_dinh_mo_hinh'!$I$9),'17_Gia_dinh_mo_hinh'!$L$9*(1-'17_Gia_dinh_mo_hinh'!$M$9)/'17_Gia_dinh_mo_hinh'!$I$9,0)</x:f>
        <x:v>0</x:v>
      </x:c>
      <x:c r="H314" s="62" t="n">
        <x:f>G314*(1-'17_Gia_dinh_mo_hinh'!$N$9)</x:f>
        <x:v>0</x:v>
      </x:c>
      <x:c r="I314" s="62" t="n">
        <x:f>G314*'17_Gia_dinh_mo_hinh'!$O$9</x:f>
        <x:v>0</x:v>
      </x:c>
      <x:c r="J314" s="62" t="n">
        <x:f>G314*'17_Gia_dinh_mo_hinh'!$P$9</x:f>
        <x:v>0</x:v>
      </x:c>
      <x:c r="K314" s="62" t="n">
        <x:f>IF(B314&lt;='17_Gia_dinh_mo_hinh'!$J$9,'17_Gia_dinh_mo_hinh'!$K$9*(1-MIN(0.95,'17_Gia_dinh_mo_hinh'!$M$9*0.75))/'17_Gia_dinh_mo_hinh'!$J$9,0)</x:f>
        <x:v>83.33333333333333</x:v>
      </x:c>
      <x:c r="L314" s="62" t="n">
        <x:f>S313*'17_Gia_dinh_mo_hinh'!$Q$9/12</x:f>
        <x:v>10.28066329059627</x:v>
      </x:c>
      <x:c r="M314" s="62" t="n">
        <x:f>G314-H314-I314-J314-L314</x:f>
        <x:v>-10.28066329059627</x:v>
      </x:c>
      <x:c r="N314" s="62" t="n">
        <x:f>MAX(0,M314*'17_Gia_dinh_mo_hinh'!$S$9)</x:f>
        <x:v>0</x:v>
      </x:c>
      <x:c r="O314" s="62" t="n">
        <x:f>M314-N314</x:f>
        <x:v>-10.28066329059627</x:v>
      </x:c>
      <x:c r="P314" s="62" t="n">
        <x:f>F314-K314-I314-J314-N314-L314</x:f>
        <x:v>-93.6139966239296</x:v>
      </x:c>
      <x:c r="Q314" s="62" t="n">
        <x:f>MIN(MAX(0,-(T313+P314)),MAX(0,'17_Gia_dinh_mo_hinh'!$R$9-S313))</x:f>
        <x:v>93.6139966239296</x:v>
      </x:c>
      <x:c r="R314" s="62" t="n">
        <x:f>MIN(MAX(0,T313+P314+Q314),S313+Q314)</x:f>
        <x:v>0</x:v>
      </x:c>
      <x:c r="S314" s="62" t="n">
        <x:f>S313+Q314-R314</x:f>
        <x:v>1392.2240964887214</x:v>
      </x:c>
      <x:c r="T314" s="62" t="n">
        <x:f>MAX(0,T313+P314+Q314-R314)</x:f>
        <x:v>0</x:v>
      </x:c>
      <x:c r="U314" s="62" t="n">
        <x:f>MAX(0,-(T313+P314)-MAX(0,'17_Gia_dinh_mo_hinh'!$R$9-S313))</x:f>
        <x:v>0</x:v>
      </x:c>
      <x:c r="V314" s="61" t="str">
        <x:f>IF(B314&lt;'17_Gia_dinh_mo_hinh'!$F$9+D314,"Trước mở bán",IF(B314&lt;'17_Gia_dinh_mo_hinh'!$H$9+D314,"Bán hàng/thi công",IF(G314&gt;0,"Ghi nhận/bàn giao","Hậu bàn giao")))</x:f>
        <x:v>Trước mở bán</x:v>
      </x:c>
    </x:row>
    <x:row r="315">
      <x:c r="A315" s="54" t="str">
        <x:v>DA06</x:v>
      </x:c>
      <x:c r="B315" s="54" t="n">
        <x:v>12</x:v>
      </x:c>
      <x:c r="C315" s="60" t="n">
        <x:f>EDATE('17_Gia_dinh_mo_hinh'!$C$9,B315-1)</x:f>
        <x:v>46569</x:v>
      </x:c>
      <x:c r="D315" s="61" t="n">
        <x:f>ROUNDUP('17_Gia_dinh_mo_hinh'!$E$9/30,0)</x:f>
        <x:v>9</x:v>
      </x:c>
      <x:c r="E315" s="62" t="n">
        <x:f>IF(AND(B315&gt;='17_Gia_dinh_mo_hinh'!$F$9+D315,B315&lt;'17_Gia_dinh_mo_hinh'!$F$9+D315+'17_Gia_dinh_mo_hinh'!$G$9),'17_Gia_dinh_mo_hinh'!$L$9*(1-'17_Gia_dinh_mo_hinh'!$M$9)/'17_Gia_dinh_mo_hinh'!$G$9,0)</x:f>
        <x:v>0</x:v>
      </x:c>
      <x:c r="F315" s="62" t="n">
        <x:f>0.70*E315+0.30*E314</x:f>
        <x:v>0</x:v>
      </x:c>
      <x:c r="G315" s="62" t="n">
        <x:f>IF(AND(B315&gt;='17_Gia_dinh_mo_hinh'!$H$9+D315,B315&lt;'17_Gia_dinh_mo_hinh'!$H$9+D315+'17_Gia_dinh_mo_hinh'!$I$9),'17_Gia_dinh_mo_hinh'!$L$9*(1-'17_Gia_dinh_mo_hinh'!$M$9)/'17_Gia_dinh_mo_hinh'!$I$9,0)</x:f>
        <x:v>0</x:v>
      </x:c>
      <x:c r="H315" s="62" t="n">
        <x:f>G315*(1-'17_Gia_dinh_mo_hinh'!$N$9)</x:f>
        <x:v>0</x:v>
      </x:c>
      <x:c r="I315" s="62" t="n">
        <x:f>G315*'17_Gia_dinh_mo_hinh'!$O$9</x:f>
        <x:v>0</x:v>
      </x:c>
      <x:c r="J315" s="62" t="n">
        <x:f>G315*'17_Gia_dinh_mo_hinh'!$P$9</x:f>
        <x:v>0</x:v>
      </x:c>
      <x:c r="K315" s="62" t="n">
        <x:f>IF(B315&lt;='17_Gia_dinh_mo_hinh'!$J$9,'17_Gia_dinh_mo_hinh'!$K$9*(1-MIN(0.95,'17_Gia_dinh_mo_hinh'!$M$9*0.75))/'17_Gia_dinh_mo_hinh'!$J$9,0)</x:f>
        <x:v>83.33333333333333</x:v>
      </x:c>
      <x:c r="L315" s="62" t="n">
        <x:f>S314*'17_Gia_dinh_mo_hinh'!$Q$9/12</x:f>
        <x:v>11.021774097202377</x:v>
      </x:c>
      <x:c r="M315" s="62" t="n">
        <x:f>G315-H315-I315-J315-L315</x:f>
        <x:v>-11.021774097202377</x:v>
      </x:c>
      <x:c r="N315" s="62" t="n">
        <x:f>MAX(0,M315*'17_Gia_dinh_mo_hinh'!$S$9)</x:f>
        <x:v>0</x:v>
      </x:c>
      <x:c r="O315" s="62" t="n">
        <x:f>M315-N315</x:f>
        <x:v>-11.021774097202377</x:v>
      </x:c>
      <x:c r="P315" s="62" t="n">
        <x:f>F315-K315-I315-J315-N315-L315</x:f>
        <x:v>-94.35510743053571</x:v>
      </x:c>
      <x:c r="Q315" s="62" t="n">
        <x:f>MIN(MAX(0,-(T314+P315)),MAX(0,'17_Gia_dinh_mo_hinh'!$R$9-S314))</x:f>
        <x:v>94.35510743053571</x:v>
      </x:c>
      <x:c r="R315" s="62" t="n">
        <x:f>MIN(MAX(0,T314+P315+Q315),S314+Q315)</x:f>
        <x:v>0</x:v>
      </x:c>
      <x:c r="S315" s="62" t="n">
        <x:f>S314+Q315-R315</x:f>
        <x:v>1486.5792039192572</x:v>
      </x:c>
      <x:c r="T315" s="62" t="n">
        <x:f>MAX(0,T314+P315+Q315-R315)</x:f>
        <x:v>0</x:v>
      </x:c>
      <x:c r="U315" s="62" t="n">
        <x:f>MAX(0,-(T314+P315)-MAX(0,'17_Gia_dinh_mo_hinh'!$R$9-S314))</x:f>
        <x:v>0</x:v>
      </x:c>
      <x:c r="V315" s="61" t="str">
        <x:f>IF(B315&lt;'17_Gia_dinh_mo_hinh'!$F$9+D315,"Trước mở bán",IF(B315&lt;'17_Gia_dinh_mo_hinh'!$H$9+D315,"Bán hàng/thi công",IF(G315&gt;0,"Ghi nhận/bàn giao","Hậu bàn giao")))</x:f>
        <x:v>Trước mở bán</x:v>
      </x:c>
    </x:row>
    <x:row r="316">
      <x:c r="A316" s="54" t="str">
        <x:v>DA06</x:v>
      </x:c>
      <x:c r="B316" s="54" t="n">
        <x:v>13</x:v>
      </x:c>
      <x:c r="C316" s="60" t="n">
        <x:f>EDATE('17_Gia_dinh_mo_hinh'!$C$9,B316-1)</x:f>
        <x:v>46600</x:v>
      </x:c>
      <x:c r="D316" s="61" t="n">
        <x:f>ROUNDUP('17_Gia_dinh_mo_hinh'!$E$9/30,0)</x:f>
        <x:v>9</x:v>
      </x:c>
      <x:c r="E316" s="62" t="n">
        <x:f>IF(AND(B316&gt;='17_Gia_dinh_mo_hinh'!$F$9+D316,B316&lt;'17_Gia_dinh_mo_hinh'!$F$9+D316+'17_Gia_dinh_mo_hinh'!$G$9),'17_Gia_dinh_mo_hinh'!$L$9*(1-'17_Gia_dinh_mo_hinh'!$M$9)/'17_Gia_dinh_mo_hinh'!$G$9,0)</x:f>
        <x:v>0</x:v>
      </x:c>
      <x:c r="F316" s="62" t="n">
        <x:f>0.70*E316+0.30*E315</x:f>
        <x:v>0</x:v>
      </x:c>
      <x:c r="G316" s="62" t="n">
        <x:f>IF(AND(B316&gt;='17_Gia_dinh_mo_hinh'!$H$9+D316,B316&lt;'17_Gia_dinh_mo_hinh'!$H$9+D316+'17_Gia_dinh_mo_hinh'!$I$9),'17_Gia_dinh_mo_hinh'!$L$9*(1-'17_Gia_dinh_mo_hinh'!$M$9)/'17_Gia_dinh_mo_hinh'!$I$9,0)</x:f>
        <x:v>0</x:v>
      </x:c>
      <x:c r="H316" s="62" t="n">
        <x:f>G316*(1-'17_Gia_dinh_mo_hinh'!$N$9)</x:f>
        <x:v>0</x:v>
      </x:c>
      <x:c r="I316" s="62" t="n">
        <x:f>G316*'17_Gia_dinh_mo_hinh'!$O$9</x:f>
        <x:v>0</x:v>
      </x:c>
      <x:c r="J316" s="62" t="n">
        <x:f>G316*'17_Gia_dinh_mo_hinh'!$P$9</x:f>
        <x:v>0</x:v>
      </x:c>
      <x:c r="K316" s="62" t="n">
        <x:f>IF(B316&lt;='17_Gia_dinh_mo_hinh'!$J$9,'17_Gia_dinh_mo_hinh'!$K$9*(1-MIN(0.95,'17_Gia_dinh_mo_hinh'!$M$9*0.75))/'17_Gia_dinh_mo_hinh'!$J$9,0)</x:f>
        <x:v>83.33333333333333</x:v>
      </x:c>
      <x:c r="L316" s="62" t="n">
        <x:f>S315*'17_Gia_dinh_mo_hinh'!$Q$9/12</x:f>
        <x:v>11.768752031027454</x:v>
      </x:c>
      <x:c r="M316" s="62" t="n">
        <x:f>G316-H316-I316-J316-L316</x:f>
        <x:v>-11.768752031027454</x:v>
      </x:c>
      <x:c r="N316" s="62" t="n">
        <x:f>MAX(0,M316*'17_Gia_dinh_mo_hinh'!$S$9)</x:f>
        <x:v>0</x:v>
      </x:c>
      <x:c r="O316" s="62" t="n">
        <x:f>M316-N316</x:f>
        <x:v>-11.768752031027454</x:v>
      </x:c>
      <x:c r="P316" s="62" t="n">
        <x:f>F316-K316-I316-J316-N316-L316</x:f>
        <x:v>-95.10208536436079</x:v>
      </x:c>
      <x:c r="Q316" s="62" t="n">
        <x:f>MIN(MAX(0,-(T315+P316)),MAX(0,'17_Gia_dinh_mo_hinh'!$R$9-S315))</x:f>
        <x:v>95.10208536436079</x:v>
      </x:c>
      <x:c r="R316" s="62" t="n">
        <x:f>MIN(MAX(0,T315+P316+Q316),S315+Q316)</x:f>
        <x:v>0</x:v>
      </x:c>
      <x:c r="S316" s="62" t="n">
        <x:f>S315+Q316-R316</x:f>
        <x:v>1581.681289283618</x:v>
      </x:c>
      <x:c r="T316" s="62" t="n">
        <x:f>MAX(0,T315+P316+Q316-R316)</x:f>
        <x:v>0</x:v>
      </x:c>
      <x:c r="U316" s="62" t="n">
        <x:f>MAX(0,-(T315+P316)-MAX(0,'17_Gia_dinh_mo_hinh'!$R$9-S315))</x:f>
        <x:v>0</x:v>
      </x:c>
      <x:c r="V316" s="61" t="str">
        <x:f>IF(B316&lt;'17_Gia_dinh_mo_hinh'!$F$9+D316,"Trước mở bán",IF(B316&lt;'17_Gia_dinh_mo_hinh'!$H$9+D316,"Bán hàng/thi công",IF(G316&gt;0,"Ghi nhận/bàn giao","Hậu bàn giao")))</x:f>
        <x:v>Trước mở bán</x:v>
      </x:c>
    </x:row>
    <x:row r="317">
      <x:c r="A317" s="54" t="str">
        <x:v>DA06</x:v>
      </x:c>
      <x:c r="B317" s="54" t="n">
        <x:v>14</x:v>
      </x:c>
      <x:c r="C317" s="60" t="n">
        <x:f>EDATE('17_Gia_dinh_mo_hinh'!$C$9,B317-1)</x:f>
        <x:v>46631</x:v>
      </x:c>
      <x:c r="D317" s="61" t="n">
        <x:f>ROUNDUP('17_Gia_dinh_mo_hinh'!$E$9/30,0)</x:f>
        <x:v>9</x:v>
      </x:c>
      <x:c r="E317" s="62" t="n">
        <x:f>IF(AND(B317&gt;='17_Gia_dinh_mo_hinh'!$F$9+D317,B317&lt;'17_Gia_dinh_mo_hinh'!$F$9+D317+'17_Gia_dinh_mo_hinh'!$G$9),'17_Gia_dinh_mo_hinh'!$L$9*(1-'17_Gia_dinh_mo_hinh'!$M$9)/'17_Gia_dinh_mo_hinh'!$G$9,0)</x:f>
        <x:v>0</x:v>
      </x:c>
      <x:c r="F317" s="62" t="n">
        <x:f>0.70*E317+0.30*E316</x:f>
        <x:v>0</x:v>
      </x:c>
      <x:c r="G317" s="62" t="n">
        <x:f>IF(AND(B317&gt;='17_Gia_dinh_mo_hinh'!$H$9+D317,B317&lt;'17_Gia_dinh_mo_hinh'!$H$9+D317+'17_Gia_dinh_mo_hinh'!$I$9),'17_Gia_dinh_mo_hinh'!$L$9*(1-'17_Gia_dinh_mo_hinh'!$M$9)/'17_Gia_dinh_mo_hinh'!$I$9,0)</x:f>
        <x:v>0</x:v>
      </x:c>
      <x:c r="H317" s="62" t="n">
        <x:f>G317*(1-'17_Gia_dinh_mo_hinh'!$N$9)</x:f>
        <x:v>0</x:v>
      </x:c>
      <x:c r="I317" s="62" t="n">
        <x:f>G317*'17_Gia_dinh_mo_hinh'!$O$9</x:f>
        <x:v>0</x:v>
      </x:c>
      <x:c r="J317" s="62" t="n">
        <x:f>G317*'17_Gia_dinh_mo_hinh'!$P$9</x:f>
        <x:v>0</x:v>
      </x:c>
      <x:c r="K317" s="62" t="n">
        <x:f>IF(B317&lt;='17_Gia_dinh_mo_hinh'!$J$9,'17_Gia_dinh_mo_hinh'!$K$9*(1-MIN(0.95,'17_Gia_dinh_mo_hinh'!$M$9*0.75))/'17_Gia_dinh_mo_hinh'!$J$9,0)</x:f>
        <x:v>83.33333333333333</x:v>
      </x:c>
      <x:c r="L317" s="62" t="n">
        <x:f>S316*'17_Gia_dinh_mo_hinh'!$Q$9/12</x:f>
        <x:v>12.521643540161977</x:v>
      </x:c>
      <x:c r="M317" s="62" t="n">
        <x:f>G317-H317-I317-J317-L317</x:f>
        <x:v>-12.521643540161977</x:v>
      </x:c>
      <x:c r="N317" s="62" t="n">
        <x:f>MAX(0,M317*'17_Gia_dinh_mo_hinh'!$S$9)</x:f>
        <x:v>0</x:v>
      </x:c>
      <x:c r="O317" s="62" t="n">
        <x:f>M317-N317</x:f>
        <x:v>-12.521643540161977</x:v>
      </x:c>
      <x:c r="P317" s="62" t="n">
        <x:f>F317-K317-I317-J317-N317-L317</x:f>
        <x:v>-95.8549768734953</x:v>
      </x:c>
      <x:c r="Q317" s="62" t="n">
        <x:f>MIN(MAX(0,-(T316+P317)),MAX(0,'17_Gia_dinh_mo_hinh'!$R$9-S316))</x:f>
        <x:v>95.8549768734953</x:v>
      </x:c>
      <x:c r="R317" s="62" t="n">
        <x:f>MIN(MAX(0,T316+P317+Q317),S316+Q317)</x:f>
        <x:v>0</x:v>
      </x:c>
      <x:c r="S317" s="62" t="n">
        <x:f>S316+Q317-R317</x:f>
        <x:v>1677.5362661571135</x:v>
      </x:c>
      <x:c r="T317" s="62" t="n">
        <x:f>MAX(0,T316+P317+Q317-R317)</x:f>
        <x:v>0</x:v>
      </x:c>
      <x:c r="U317" s="62" t="n">
        <x:f>MAX(0,-(T316+P317)-MAX(0,'17_Gia_dinh_mo_hinh'!$R$9-S316))</x:f>
        <x:v>0</x:v>
      </x:c>
      <x:c r="V317" s="61" t="str">
        <x:f>IF(B317&lt;'17_Gia_dinh_mo_hinh'!$F$9+D317,"Trước mở bán",IF(B317&lt;'17_Gia_dinh_mo_hinh'!$H$9+D317,"Bán hàng/thi công",IF(G317&gt;0,"Ghi nhận/bàn giao","Hậu bàn giao")))</x:f>
        <x:v>Trước mở bán</x:v>
      </x:c>
    </x:row>
    <x:row r="318">
      <x:c r="A318" s="54" t="str">
        <x:v>DA06</x:v>
      </x:c>
      <x:c r="B318" s="54" t="n">
        <x:v>15</x:v>
      </x:c>
      <x:c r="C318" s="60" t="n">
        <x:f>EDATE('17_Gia_dinh_mo_hinh'!$C$9,B318-1)</x:f>
        <x:v>46661</x:v>
      </x:c>
      <x:c r="D318" s="61" t="n">
        <x:f>ROUNDUP('17_Gia_dinh_mo_hinh'!$E$9/30,0)</x:f>
        <x:v>9</x:v>
      </x:c>
      <x:c r="E318" s="62" t="n">
        <x:f>IF(AND(B318&gt;='17_Gia_dinh_mo_hinh'!$F$9+D318,B318&lt;'17_Gia_dinh_mo_hinh'!$F$9+D318+'17_Gia_dinh_mo_hinh'!$G$9),'17_Gia_dinh_mo_hinh'!$L$9*(1-'17_Gia_dinh_mo_hinh'!$M$9)/'17_Gia_dinh_mo_hinh'!$G$9,0)</x:f>
        <x:v>0</x:v>
      </x:c>
      <x:c r="F318" s="62" t="n">
        <x:f>0.70*E318+0.30*E317</x:f>
        <x:v>0</x:v>
      </x:c>
      <x:c r="G318" s="62" t="n">
        <x:f>IF(AND(B318&gt;='17_Gia_dinh_mo_hinh'!$H$9+D318,B318&lt;'17_Gia_dinh_mo_hinh'!$H$9+D318+'17_Gia_dinh_mo_hinh'!$I$9),'17_Gia_dinh_mo_hinh'!$L$9*(1-'17_Gia_dinh_mo_hinh'!$M$9)/'17_Gia_dinh_mo_hinh'!$I$9,0)</x:f>
        <x:v>0</x:v>
      </x:c>
      <x:c r="H318" s="62" t="n">
        <x:f>G318*(1-'17_Gia_dinh_mo_hinh'!$N$9)</x:f>
        <x:v>0</x:v>
      </x:c>
      <x:c r="I318" s="62" t="n">
        <x:f>G318*'17_Gia_dinh_mo_hinh'!$O$9</x:f>
        <x:v>0</x:v>
      </x:c>
      <x:c r="J318" s="62" t="n">
        <x:f>G318*'17_Gia_dinh_mo_hinh'!$P$9</x:f>
        <x:v>0</x:v>
      </x:c>
      <x:c r="K318" s="62" t="n">
        <x:f>IF(B318&lt;='17_Gia_dinh_mo_hinh'!$J$9,'17_Gia_dinh_mo_hinh'!$K$9*(1-MIN(0.95,'17_Gia_dinh_mo_hinh'!$M$9*0.75))/'17_Gia_dinh_mo_hinh'!$J$9,0)</x:f>
        <x:v>83.33333333333333</x:v>
      </x:c>
      <x:c r="L318" s="62" t="n">
        <x:f>S317*'17_Gia_dinh_mo_hinh'!$Q$9/12</x:f>
        <x:v>13.280495440410482</x:v>
      </x:c>
      <x:c r="M318" s="62" t="n">
        <x:f>G318-H318-I318-J318-L318</x:f>
        <x:v>-13.280495440410482</x:v>
      </x:c>
      <x:c r="N318" s="62" t="n">
        <x:f>MAX(0,M318*'17_Gia_dinh_mo_hinh'!$S$9)</x:f>
        <x:v>0</x:v>
      </x:c>
      <x:c r="O318" s="62" t="n">
        <x:f>M318-N318</x:f>
        <x:v>-13.280495440410482</x:v>
      </x:c>
      <x:c r="P318" s="62" t="n">
        <x:f>F318-K318-I318-J318-N318-L318</x:f>
        <x:v>-96.6138287737438</x:v>
      </x:c>
      <x:c r="Q318" s="62" t="n">
        <x:f>MIN(MAX(0,-(T317+P318)),MAX(0,'17_Gia_dinh_mo_hinh'!$R$9-S317))</x:f>
        <x:v>96.6138287737438</x:v>
      </x:c>
      <x:c r="R318" s="62" t="n">
        <x:f>MIN(MAX(0,T317+P318+Q318),S317+Q318)</x:f>
        <x:v>0</x:v>
      </x:c>
      <x:c r="S318" s="62" t="n">
        <x:f>S317+Q318-R318</x:f>
        <x:v>1774.1500949308572</x:v>
      </x:c>
      <x:c r="T318" s="62" t="n">
        <x:f>MAX(0,T317+P318+Q318-R318)</x:f>
        <x:v>0</x:v>
      </x:c>
      <x:c r="U318" s="62" t="n">
        <x:f>MAX(0,-(T317+P318)-MAX(0,'17_Gia_dinh_mo_hinh'!$R$9-S317))</x:f>
        <x:v>0</x:v>
      </x:c>
      <x:c r="V318" s="61" t="str">
        <x:f>IF(B318&lt;'17_Gia_dinh_mo_hinh'!$F$9+D318,"Trước mở bán",IF(B318&lt;'17_Gia_dinh_mo_hinh'!$H$9+D318,"Bán hàng/thi công",IF(G318&gt;0,"Ghi nhận/bàn giao","Hậu bàn giao")))</x:f>
        <x:v>Trước mở bán</x:v>
      </x:c>
    </x:row>
    <x:row r="319">
      <x:c r="A319" s="54" t="str">
        <x:v>DA06</x:v>
      </x:c>
      <x:c r="B319" s="54" t="n">
        <x:v>16</x:v>
      </x:c>
      <x:c r="C319" s="60" t="n">
        <x:f>EDATE('17_Gia_dinh_mo_hinh'!$C$9,B319-1)</x:f>
        <x:v>46692</x:v>
      </x:c>
      <x:c r="D319" s="61" t="n">
        <x:f>ROUNDUP('17_Gia_dinh_mo_hinh'!$E$9/30,0)</x:f>
        <x:v>9</x:v>
      </x:c>
      <x:c r="E319" s="62" t="n">
        <x:f>IF(AND(B319&gt;='17_Gia_dinh_mo_hinh'!$F$9+D319,B319&lt;'17_Gia_dinh_mo_hinh'!$F$9+D319+'17_Gia_dinh_mo_hinh'!$G$9),'17_Gia_dinh_mo_hinh'!$L$9*(1-'17_Gia_dinh_mo_hinh'!$M$9)/'17_Gia_dinh_mo_hinh'!$G$9,0)</x:f>
        <x:v>0</x:v>
      </x:c>
      <x:c r="F319" s="62" t="n">
        <x:f>0.70*E319+0.30*E318</x:f>
        <x:v>0</x:v>
      </x:c>
      <x:c r="G319" s="62" t="n">
        <x:f>IF(AND(B319&gt;='17_Gia_dinh_mo_hinh'!$H$9+D319,B319&lt;'17_Gia_dinh_mo_hinh'!$H$9+D319+'17_Gia_dinh_mo_hinh'!$I$9),'17_Gia_dinh_mo_hinh'!$L$9*(1-'17_Gia_dinh_mo_hinh'!$M$9)/'17_Gia_dinh_mo_hinh'!$I$9,0)</x:f>
        <x:v>0</x:v>
      </x:c>
      <x:c r="H319" s="62" t="n">
        <x:f>G319*(1-'17_Gia_dinh_mo_hinh'!$N$9)</x:f>
        <x:v>0</x:v>
      </x:c>
      <x:c r="I319" s="62" t="n">
        <x:f>G319*'17_Gia_dinh_mo_hinh'!$O$9</x:f>
        <x:v>0</x:v>
      </x:c>
      <x:c r="J319" s="62" t="n">
        <x:f>G319*'17_Gia_dinh_mo_hinh'!$P$9</x:f>
        <x:v>0</x:v>
      </x:c>
      <x:c r="K319" s="62" t="n">
        <x:f>IF(B319&lt;='17_Gia_dinh_mo_hinh'!$J$9,'17_Gia_dinh_mo_hinh'!$K$9*(1-MIN(0.95,'17_Gia_dinh_mo_hinh'!$M$9*0.75))/'17_Gia_dinh_mo_hinh'!$J$9,0)</x:f>
        <x:v>83.33333333333333</x:v>
      </x:c>
      <x:c r="L319" s="62" t="n">
        <x:f>S318*'17_Gia_dinh_mo_hinh'!$Q$9/12</x:f>
        <x:v>14.04535491820262</x:v>
      </x:c>
      <x:c r="M319" s="62" t="n">
        <x:f>G319-H319-I319-J319-L319</x:f>
        <x:v>-14.04535491820262</x:v>
      </x:c>
      <x:c r="N319" s="62" t="n">
        <x:f>MAX(0,M319*'17_Gia_dinh_mo_hinh'!$S$9)</x:f>
        <x:v>0</x:v>
      </x:c>
      <x:c r="O319" s="62" t="n">
        <x:f>M319-N319</x:f>
        <x:v>-14.04535491820262</x:v>
      </x:c>
      <x:c r="P319" s="62" t="n">
        <x:f>F319-K319-I319-J319-N319-L319</x:f>
        <x:v>-97.37868825153595</x:v>
      </x:c>
      <x:c r="Q319" s="62" t="n">
        <x:f>MIN(MAX(0,-(T318+P319)),MAX(0,'17_Gia_dinh_mo_hinh'!$R$9-S318))</x:f>
        <x:v>97.37868825153595</x:v>
      </x:c>
      <x:c r="R319" s="62" t="n">
        <x:f>MIN(MAX(0,T318+P319+Q319),S318+Q319)</x:f>
        <x:v>0</x:v>
      </x:c>
      <x:c r="S319" s="62" t="n">
        <x:f>S318+Q319-R319</x:f>
        <x:v>1871.5287831823932</x:v>
      </x:c>
      <x:c r="T319" s="62" t="n">
        <x:f>MAX(0,T318+P319+Q319-R319)</x:f>
        <x:v>0</x:v>
      </x:c>
      <x:c r="U319" s="62" t="n">
        <x:f>MAX(0,-(T318+P319)-MAX(0,'17_Gia_dinh_mo_hinh'!$R$9-S318))</x:f>
        <x:v>0</x:v>
      </x:c>
      <x:c r="V319" s="61" t="str">
        <x:f>IF(B319&lt;'17_Gia_dinh_mo_hinh'!$F$9+D319,"Trước mở bán",IF(B319&lt;'17_Gia_dinh_mo_hinh'!$H$9+D319,"Bán hàng/thi công",IF(G319&gt;0,"Ghi nhận/bàn giao","Hậu bàn giao")))</x:f>
        <x:v>Trước mở bán</x:v>
      </x:c>
    </x:row>
    <x:row r="320">
      <x:c r="A320" s="54" t="str">
        <x:v>DA06</x:v>
      </x:c>
      <x:c r="B320" s="54" t="n">
        <x:v>17</x:v>
      </x:c>
      <x:c r="C320" s="60" t="n">
        <x:f>EDATE('17_Gia_dinh_mo_hinh'!$C$9,B320-1)</x:f>
        <x:v>46722</x:v>
      </x:c>
      <x:c r="D320" s="61" t="n">
        <x:f>ROUNDUP('17_Gia_dinh_mo_hinh'!$E$9/30,0)</x:f>
        <x:v>9</x:v>
      </x:c>
      <x:c r="E320" s="62" t="n">
        <x:f>IF(AND(B320&gt;='17_Gia_dinh_mo_hinh'!$F$9+D320,B320&lt;'17_Gia_dinh_mo_hinh'!$F$9+D320+'17_Gia_dinh_mo_hinh'!$G$9),'17_Gia_dinh_mo_hinh'!$L$9*(1-'17_Gia_dinh_mo_hinh'!$M$9)/'17_Gia_dinh_mo_hinh'!$G$9,0)</x:f>
        <x:v>0</x:v>
      </x:c>
      <x:c r="F320" s="62" t="n">
        <x:f>0.70*E320+0.30*E319</x:f>
        <x:v>0</x:v>
      </x:c>
      <x:c r="G320" s="62" t="n">
        <x:f>IF(AND(B320&gt;='17_Gia_dinh_mo_hinh'!$H$9+D320,B320&lt;'17_Gia_dinh_mo_hinh'!$H$9+D320+'17_Gia_dinh_mo_hinh'!$I$9),'17_Gia_dinh_mo_hinh'!$L$9*(1-'17_Gia_dinh_mo_hinh'!$M$9)/'17_Gia_dinh_mo_hinh'!$I$9,0)</x:f>
        <x:v>0</x:v>
      </x:c>
      <x:c r="H320" s="62" t="n">
        <x:f>G320*(1-'17_Gia_dinh_mo_hinh'!$N$9)</x:f>
        <x:v>0</x:v>
      </x:c>
      <x:c r="I320" s="62" t="n">
        <x:f>G320*'17_Gia_dinh_mo_hinh'!$O$9</x:f>
        <x:v>0</x:v>
      </x:c>
      <x:c r="J320" s="62" t="n">
        <x:f>G320*'17_Gia_dinh_mo_hinh'!$P$9</x:f>
        <x:v>0</x:v>
      </x:c>
      <x:c r="K320" s="62" t="n">
        <x:f>IF(B320&lt;='17_Gia_dinh_mo_hinh'!$J$9,'17_Gia_dinh_mo_hinh'!$K$9*(1-MIN(0.95,'17_Gia_dinh_mo_hinh'!$M$9*0.75))/'17_Gia_dinh_mo_hinh'!$J$9,0)</x:f>
        <x:v>83.33333333333333</x:v>
      </x:c>
      <x:c r="L320" s="62" t="n">
        <x:f>S319*'17_Gia_dinh_mo_hinh'!$Q$9/12</x:f>
        <x:v>14.816269533527281</x:v>
      </x:c>
      <x:c r="M320" s="62" t="n">
        <x:f>G320-H320-I320-J320-L320</x:f>
        <x:v>-14.816269533527281</x:v>
      </x:c>
      <x:c r="N320" s="62" t="n">
        <x:f>MAX(0,M320*'17_Gia_dinh_mo_hinh'!$S$9)</x:f>
        <x:v>0</x:v>
      </x:c>
      <x:c r="O320" s="62" t="n">
        <x:f>M320-N320</x:f>
        <x:v>-14.816269533527281</x:v>
      </x:c>
      <x:c r="P320" s="62" t="n">
        <x:f>F320-K320-I320-J320-N320-L320</x:f>
        <x:v>-98.1496028668606</x:v>
      </x:c>
      <x:c r="Q320" s="62" t="n">
        <x:f>MIN(MAX(0,-(T319+P320)),MAX(0,'17_Gia_dinh_mo_hinh'!$R$9-S319))</x:f>
        <x:v>98.1496028668606</x:v>
      </x:c>
      <x:c r="R320" s="62" t="n">
        <x:f>MIN(MAX(0,T319+P320+Q320),S319+Q320)</x:f>
        <x:v>0</x:v>
      </x:c>
      <x:c r="S320" s="62" t="n">
        <x:f>S319+Q320-R320</x:f>
        <x:v>1969.6783860492537</x:v>
      </x:c>
      <x:c r="T320" s="62" t="n">
        <x:f>MAX(0,T319+P320+Q320-R320)</x:f>
        <x:v>0</x:v>
      </x:c>
      <x:c r="U320" s="62" t="n">
        <x:f>MAX(0,-(T319+P320)-MAX(0,'17_Gia_dinh_mo_hinh'!$R$9-S319))</x:f>
        <x:v>0</x:v>
      </x:c>
      <x:c r="V320" s="61" t="str">
        <x:f>IF(B320&lt;'17_Gia_dinh_mo_hinh'!$F$9+D320,"Trước mở bán",IF(B320&lt;'17_Gia_dinh_mo_hinh'!$H$9+D320,"Bán hàng/thi công",IF(G320&gt;0,"Ghi nhận/bàn giao","Hậu bàn giao")))</x:f>
        <x:v>Trước mở bán</x:v>
      </x:c>
    </x:row>
    <x:row r="321">
      <x:c r="A321" s="54" t="str">
        <x:v>DA06</x:v>
      </x:c>
      <x:c r="B321" s="54" t="n">
        <x:v>18</x:v>
      </x:c>
      <x:c r="C321" s="60" t="n">
        <x:f>EDATE('17_Gia_dinh_mo_hinh'!$C$9,B321-1)</x:f>
        <x:v>46753</x:v>
      </x:c>
      <x:c r="D321" s="61" t="n">
        <x:f>ROUNDUP('17_Gia_dinh_mo_hinh'!$E$9/30,0)</x:f>
        <x:v>9</x:v>
      </x:c>
      <x:c r="E321" s="62" t="n">
        <x:f>IF(AND(B321&gt;='17_Gia_dinh_mo_hinh'!$F$9+D321,B321&lt;'17_Gia_dinh_mo_hinh'!$F$9+D321+'17_Gia_dinh_mo_hinh'!$G$9),'17_Gia_dinh_mo_hinh'!$L$9*(1-'17_Gia_dinh_mo_hinh'!$M$9)/'17_Gia_dinh_mo_hinh'!$G$9,0)</x:f>
        <x:v>0</x:v>
      </x:c>
      <x:c r="F321" s="62" t="n">
        <x:f>0.70*E321+0.30*E320</x:f>
        <x:v>0</x:v>
      </x:c>
      <x:c r="G321" s="62" t="n">
        <x:f>IF(AND(B321&gt;='17_Gia_dinh_mo_hinh'!$H$9+D321,B321&lt;'17_Gia_dinh_mo_hinh'!$H$9+D321+'17_Gia_dinh_mo_hinh'!$I$9),'17_Gia_dinh_mo_hinh'!$L$9*(1-'17_Gia_dinh_mo_hinh'!$M$9)/'17_Gia_dinh_mo_hinh'!$I$9,0)</x:f>
        <x:v>0</x:v>
      </x:c>
      <x:c r="H321" s="62" t="n">
        <x:f>G321*(1-'17_Gia_dinh_mo_hinh'!$N$9)</x:f>
        <x:v>0</x:v>
      </x:c>
      <x:c r="I321" s="62" t="n">
        <x:f>G321*'17_Gia_dinh_mo_hinh'!$O$9</x:f>
        <x:v>0</x:v>
      </x:c>
      <x:c r="J321" s="62" t="n">
        <x:f>G321*'17_Gia_dinh_mo_hinh'!$P$9</x:f>
        <x:v>0</x:v>
      </x:c>
      <x:c r="K321" s="62" t="n">
        <x:f>IF(B321&lt;='17_Gia_dinh_mo_hinh'!$J$9,'17_Gia_dinh_mo_hinh'!$K$9*(1-MIN(0.95,'17_Gia_dinh_mo_hinh'!$M$9*0.75))/'17_Gia_dinh_mo_hinh'!$J$9,0)</x:f>
        <x:v>83.33333333333333</x:v>
      </x:c>
      <x:c r="L321" s="62" t="n">
        <x:f>S320*'17_Gia_dinh_mo_hinh'!$Q$9/12</x:f>
        <x:v>15.593287222889925</x:v>
      </x:c>
      <x:c r="M321" s="62" t="n">
        <x:f>G321-H321-I321-J321-L321</x:f>
        <x:v>-15.593287222889925</x:v>
      </x:c>
      <x:c r="N321" s="62" t="n">
        <x:f>MAX(0,M321*'17_Gia_dinh_mo_hinh'!$S$9)</x:f>
        <x:v>0</x:v>
      </x:c>
      <x:c r="O321" s="62" t="n">
        <x:f>M321-N321</x:f>
        <x:v>-15.593287222889925</x:v>
      </x:c>
      <x:c r="P321" s="62" t="n">
        <x:f>F321-K321-I321-J321-N321-L321</x:f>
        <x:v>-98.92662055622326</x:v>
      </x:c>
      <x:c r="Q321" s="62" t="n">
        <x:f>MIN(MAX(0,-(T320+P321)),MAX(0,'17_Gia_dinh_mo_hinh'!$R$9-S320))</x:f>
        <x:v>55.32161395074627</x:v>
      </x:c>
      <x:c r="R321" s="62" t="n">
        <x:f>MIN(MAX(0,T320+P321+Q321),S320+Q321)</x:f>
        <x:v>0</x:v>
      </x:c>
      <x:c r="S321" s="62" t="n">
        <x:f>S320+Q321-R321</x:f>
        <x:v>2025</x:v>
      </x:c>
      <x:c r="T321" s="62" t="n">
        <x:f>MAX(0,T320+P321+Q321-R321)</x:f>
        <x:v>0</x:v>
      </x:c>
      <x:c r="U321" s="62" t="n">
        <x:f>MAX(0,-(T320+P321)-MAX(0,'17_Gia_dinh_mo_hinh'!$R$9-S320))</x:f>
        <x:v>43.60500660547699</x:v>
      </x:c>
      <x:c r="V321" s="61" t="str">
        <x:f>IF(B321&lt;'17_Gia_dinh_mo_hinh'!$F$9+D321,"Trước mở bán",IF(B321&lt;'17_Gia_dinh_mo_hinh'!$H$9+D321,"Bán hàng/thi công",IF(G321&gt;0,"Ghi nhận/bàn giao","Hậu bàn giao")))</x:f>
        <x:v>Trước mở bán</x:v>
      </x:c>
    </x:row>
    <x:row r="322">
      <x:c r="A322" s="54" t="str">
        <x:v>DA06</x:v>
      </x:c>
      <x:c r="B322" s="54" t="n">
        <x:v>19</x:v>
      </x:c>
      <x:c r="C322" s="60" t="n">
        <x:f>EDATE('17_Gia_dinh_mo_hinh'!$C$9,B322-1)</x:f>
        <x:v>46784</x:v>
      </x:c>
      <x:c r="D322" s="61" t="n">
        <x:f>ROUNDUP('17_Gia_dinh_mo_hinh'!$E$9/30,0)</x:f>
        <x:v>9</x:v>
      </x:c>
      <x:c r="E322" s="62" t="n">
        <x:f>IF(AND(B322&gt;='17_Gia_dinh_mo_hinh'!$F$9+D322,B322&lt;'17_Gia_dinh_mo_hinh'!$F$9+D322+'17_Gia_dinh_mo_hinh'!$G$9),'17_Gia_dinh_mo_hinh'!$L$9*(1-'17_Gia_dinh_mo_hinh'!$M$9)/'17_Gia_dinh_mo_hinh'!$G$9,0)</x:f>
        <x:v>0</x:v>
      </x:c>
      <x:c r="F322" s="62" t="n">
        <x:f>0.70*E322+0.30*E321</x:f>
        <x:v>0</x:v>
      </x:c>
      <x:c r="G322" s="62" t="n">
        <x:f>IF(AND(B322&gt;='17_Gia_dinh_mo_hinh'!$H$9+D322,B322&lt;'17_Gia_dinh_mo_hinh'!$H$9+D322+'17_Gia_dinh_mo_hinh'!$I$9),'17_Gia_dinh_mo_hinh'!$L$9*(1-'17_Gia_dinh_mo_hinh'!$M$9)/'17_Gia_dinh_mo_hinh'!$I$9,0)</x:f>
        <x:v>0</x:v>
      </x:c>
      <x:c r="H322" s="62" t="n">
        <x:f>G322*(1-'17_Gia_dinh_mo_hinh'!$N$9)</x:f>
        <x:v>0</x:v>
      </x:c>
      <x:c r="I322" s="62" t="n">
        <x:f>G322*'17_Gia_dinh_mo_hinh'!$O$9</x:f>
        <x:v>0</x:v>
      </x:c>
      <x:c r="J322" s="62" t="n">
        <x:f>G322*'17_Gia_dinh_mo_hinh'!$P$9</x:f>
        <x:v>0</x:v>
      </x:c>
      <x:c r="K322" s="62" t="n">
        <x:f>IF(B322&lt;='17_Gia_dinh_mo_hinh'!$J$9,'17_Gia_dinh_mo_hinh'!$K$9*(1-MIN(0.95,'17_Gia_dinh_mo_hinh'!$M$9*0.75))/'17_Gia_dinh_mo_hinh'!$J$9,0)</x:f>
        <x:v>83.33333333333333</x:v>
      </x:c>
      <x:c r="L322" s="62" t="n">
        <x:f>S321*'17_Gia_dinh_mo_hinh'!$Q$9/12</x:f>
        <x:v>16.03125</x:v>
      </x:c>
      <x:c r="M322" s="62" t="n">
        <x:f>G322-H322-I322-J322-L322</x:f>
        <x:v>-16.03125</x:v>
      </x:c>
      <x:c r="N322" s="62" t="n">
        <x:f>MAX(0,M322*'17_Gia_dinh_mo_hinh'!$S$9)</x:f>
        <x:v>0</x:v>
      </x:c>
      <x:c r="O322" s="62" t="n">
        <x:f>M322-N322</x:f>
        <x:v>-16.03125</x:v>
      </x:c>
      <x:c r="P322" s="62" t="n">
        <x:f>F322-K322-I322-J322-N322-L322</x:f>
        <x:v>-99.36458333333333</x:v>
      </x:c>
      <x:c r="Q322" s="62" t="n">
        <x:f>MIN(MAX(0,-(T321+P322)),MAX(0,'17_Gia_dinh_mo_hinh'!$R$9-S321))</x:f>
        <x:v>0</x:v>
      </x:c>
      <x:c r="R322" s="62" t="n">
        <x:f>MIN(MAX(0,T321+P322+Q322),S321+Q322)</x:f>
        <x:v>0</x:v>
      </x:c>
      <x:c r="S322" s="62" t="n">
        <x:f>S321+Q322-R322</x:f>
        <x:v>2025</x:v>
      </x:c>
      <x:c r="T322" s="62" t="n">
        <x:f>MAX(0,T321+P322+Q322-R322)</x:f>
        <x:v>0</x:v>
      </x:c>
      <x:c r="U322" s="62" t="n">
        <x:f>MAX(0,-(T321+P322)-MAX(0,'17_Gia_dinh_mo_hinh'!$R$9-S321))</x:f>
        <x:v>99.36458333333333</x:v>
      </x:c>
      <x:c r="V322" s="61" t="str">
        <x:f>IF(B322&lt;'17_Gia_dinh_mo_hinh'!$F$9+D322,"Trước mở bán",IF(B322&lt;'17_Gia_dinh_mo_hinh'!$H$9+D322,"Bán hàng/thi công",IF(G322&gt;0,"Ghi nhận/bàn giao","Hậu bàn giao")))</x:f>
        <x:v>Trước mở bán</x:v>
      </x:c>
    </x:row>
    <x:row r="323">
      <x:c r="A323" s="54" t="str">
        <x:v>DA06</x:v>
      </x:c>
      <x:c r="B323" s="54" t="n">
        <x:v>20</x:v>
      </x:c>
      <x:c r="C323" s="60" t="n">
        <x:f>EDATE('17_Gia_dinh_mo_hinh'!$C$9,B323-1)</x:f>
        <x:v>46813</x:v>
      </x:c>
      <x:c r="D323" s="61" t="n">
        <x:f>ROUNDUP('17_Gia_dinh_mo_hinh'!$E$9/30,0)</x:f>
        <x:v>9</x:v>
      </x:c>
      <x:c r="E323" s="62" t="n">
        <x:f>IF(AND(B323&gt;='17_Gia_dinh_mo_hinh'!$F$9+D323,B323&lt;'17_Gia_dinh_mo_hinh'!$F$9+D323+'17_Gia_dinh_mo_hinh'!$G$9),'17_Gia_dinh_mo_hinh'!$L$9*(1-'17_Gia_dinh_mo_hinh'!$M$9)/'17_Gia_dinh_mo_hinh'!$G$9,0)</x:f>
        <x:v>0</x:v>
      </x:c>
      <x:c r="F323" s="62" t="n">
        <x:f>0.70*E323+0.30*E322</x:f>
        <x:v>0</x:v>
      </x:c>
      <x:c r="G323" s="62" t="n">
        <x:f>IF(AND(B323&gt;='17_Gia_dinh_mo_hinh'!$H$9+D323,B323&lt;'17_Gia_dinh_mo_hinh'!$H$9+D323+'17_Gia_dinh_mo_hinh'!$I$9),'17_Gia_dinh_mo_hinh'!$L$9*(1-'17_Gia_dinh_mo_hinh'!$M$9)/'17_Gia_dinh_mo_hinh'!$I$9,0)</x:f>
        <x:v>0</x:v>
      </x:c>
      <x:c r="H323" s="62" t="n">
        <x:f>G323*(1-'17_Gia_dinh_mo_hinh'!$N$9)</x:f>
        <x:v>0</x:v>
      </x:c>
      <x:c r="I323" s="62" t="n">
        <x:f>G323*'17_Gia_dinh_mo_hinh'!$O$9</x:f>
        <x:v>0</x:v>
      </x:c>
      <x:c r="J323" s="62" t="n">
        <x:f>G323*'17_Gia_dinh_mo_hinh'!$P$9</x:f>
        <x:v>0</x:v>
      </x:c>
      <x:c r="K323" s="62" t="n">
        <x:f>IF(B323&lt;='17_Gia_dinh_mo_hinh'!$J$9,'17_Gia_dinh_mo_hinh'!$K$9*(1-MIN(0.95,'17_Gia_dinh_mo_hinh'!$M$9*0.75))/'17_Gia_dinh_mo_hinh'!$J$9,0)</x:f>
        <x:v>83.33333333333333</x:v>
      </x:c>
      <x:c r="L323" s="62" t="n">
        <x:f>S322*'17_Gia_dinh_mo_hinh'!$Q$9/12</x:f>
        <x:v>16.03125</x:v>
      </x:c>
      <x:c r="M323" s="62" t="n">
        <x:f>G323-H323-I323-J323-L323</x:f>
        <x:v>-16.03125</x:v>
      </x:c>
      <x:c r="N323" s="62" t="n">
        <x:f>MAX(0,M323*'17_Gia_dinh_mo_hinh'!$S$9)</x:f>
        <x:v>0</x:v>
      </x:c>
      <x:c r="O323" s="62" t="n">
        <x:f>M323-N323</x:f>
        <x:v>-16.03125</x:v>
      </x:c>
      <x:c r="P323" s="62" t="n">
        <x:f>F323-K323-I323-J323-N323-L323</x:f>
        <x:v>-99.36458333333333</x:v>
      </x:c>
      <x:c r="Q323" s="62" t="n">
        <x:f>MIN(MAX(0,-(T322+P323)),MAX(0,'17_Gia_dinh_mo_hinh'!$R$9-S322))</x:f>
        <x:v>0</x:v>
      </x:c>
      <x:c r="R323" s="62" t="n">
        <x:f>MIN(MAX(0,T322+P323+Q323),S322+Q323)</x:f>
        <x:v>0</x:v>
      </x:c>
      <x:c r="S323" s="62" t="n">
        <x:f>S322+Q323-R323</x:f>
        <x:v>2025</x:v>
      </x:c>
      <x:c r="T323" s="62" t="n">
        <x:f>MAX(0,T322+P323+Q323-R323)</x:f>
        <x:v>0</x:v>
      </x:c>
      <x:c r="U323" s="62" t="n">
        <x:f>MAX(0,-(T322+P323)-MAX(0,'17_Gia_dinh_mo_hinh'!$R$9-S322))</x:f>
        <x:v>99.36458333333333</x:v>
      </x:c>
      <x:c r="V323" s="61" t="str">
        <x:f>IF(B323&lt;'17_Gia_dinh_mo_hinh'!$F$9+D323,"Trước mở bán",IF(B323&lt;'17_Gia_dinh_mo_hinh'!$H$9+D323,"Bán hàng/thi công",IF(G323&gt;0,"Ghi nhận/bàn giao","Hậu bàn giao")))</x:f>
        <x:v>Trước mở bán</x:v>
      </x:c>
    </x:row>
    <x:row r="324">
      <x:c r="A324" s="54" t="str">
        <x:v>DA06</x:v>
      </x:c>
      <x:c r="B324" s="54" t="n">
        <x:v>21</x:v>
      </x:c>
      <x:c r="C324" s="60" t="n">
        <x:f>EDATE('17_Gia_dinh_mo_hinh'!$C$9,B324-1)</x:f>
        <x:v>46844</x:v>
      </x:c>
      <x:c r="D324" s="61" t="n">
        <x:f>ROUNDUP('17_Gia_dinh_mo_hinh'!$E$9/30,0)</x:f>
        <x:v>9</x:v>
      </x:c>
      <x:c r="E324" s="62" t="n">
        <x:f>IF(AND(B324&gt;='17_Gia_dinh_mo_hinh'!$F$9+D324,B324&lt;'17_Gia_dinh_mo_hinh'!$F$9+D324+'17_Gia_dinh_mo_hinh'!$G$9),'17_Gia_dinh_mo_hinh'!$L$9*(1-'17_Gia_dinh_mo_hinh'!$M$9)/'17_Gia_dinh_mo_hinh'!$G$9,0)</x:f>
        <x:v>0</x:v>
      </x:c>
      <x:c r="F324" s="62" t="n">
        <x:f>0.70*E324+0.30*E323</x:f>
        <x:v>0</x:v>
      </x:c>
      <x:c r="G324" s="62" t="n">
        <x:f>IF(AND(B324&gt;='17_Gia_dinh_mo_hinh'!$H$9+D324,B324&lt;'17_Gia_dinh_mo_hinh'!$H$9+D324+'17_Gia_dinh_mo_hinh'!$I$9),'17_Gia_dinh_mo_hinh'!$L$9*(1-'17_Gia_dinh_mo_hinh'!$M$9)/'17_Gia_dinh_mo_hinh'!$I$9,0)</x:f>
        <x:v>0</x:v>
      </x:c>
      <x:c r="H324" s="62" t="n">
        <x:f>G324*(1-'17_Gia_dinh_mo_hinh'!$N$9)</x:f>
        <x:v>0</x:v>
      </x:c>
      <x:c r="I324" s="62" t="n">
        <x:f>G324*'17_Gia_dinh_mo_hinh'!$O$9</x:f>
        <x:v>0</x:v>
      </x:c>
      <x:c r="J324" s="62" t="n">
        <x:f>G324*'17_Gia_dinh_mo_hinh'!$P$9</x:f>
        <x:v>0</x:v>
      </x:c>
      <x:c r="K324" s="62" t="n">
        <x:f>IF(B324&lt;='17_Gia_dinh_mo_hinh'!$J$9,'17_Gia_dinh_mo_hinh'!$K$9*(1-MIN(0.95,'17_Gia_dinh_mo_hinh'!$M$9*0.75))/'17_Gia_dinh_mo_hinh'!$J$9,0)</x:f>
        <x:v>83.33333333333333</x:v>
      </x:c>
      <x:c r="L324" s="62" t="n">
        <x:f>S323*'17_Gia_dinh_mo_hinh'!$Q$9/12</x:f>
        <x:v>16.03125</x:v>
      </x:c>
      <x:c r="M324" s="62" t="n">
        <x:f>G324-H324-I324-J324-L324</x:f>
        <x:v>-16.03125</x:v>
      </x:c>
      <x:c r="N324" s="62" t="n">
        <x:f>MAX(0,M324*'17_Gia_dinh_mo_hinh'!$S$9)</x:f>
        <x:v>0</x:v>
      </x:c>
      <x:c r="O324" s="62" t="n">
        <x:f>M324-N324</x:f>
        <x:v>-16.03125</x:v>
      </x:c>
      <x:c r="P324" s="62" t="n">
        <x:f>F324-K324-I324-J324-N324-L324</x:f>
        <x:v>-99.36458333333333</x:v>
      </x:c>
      <x:c r="Q324" s="62" t="n">
        <x:f>MIN(MAX(0,-(T323+P324)),MAX(0,'17_Gia_dinh_mo_hinh'!$R$9-S323))</x:f>
        <x:v>0</x:v>
      </x:c>
      <x:c r="R324" s="62" t="n">
        <x:f>MIN(MAX(0,T323+P324+Q324),S323+Q324)</x:f>
        <x:v>0</x:v>
      </x:c>
      <x:c r="S324" s="62" t="n">
        <x:f>S323+Q324-R324</x:f>
        <x:v>2025</x:v>
      </x:c>
      <x:c r="T324" s="62" t="n">
        <x:f>MAX(0,T323+P324+Q324-R324)</x:f>
        <x:v>0</x:v>
      </x:c>
      <x:c r="U324" s="62" t="n">
        <x:f>MAX(0,-(T323+P324)-MAX(0,'17_Gia_dinh_mo_hinh'!$R$9-S323))</x:f>
        <x:v>99.36458333333333</x:v>
      </x:c>
      <x:c r="V324" s="61" t="str">
        <x:f>IF(B324&lt;'17_Gia_dinh_mo_hinh'!$F$9+D324,"Trước mở bán",IF(B324&lt;'17_Gia_dinh_mo_hinh'!$H$9+D324,"Bán hàng/thi công",IF(G324&gt;0,"Ghi nhận/bàn giao","Hậu bàn giao")))</x:f>
        <x:v>Trước mở bán</x:v>
      </x:c>
    </x:row>
    <x:row r="325">
      <x:c r="A325" s="54" t="str">
        <x:v>DA06</x:v>
      </x:c>
      <x:c r="B325" s="54" t="n">
        <x:v>22</x:v>
      </x:c>
      <x:c r="C325" s="60" t="n">
        <x:f>EDATE('17_Gia_dinh_mo_hinh'!$C$9,B325-1)</x:f>
        <x:v>46874</x:v>
      </x:c>
      <x:c r="D325" s="61" t="n">
        <x:f>ROUNDUP('17_Gia_dinh_mo_hinh'!$E$9/30,0)</x:f>
        <x:v>9</x:v>
      </x:c>
      <x:c r="E325" s="62" t="n">
        <x:f>IF(AND(B325&gt;='17_Gia_dinh_mo_hinh'!$F$9+D325,B325&lt;'17_Gia_dinh_mo_hinh'!$F$9+D325+'17_Gia_dinh_mo_hinh'!$G$9),'17_Gia_dinh_mo_hinh'!$L$9*(1-'17_Gia_dinh_mo_hinh'!$M$9)/'17_Gia_dinh_mo_hinh'!$G$9,0)</x:f>
        <x:v>0</x:v>
      </x:c>
      <x:c r="F325" s="62" t="n">
        <x:f>0.70*E325+0.30*E324</x:f>
        <x:v>0</x:v>
      </x:c>
      <x:c r="G325" s="62" t="n">
        <x:f>IF(AND(B325&gt;='17_Gia_dinh_mo_hinh'!$H$9+D325,B325&lt;'17_Gia_dinh_mo_hinh'!$H$9+D325+'17_Gia_dinh_mo_hinh'!$I$9),'17_Gia_dinh_mo_hinh'!$L$9*(1-'17_Gia_dinh_mo_hinh'!$M$9)/'17_Gia_dinh_mo_hinh'!$I$9,0)</x:f>
        <x:v>0</x:v>
      </x:c>
      <x:c r="H325" s="62" t="n">
        <x:f>G325*(1-'17_Gia_dinh_mo_hinh'!$N$9)</x:f>
        <x:v>0</x:v>
      </x:c>
      <x:c r="I325" s="62" t="n">
        <x:f>G325*'17_Gia_dinh_mo_hinh'!$O$9</x:f>
        <x:v>0</x:v>
      </x:c>
      <x:c r="J325" s="62" t="n">
        <x:f>G325*'17_Gia_dinh_mo_hinh'!$P$9</x:f>
        <x:v>0</x:v>
      </x:c>
      <x:c r="K325" s="62" t="n">
        <x:f>IF(B325&lt;='17_Gia_dinh_mo_hinh'!$J$9,'17_Gia_dinh_mo_hinh'!$K$9*(1-MIN(0.95,'17_Gia_dinh_mo_hinh'!$M$9*0.75))/'17_Gia_dinh_mo_hinh'!$J$9,0)</x:f>
        <x:v>83.33333333333333</x:v>
      </x:c>
      <x:c r="L325" s="62" t="n">
        <x:f>S324*'17_Gia_dinh_mo_hinh'!$Q$9/12</x:f>
        <x:v>16.03125</x:v>
      </x:c>
      <x:c r="M325" s="62" t="n">
        <x:f>G325-H325-I325-J325-L325</x:f>
        <x:v>-16.03125</x:v>
      </x:c>
      <x:c r="N325" s="62" t="n">
        <x:f>MAX(0,M325*'17_Gia_dinh_mo_hinh'!$S$9)</x:f>
        <x:v>0</x:v>
      </x:c>
      <x:c r="O325" s="62" t="n">
        <x:f>M325-N325</x:f>
        <x:v>-16.03125</x:v>
      </x:c>
      <x:c r="P325" s="62" t="n">
        <x:f>F325-K325-I325-J325-N325-L325</x:f>
        <x:v>-99.36458333333333</x:v>
      </x:c>
      <x:c r="Q325" s="62" t="n">
        <x:f>MIN(MAX(0,-(T324+P325)),MAX(0,'17_Gia_dinh_mo_hinh'!$R$9-S324))</x:f>
        <x:v>0</x:v>
      </x:c>
      <x:c r="R325" s="62" t="n">
        <x:f>MIN(MAX(0,T324+P325+Q325),S324+Q325)</x:f>
        <x:v>0</x:v>
      </x:c>
      <x:c r="S325" s="62" t="n">
        <x:f>S324+Q325-R325</x:f>
        <x:v>2025</x:v>
      </x:c>
      <x:c r="T325" s="62" t="n">
        <x:f>MAX(0,T324+P325+Q325-R325)</x:f>
        <x:v>0</x:v>
      </x:c>
      <x:c r="U325" s="62" t="n">
        <x:f>MAX(0,-(T324+P325)-MAX(0,'17_Gia_dinh_mo_hinh'!$R$9-S324))</x:f>
        <x:v>99.36458333333333</x:v>
      </x:c>
      <x:c r="V325" s="61" t="str">
        <x:f>IF(B325&lt;'17_Gia_dinh_mo_hinh'!$F$9+D325,"Trước mở bán",IF(B325&lt;'17_Gia_dinh_mo_hinh'!$H$9+D325,"Bán hàng/thi công",IF(G325&gt;0,"Ghi nhận/bàn giao","Hậu bàn giao")))</x:f>
        <x:v>Trước mở bán</x:v>
      </x:c>
    </x:row>
    <x:row r="326">
      <x:c r="A326" s="54" t="str">
        <x:v>DA06</x:v>
      </x:c>
      <x:c r="B326" s="54" t="n">
        <x:v>23</x:v>
      </x:c>
      <x:c r="C326" s="60" t="n">
        <x:f>EDATE('17_Gia_dinh_mo_hinh'!$C$9,B326-1)</x:f>
        <x:v>46905</x:v>
      </x:c>
      <x:c r="D326" s="61" t="n">
        <x:f>ROUNDUP('17_Gia_dinh_mo_hinh'!$E$9/30,0)</x:f>
        <x:v>9</x:v>
      </x:c>
      <x:c r="E326" s="62" t="n">
        <x:f>IF(AND(B326&gt;='17_Gia_dinh_mo_hinh'!$F$9+D326,B326&lt;'17_Gia_dinh_mo_hinh'!$F$9+D326+'17_Gia_dinh_mo_hinh'!$G$9),'17_Gia_dinh_mo_hinh'!$L$9*(1-'17_Gia_dinh_mo_hinh'!$M$9)/'17_Gia_dinh_mo_hinh'!$G$9,0)</x:f>
        <x:v>0</x:v>
      </x:c>
      <x:c r="F326" s="62" t="n">
        <x:f>0.70*E326+0.30*E325</x:f>
        <x:v>0</x:v>
      </x:c>
      <x:c r="G326" s="62" t="n">
        <x:f>IF(AND(B326&gt;='17_Gia_dinh_mo_hinh'!$H$9+D326,B326&lt;'17_Gia_dinh_mo_hinh'!$H$9+D326+'17_Gia_dinh_mo_hinh'!$I$9),'17_Gia_dinh_mo_hinh'!$L$9*(1-'17_Gia_dinh_mo_hinh'!$M$9)/'17_Gia_dinh_mo_hinh'!$I$9,0)</x:f>
        <x:v>0</x:v>
      </x:c>
      <x:c r="H326" s="62" t="n">
        <x:f>G326*(1-'17_Gia_dinh_mo_hinh'!$N$9)</x:f>
        <x:v>0</x:v>
      </x:c>
      <x:c r="I326" s="62" t="n">
        <x:f>G326*'17_Gia_dinh_mo_hinh'!$O$9</x:f>
        <x:v>0</x:v>
      </x:c>
      <x:c r="J326" s="62" t="n">
        <x:f>G326*'17_Gia_dinh_mo_hinh'!$P$9</x:f>
        <x:v>0</x:v>
      </x:c>
      <x:c r="K326" s="62" t="n">
        <x:f>IF(B326&lt;='17_Gia_dinh_mo_hinh'!$J$9,'17_Gia_dinh_mo_hinh'!$K$9*(1-MIN(0.95,'17_Gia_dinh_mo_hinh'!$M$9*0.75))/'17_Gia_dinh_mo_hinh'!$J$9,0)</x:f>
        <x:v>83.33333333333333</x:v>
      </x:c>
      <x:c r="L326" s="62" t="n">
        <x:f>S325*'17_Gia_dinh_mo_hinh'!$Q$9/12</x:f>
        <x:v>16.03125</x:v>
      </x:c>
      <x:c r="M326" s="62" t="n">
        <x:f>G326-H326-I326-J326-L326</x:f>
        <x:v>-16.03125</x:v>
      </x:c>
      <x:c r="N326" s="62" t="n">
        <x:f>MAX(0,M326*'17_Gia_dinh_mo_hinh'!$S$9)</x:f>
        <x:v>0</x:v>
      </x:c>
      <x:c r="O326" s="62" t="n">
        <x:f>M326-N326</x:f>
        <x:v>-16.03125</x:v>
      </x:c>
      <x:c r="P326" s="62" t="n">
        <x:f>F326-K326-I326-J326-N326-L326</x:f>
        <x:v>-99.36458333333333</x:v>
      </x:c>
      <x:c r="Q326" s="62" t="n">
        <x:f>MIN(MAX(0,-(T325+P326)),MAX(0,'17_Gia_dinh_mo_hinh'!$R$9-S325))</x:f>
        <x:v>0</x:v>
      </x:c>
      <x:c r="R326" s="62" t="n">
        <x:f>MIN(MAX(0,T325+P326+Q326),S325+Q326)</x:f>
        <x:v>0</x:v>
      </x:c>
      <x:c r="S326" s="62" t="n">
        <x:f>S325+Q326-R326</x:f>
        <x:v>2025</x:v>
      </x:c>
      <x:c r="T326" s="62" t="n">
        <x:f>MAX(0,T325+P326+Q326-R326)</x:f>
        <x:v>0</x:v>
      </x:c>
      <x:c r="U326" s="62" t="n">
        <x:f>MAX(0,-(T325+P326)-MAX(0,'17_Gia_dinh_mo_hinh'!$R$9-S325))</x:f>
        <x:v>99.36458333333333</x:v>
      </x:c>
      <x:c r="V326" s="61" t="str">
        <x:f>IF(B326&lt;'17_Gia_dinh_mo_hinh'!$F$9+D326,"Trước mở bán",IF(B326&lt;'17_Gia_dinh_mo_hinh'!$H$9+D326,"Bán hàng/thi công",IF(G326&gt;0,"Ghi nhận/bàn giao","Hậu bàn giao")))</x:f>
        <x:v>Trước mở bán</x:v>
      </x:c>
    </x:row>
    <x:row r="327">
      <x:c r="A327" s="54" t="str">
        <x:v>DA06</x:v>
      </x:c>
      <x:c r="B327" s="54" t="n">
        <x:v>24</x:v>
      </x:c>
      <x:c r="C327" s="60" t="n">
        <x:f>EDATE('17_Gia_dinh_mo_hinh'!$C$9,B327-1)</x:f>
        <x:v>46935</x:v>
      </x:c>
      <x:c r="D327" s="61" t="n">
        <x:f>ROUNDUP('17_Gia_dinh_mo_hinh'!$E$9/30,0)</x:f>
        <x:v>9</x:v>
      </x:c>
      <x:c r="E327" s="62" t="n">
        <x:f>IF(AND(B327&gt;='17_Gia_dinh_mo_hinh'!$F$9+D327,B327&lt;'17_Gia_dinh_mo_hinh'!$F$9+D327+'17_Gia_dinh_mo_hinh'!$G$9),'17_Gia_dinh_mo_hinh'!$L$9*(1-'17_Gia_dinh_mo_hinh'!$M$9)/'17_Gia_dinh_mo_hinh'!$G$9,0)</x:f>
        <x:v>0</x:v>
      </x:c>
      <x:c r="F327" s="62" t="n">
        <x:f>0.70*E327+0.30*E326</x:f>
        <x:v>0</x:v>
      </x:c>
      <x:c r="G327" s="62" t="n">
        <x:f>IF(AND(B327&gt;='17_Gia_dinh_mo_hinh'!$H$9+D327,B327&lt;'17_Gia_dinh_mo_hinh'!$H$9+D327+'17_Gia_dinh_mo_hinh'!$I$9),'17_Gia_dinh_mo_hinh'!$L$9*(1-'17_Gia_dinh_mo_hinh'!$M$9)/'17_Gia_dinh_mo_hinh'!$I$9,0)</x:f>
        <x:v>0</x:v>
      </x:c>
      <x:c r="H327" s="62" t="n">
        <x:f>G327*(1-'17_Gia_dinh_mo_hinh'!$N$9)</x:f>
        <x:v>0</x:v>
      </x:c>
      <x:c r="I327" s="62" t="n">
        <x:f>G327*'17_Gia_dinh_mo_hinh'!$O$9</x:f>
        <x:v>0</x:v>
      </x:c>
      <x:c r="J327" s="62" t="n">
        <x:f>G327*'17_Gia_dinh_mo_hinh'!$P$9</x:f>
        <x:v>0</x:v>
      </x:c>
      <x:c r="K327" s="62" t="n">
        <x:f>IF(B327&lt;='17_Gia_dinh_mo_hinh'!$J$9,'17_Gia_dinh_mo_hinh'!$K$9*(1-MIN(0.95,'17_Gia_dinh_mo_hinh'!$M$9*0.75))/'17_Gia_dinh_mo_hinh'!$J$9,0)</x:f>
        <x:v>83.33333333333333</x:v>
      </x:c>
      <x:c r="L327" s="62" t="n">
        <x:f>S326*'17_Gia_dinh_mo_hinh'!$Q$9/12</x:f>
        <x:v>16.03125</x:v>
      </x:c>
      <x:c r="M327" s="62" t="n">
        <x:f>G327-H327-I327-J327-L327</x:f>
        <x:v>-16.03125</x:v>
      </x:c>
      <x:c r="N327" s="62" t="n">
        <x:f>MAX(0,M327*'17_Gia_dinh_mo_hinh'!$S$9)</x:f>
        <x:v>0</x:v>
      </x:c>
      <x:c r="O327" s="62" t="n">
        <x:f>M327-N327</x:f>
        <x:v>-16.03125</x:v>
      </x:c>
      <x:c r="P327" s="62" t="n">
        <x:f>F327-K327-I327-J327-N327-L327</x:f>
        <x:v>-99.36458333333333</x:v>
      </x:c>
      <x:c r="Q327" s="62" t="n">
        <x:f>MIN(MAX(0,-(T326+P327)),MAX(0,'17_Gia_dinh_mo_hinh'!$R$9-S326))</x:f>
        <x:v>0</x:v>
      </x:c>
      <x:c r="R327" s="62" t="n">
        <x:f>MIN(MAX(0,T326+P327+Q327),S326+Q327)</x:f>
        <x:v>0</x:v>
      </x:c>
      <x:c r="S327" s="62" t="n">
        <x:f>S326+Q327-R327</x:f>
        <x:v>2025</x:v>
      </x:c>
      <x:c r="T327" s="62" t="n">
        <x:f>MAX(0,T326+P327+Q327-R327)</x:f>
        <x:v>0</x:v>
      </x:c>
      <x:c r="U327" s="62" t="n">
        <x:f>MAX(0,-(T326+P327)-MAX(0,'17_Gia_dinh_mo_hinh'!$R$9-S326))</x:f>
        <x:v>99.36458333333333</x:v>
      </x:c>
      <x:c r="V327" s="61" t="str">
        <x:f>IF(B327&lt;'17_Gia_dinh_mo_hinh'!$F$9+D327,"Trước mở bán",IF(B327&lt;'17_Gia_dinh_mo_hinh'!$H$9+D327,"Bán hàng/thi công",IF(G327&gt;0,"Ghi nhận/bàn giao","Hậu bàn giao")))</x:f>
        <x:v>Trước mở bán</x:v>
      </x:c>
    </x:row>
    <x:row r="328">
      <x:c r="A328" s="54" t="str">
        <x:v>DA06</x:v>
      </x:c>
      <x:c r="B328" s="54" t="n">
        <x:v>25</x:v>
      </x:c>
      <x:c r="C328" s="60" t="n">
        <x:f>EDATE('17_Gia_dinh_mo_hinh'!$C$9,B328-1)</x:f>
        <x:v>46966</x:v>
      </x:c>
      <x:c r="D328" s="61" t="n">
        <x:f>ROUNDUP('17_Gia_dinh_mo_hinh'!$E$9/30,0)</x:f>
        <x:v>9</x:v>
      </x:c>
      <x:c r="E328" s="62" t="n">
        <x:f>IF(AND(B328&gt;='17_Gia_dinh_mo_hinh'!$F$9+D328,B328&lt;'17_Gia_dinh_mo_hinh'!$F$9+D328+'17_Gia_dinh_mo_hinh'!$G$9),'17_Gia_dinh_mo_hinh'!$L$9*(1-'17_Gia_dinh_mo_hinh'!$M$9)/'17_Gia_dinh_mo_hinh'!$G$9,0)</x:f>
        <x:v>0</x:v>
      </x:c>
      <x:c r="F328" s="62" t="n">
        <x:f>0.70*E328+0.30*E327</x:f>
        <x:v>0</x:v>
      </x:c>
      <x:c r="G328" s="62" t="n">
        <x:f>IF(AND(B328&gt;='17_Gia_dinh_mo_hinh'!$H$9+D328,B328&lt;'17_Gia_dinh_mo_hinh'!$H$9+D328+'17_Gia_dinh_mo_hinh'!$I$9),'17_Gia_dinh_mo_hinh'!$L$9*(1-'17_Gia_dinh_mo_hinh'!$M$9)/'17_Gia_dinh_mo_hinh'!$I$9,0)</x:f>
        <x:v>0</x:v>
      </x:c>
      <x:c r="H328" s="62" t="n">
        <x:f>G328*(1-'17_Gia_dinh_mo_hinh'!$N$9)</x:f>
        <x:v>0</x:v>
      </x:c>
      <x:c r="I328" s="62" t="n">
        <x:f>G328*'17_Gia_dinh_mo_hinh'!$O$9</x:f>
        <x:v>0</x:v>
      </x:c>
      <x:c r="J328" s="62" t="n">
        <x:f>G328*'17_Gia_dinh_mo_hinh'!$P$9</x:f>
        <x:v>0</x:v>
      </x:c>
      <x:c r="K328" s="62" t="n">
        <x:f>IF(B328&lt;='17_Gia_dinh_mo_hinh'!$J$9,'17_Gia_dinh_mo_hinh'!$K$9*(1-MIN(0.95,'17_Gia_dinh_mo_hinh'!$M$9*0.75))/'17_Gia_dinh_mo_hinh'!$J$9,0)</x:f>
        <x:v>83.33333333333333</x:v>
      </x:c>
      <x:c r="L328" s="62" t="n">
        <x:f>S327*'17_Gia_dinh_mo_hinh'!$Q$9/12</x:f>
        <x:v>16.03125</x:v>
      </x:c>
      <x:c r="M328" s="62" t="n">
        <x:f>G328-H328-I328-J328-L328</x:f>
        <x:v>-16.03125</x:v>
      </x:c>
      <x:c r="N328" s="62" t="n">
        <x:f>MAX(0,M328*'17_Gia_dinh_mo_hinh'!$S$9)</x:f>
        <x:v>0</x:v>
      </x:c>
      <x:c r="O328" s="62" t="n">
        <x:f>M328-N328</x:f>
        <x:v>-16.03125</x:v>
      </x:c>
      <x:c r="P328" s="62" t="n">
        <x:f>F328-K328-I328-J328-N328-L328</x:f>
        <x:v>-99.36458333333333</x:v>
      </x:c>
      <x:c r="Q328" s="62" t="n">
        <x:f>MIN(MAX(0,-(T327+P328)),MAX(0,'17_Gia_dinh_mo_hinh'!$R$9-S327))</x:f>
        <x:v>0</x:v>
      </x:c>
      <x:c r="R328" s="62" t="n">
        <x:f>MIN(MAX(0,T327+P328+Q328),S327+Q328)</x:f>
        <x:v>0</x:v>
      </x:c>
      <x:c r="S328" s="62" t="n">
        <x:f>S327+Q328-R328</x:f>
        <x:v>2025</x:v>
      </x:c>
      <x:c r="T328" s="62" t="n">
        <x:f>MAX(0,T327+P328+Q328-R328)</x:f>
        <x:v>0</x:v>
      </x:c>
      <x:c r="U328" s="62" t="n">
        <x:f>MAX(0,-(T327+P328)-MAX(0,'17_Gia_dinh_mo_hinh'!$R$9-S327))</x:f>
        <x:v>99.36458333333333</x:v>
      </x:c>
      <x:c r="V328" s="61" t="str">
        <x:f>IF(B328&lt;'17_Gia_dinh_mo_hinh'!$F$9+D328,"Trước mở bán",IF(B328&lt;'17_Gia_dinh_mo_hinh'!$H$9+D328,"Bán hàng/thi công",IF(G328&gt;0,"Ghi nhận/bàn giao","Hậu bàn giao")))</x:f>
        <x:v>Trước mở bán</x:v>
      </x:c>
    </x:row>
    <x:row r="329">
      <x:c r="A329" s="54" t="str">
        <x:v>DA06</x:v>
      </x:c>
      <x:c r="B329" s="54" t="n">
        <x:v>26</x:v>
      </x:c>
      <x:c r="C329" s="60" t="n">
        <x:f>EDATE('17_Gia_dinh_mo_hinh'!$C$9,B329-1)</x:f>
        <x:v>46997</x:v>
      </x:c>
      <x:c r="D329" s="61" t="n">
        <x:f>ROUNDUP('17_Gia_dinh_mo_hinh'!$E$9/30,0)</x:f>
        <x:v>9</x:v>
      </x:c>
      <x:c r="E329" s="62" t="n">
        <x:f>IF(AND(B329&gt;='17_Gia_dinh_mo_hinh'!$F$9+D329,B329&lt;'17_Gia_dinh_mo_hinh'!$F$9+D329+'17_Gia_dinh_mo_hinh'!$G$9),'17_Gia_dinh_mo_hinh'!$L$9*(1-'17_Gia_dinh_mo_hinh'!$M$9)/'17_Gia_dinh_mo_hinh'!$G$9,0)</x:f>
        <x:v>0</x:v>
      </x:c>
      <x:c r="F329" s="62" t="n">
        <x:f>0.70*E329+0.30*E328</x:f>
        <x:v>0</x:v>
      </x:c>
      <x:c r="G329" s="62" t="n">
        <x:f>IF(AND(B329&gt;='17_Gia_dinh_mo_hinh'!$H$9+D329,B329&lt;'17_Gia_dinh_mo_hinh'!$H$9+D329+'17_Gia_dinh_mo_hinh'!$I$9),'17_Gia_dinh_mo_hinh'!$L$9*(1-'17_Gia_dinh_mo_hinh'!$M$9)/'17_Gia_dinh_mo_hinh'!$I$9,0)</x:f>
        <x:v>0</x:v>
      </x:c>
      <x:c r="H329" s="62" t="n">
        <x:f>G329*(1-'17_Gia_dinh_mo_hinh'!$N$9)</x:f>
        <x:v>0</x:v>
      </x:c>
      <x:c r="I329" s="62" t="n">
        <x:f>G329*'17_Gia_dinh_mo_hinh'!$O$9</x:f>
        <x:v>0</x:v>
      </x:c>
      <x:c r="J329" s="62" t="n">
        <x:f>G329*'17_Gia_dinh_mo_hinh'!$P$9</x:f>
        <x:v>0</x:v>
      </x:c>
      <x:c r="K329" s="62" t="n">
        <x:f>IF(B329&lt;='17_Gia_dinh_mo_hinh'!$J$9,'17_Gia_dinh_mo_hinh'!$K$9*(1-MIN(0.95,'17_Gia_dinh_mo_hinh'!$M$9*0.75))/'17_Gia_dinh_mo_hinh'!$J$9,0)</x:f>
        <x:v>83.33333333333333</x:v>
      </x:c>
      <x:c r="L329" s="62" t="n">
        <x:f>S328*'17_Gia_dinh_mo_hinh'!$Q$9/12</x:f>
        <x:v>16.03125</x:v>
      </x:c>
      <x:c r="M329" s="62" t="n">
        <x:f>G329-H329-I329-J329-L329</x:f>
        <x:v>-16.03125</x:v>
      </x:c>
      <x:c r="N329" s="62" t="n">
        <x:f>MAX(0,M329*'17_Gia_dinh_mo_hinh'!$S$9)</x:f>
        <x:v>0</x:v>
      </x:c>
      <x:c r="O329" s="62" t="n">
        <x:f>M329-N329</x:f>
        <x:v>-16.03125</x:v>
      </x:c>
      <x:c r="P329" s="62" t="n">
        <x:f>F329-K329-I329-J329-N329-L329</x:f>
        <x:v>-99.36458333333333</x:v>
      </x:c>
      <x:c r="Q329" s="62" t="n">
        <x:f>MIN(MAX(0,-(T328+P329)),MAX(0,'17_Gia_dinh_mo_hinh'!$R$9-S328))</x:f>
        <x:v>0</x:v>
      </x:c>
      <x:c r="R329" s="62" t="n">
        <x:f>MIN(MAX(0,T328+P329+Q329),S328+Q329)</x:f>
        <x:v>0</x:v>
      </x:c>
      <x:c r="S329" s="62" t="n">
        <x:f>S328+Q329-R329</x:f>
        <x:v>2025</x:v>
      </x:c>
      <x:c r="T329" s="62" t="n">
        <x:f>MAX(0,T328+P329+Q329-R329)</x:f>
        <x:v>0</x:v>
      </x:c>
      <x:c r="U329" s="62" t="n">
        <x:f>MAX(0,-(T328+P329)-MAX(0,'17_Gia_dinh_mo_hinh'!$R$9-S328))</x:f>
        <x:v>99.36458333333333</x:v>
      </x:c>
      <x:c r="V329" s="61" t="str">
        <x:f>IF(B329&lt;'17_Gia_dinh_mo_hinh'!$F$9+D329,"Trước mở bán",IF(B329&lt;'17_Gia_dinh_mo_hinh'!$H$9+D329,"Bán hàng/thi công",IF(G329&gt;0,"Ghi nhận/bàn giao","Hậu bàn giao")))</x:f>
        <x:v>Trước mở bán</x:v>
      </x:c>
    </x:row>
    <x:row r="330">
      <x:c r="A330" s="54" t="str">
        <x:v>DA06</x:v>
      </x:c>
      <x:c r="B330" s="54" t="n">
        <x:v>27</x:v>
      </x:c>
      <x:c r="C330" s="60" t="n">
        <x:f>EDATE('17_Gia_dinh_mo_hinh'!$C$9,B330-1)</x:f>
        <x:v>47027</x:v>
      </x:c>
      <x:c r="D330" s="61" t="n">
        <x:f>ROUNDUP('17_Gia_dinh_mo_hinh'!$E$9/30,0)</x:f>
        <x:v>9</x:v>
      </x:c>
      <x:c r="E330" s="62" t="n">
        <x:f>IF(AND(B330&gt;='17_Gia_dinh_mo_hinh'!$F$9+D330,B330&lt;'17_Gia_dinh_mo_hinh'!$F$9+D330+'17_Gia_dinh_mo_hinh'!$G$9),'17_Gia_dinh_mo_hinh'!$L$9*(1-'17_Gia_dinh_mo_hinh'!$M$9)/'17_Gia_dinh_mo_hinh'!$G$9,0)</x:f>
        <x:v>0</x:v>
      </x:c>
      <x:c r="F330" s="62" t="n">
        <x:f>0.70*E330+0.30*E329</x:f>
        <x:v>0</x:v>
      </x:c>
      <x:c r="G330" s="62" t="n">
        <x:f>IF(AND(B330&gt;='17_Gia_dinh_mo_hinh'!$H$9+D330,B330&lt;'17_Gia_dinh_mo_hinh'!$H$9+D330+'17_Gia_dinh_mo_hinh'!$I$9),'17_Gia_dinh_mo_hinh'!$L$9*(1-'17_Gia_dinh_mo_hinh'!$M$9)/'17_Gia_dinh_mo_hinh'!$I$9,0)</x:f>
        <x:v>0</x:v>
      </x:c>
      <x:c r="H330" s="62" t="n">
        <x:f>G330*(1-'17_Gia_dinh_mo_hinh'!$N$9)</x:f>
        <x:v>0</x:v>
      </x:c>
      <x:c r="I330" s="62" t="n">
        <x:f>G330*'17_Gia_dinh_mo_hinh'!$O$9</x:f>
        <x:v>0</x:v>
      </x:c>
      <x:c r="J330" s="62" t="n">
        <x:f>G330*'17_Gia_dinh_mo_hinh'!$P$9</x:f>
        <x:v>0</x:v>
      </x:c>
      <x:c r="K330" s="62" t="n">
        <x:f>IF(B330&lt;='17_Gia_dinh_mo_hinh'!$J$9,'17_Gia_dinh_mo_hinh'!$K$9*(1-MIN(0.95,'17_Gia_dinh_mo_hinh'!$M$9*0.75))/'17_Gia_dinh_mo_hinh'!$J$9,0)</x:f>
        <x:v>83.33333333333333</x:v>
      </x:c>
      <x:c r="L330" s="62" t="n">
        <x:f>S329*'17_Gia_dinh_mo_hinh'!$Q$9/12</x:f>
        <x:v>16.03125</x:v>
      </x:c>
      <x:c r="M330" s="62" t="n">
        <x:f>G330-H330-I330-J330-L330</x:f>
        <x:v>-16.03125</x:v>
      </x:c>
      <x:c r="N330" s="62" t="n">
        <x:f>MAX(0,M330*'17_Gia_dinh_mo_hinh'!$S$9)</x:f>
        <x:v>0</x:v>
      </x:c>
      <x:c r="O330" s="62" t="n">
        <x:f>M330-N330</x:f>
        <x:v>-16.03125</x:v>
      </x:c>
      <x:c r="P330" s="62" t="n">
        <x:f>F330-K330-I330-J330-N330-L330</x:f>
        <x:v>-99.36458333333333</x:v>
      </x:c>
      <x:c r="Q330" s="62" t="n">
        <x:f>MIN(MAX(0,-(T329+P330)),MAX(0,'17_Gia_dinh_mo_hinh'!$R$9-S329))</x:f>
        <x:v>0</x:v>
      </x:c>
      <x:c r="R330" s="62" t="n">
        <x:f>MIN(MAX(0,T329+P330+Q330),S329+Q330)</x:f>
        <x:v>0</x:v>
      </x:c>
      <x:c r="S330" s="62" t="n">
        <x:f>S329+Q330-R330</x:f>
        <x:v>2025</x:v>
      </x:c>
      <x:c r="T330" s="62" t="n">
        <x:f>MAX(0,T329+P330+Q330-R330)</x:f>
        <x:v>0</x:v>
      </x:c>
      <x:c r="U330" s="62" t="n">
        <x:f>MAX(0,-(T329+P330)-MAX(0,'17_Gia_dinh_mo_hinh'!$R$9-S329))</x:f>
        <x:v>99.36458333333333</x:v>
      </x:c>
      <x:c r="V330" s="61" t="str">
        <x:f>IF(B330&lt;'17_Gia_dinh_mo_hinh'!$F$9+D330,"Trước mở bán",IF(B330&lt;'17_Gia_dinh_mo_hinh'!$H$9+D330,"Bán hàng/thi công",IF(G330&gt;0,"Ghi nhận/bàn giao","Hậu bàn giao")))</x:f>
        <x:v>Trước mở bán</x:v>
      </x:c>
    </x:row>
    <x:row r="331">
      <x:c r="A331" s="54" t="str">
        <x:v>DA06</x:v>
      </x:c>
      <x:c r="B331" s="54" t="n">
        <x:v>28</x:v>
      </x:c>
      <x:c r="C331" s="60" t="n">
        <x:f>EDATE('17_Gia_dinh_mo_hinh'!$C$9,B331-1)</x:f>
        <x:v>47058</x:v>
      </x:c>
      <x:c r="D331" s="61" t="n">
        <x:f>ROUNDUP('17_Gia_dinh_mo_hinh'!$E$9/30,0)</x:f>
        <x:v>9</x:v>
      </x:c>
      <x:c r="E331" s="62" t="n">
        <x:f>IF(AND(B331&gt;='17_Gia_dinh_mo_hinh'!$F$9+D331,B331&lt;'17_Gia_dinh_mo_hinh'!$F$9+D331+'17_Gia_dinh_mo_hinh'!$G$9),'17_Gia_dinh_mo_hinh'!$L$9*(1-'17_Gia_dinh_mo_hinh'!$M$9)/'17_Gia_dinh_mo_hinh'!$G$9,0)</x:f>
        <x:v>0</x:v>
      </x:c>
      <x:c r="F331" s="62" t="n">
        <x:f>0.70*E331+0.30*E330</x:f>
        <x:v>0</x:v>
      </x:c>
      <x:c r="G331" s="62" t="n">
        <x:f>IF(AND(B331&gt;='17_Gia_dinh_mo_hinh'!$H$9+D331,B331&lt;'17_Gia_dinh_mo_hinh'!$H$9+D331+'17_Gia_dinh_mo_hinh'!$I$9),'17_Gia_dinh_mo_hinh'!$L$9*(1-'17_Gia_dinh_mo_hinh'!$M$9)/'17_Gia_dinh_mo_hinh'!$I$9,0)</x:f>
        <x:v>0</x:v>
      </x:c>
      <x:c r="H331" s="62" t="n">
        <x:f>G331*(1-'17_Gia_dinh_mo_hinh'!$N$9)</x:f>
        <x:v>0</x:v>
      </x:c>
      <x:c r="I331" s="62" t="n">
        <x:f>G331*'17_Gia_dinh_mo_hinh'!$O$9</x:f>
        <x:v>0</x:v>
      </x:c>
      <x:c r="J331" s="62" t="n">
        <x:f>G331*'17_Gia_dinh_mo_hinh'!$P$9</x:f>
        <x:v>0</x:v>
      </x:c>
      <x:c r="K331" s="62" t="n">
        <x:f>IF(B331&lt;='17_Gia_dinh_mo_hinh'!$J$9,'17_Gia_dinh_mo_hinh'!$K$9*(1-MIN(0.95,'17_Gia_dinh_mo_hinh'!$M$9*0.75))/'17_Gia_dinh_mo_hinh'!$J$9,0)</x:f>
        <x:v>83.33333333333333</x:v>
      </x:c>
      <x:c r="L331" s="62" t="n">
        <x:f>S330*'17_Gia_dinh_mo_hinh'!$Q$9/12</x:f>
        <x:v>16.03125</x:v>
      </x:c>
      <x:c r="M331" s="62" t="n">
        <x:f>G331-H331-I331-J331-L331</x:f>
        <x:v>-16.03125</x:v>
      </x:c>
      <x:c r="N331" s="62" t="n">
        <x:f>MAX(0,M331*'17_Gia_dinh_mo_hinh'!$S$9)</x:f>
        <x:v>0</x:v>
      </x:c>
      <x:c r="O331" s="62" t="n">
        <x:f>M331-N331</x:f>
        <x:v>-16.03125</x:v>
      </x:c>
      <x:c r="P331" s="62" t="n">
        <x:f>F331-K331-I331-J331-N331-L331</x:f>
        <x:v>-99.36458333333333</x:v>
      </x:c>
      <x:c r="Q331" s="62" t="n">
        <x:f>MIN(MAX(0,-(T330+P331)),MAX(0,'17_Gia_dinh_mo_hinh'!$R$9-S330))</x:f>
        <x:v>0</x:v>
      </x:c>
      <x:c r="R331" s="62" t="n">
        <x:f>MIN(MAX(0,T330+P331+Q331),S330+Q331)</x:f>
        <x:v>0</x:v>
      </x:c>
      <x:c r="S331" s="62" t="n">
        <x:f>S330+Q331-R331</x:f>
        <x:v>2025</x:v>
      </x:c>
      <x:c r="T331" s="62" t="n">
        <x:f>MAX(0,T330+P331+Q331-R331)</x:f>
        <x:v>0</x:v>
      </x:c>
      <x:c r="U331" s="62" t="n">
        <x:f>MAX(0,-(T330+P331)-MAX(0,'17_Gia_dinh_mo_hinh'!$R$9-S330))</x:f>
        <x:v>99.36458333333333</x:v>
      </x:c>
      <x:c r="V331" s="61" t="str">
        <x:f>IF(B331&lt;'17_Gia_dinh_mo_hinh'!$F$9+D331,"Trước mở bán",IF(B331&lt;'17_Gia_dinh_mo_hinh'!$H$9+D331,"Bán hàng/thi công",IF(G331&gt;0,"Ghi nhận/bàn giao","Hậu bàn giao")))</x:f>
        <x:v>Trước mở bán</x:v>
      </x:c>
    </x:row>
    <x:row r="332">
      <x:c r="A332" s="54" t="str">
        <x:v>DA06</x:v>
      </x:c>
      <x:c r="B332" s="54" t="n">
        <x:v>29</x:v>
      </x:c>
      <x:c r="C332" s="60" t="n">
        <x:f>EDATE('17_Gia_dinh_mo_hinh'!$C$9,B332-1)</x:f>
        <x:v>47088</x:v>
      </x:c>
      <x:c r="D332" s="61" t="n">
        <x:f>ROUNDUP('17_Gia_dinh_mo_hinh'!$E$9/30,0)</x:f>
        <x:v>9</x:v>
      </x:c>
      <x:c r="E332" s="62" t="n">
        <x:f>IF(AND(B332&gt;='17_Gia_dinh_mo_hinh'!$F$9+D332,B332&lt;'17_Gia_dinh_mo_hinh'!$F$9+D332+'17_Gia_dinh_mo_hinh'!$G$9),'17_Gia_dinh_mo_hinh'!$L$9*(1-'17_Gia_dinh_mo_hinh'!$M$9)/'17_Gia_dinh_mo_hinh'!$G$9,0)</x:f>
        <x:v>0</x:v>
      </x:c>
      <x:c r="F332" s="62" t="n">
        <x:f>0.70*E332+0.30*E331</x:f>
        <x:v>0</x:v>
      </x:c>
      <x:c r="G332" s="62" t="n">
        <x:f>IF(AND(B332&gt;='17_Gia_dinh_mo_hinh'!$H$9+D332,B332&lt;'17_Gia_dinh_mo_hinh'!$H$9+D332+'17_Gia_dinh_mo_hinh'!$I$9),'17_Gia_dinh_mo_hinh'!$L$9*(1-'17_Gia_dinh_mo_hinh'!$M$9)/'17_Gia_dinh_mo_hinh'!$I$9,0)</x:f>
        <x:v>0</x:v>
      </x:c>
      <x:c r="H332" s="62" t="n">
        <x:f>G332*(1-'17_Gia_dinh_mo_hinh'!$N$9)</x:f>
        <x:v>0</x:v>
      </x:c>
      <x:c r="I332" s="62" t="n">
        <x:f>G332*'17_Gia_dinh_mo_hinh'!$O$9</x:f>
        <x:v>0</x:v>
      </x:c>
      <x:c r="J332" s="62" t="n">
        <x:f>G332*'17_Gia_dinh_mo_hinh'!$P$9</x:f>
        <x:v>0</x:v>
      </x:c>
      <x:c r="K332" s="62" t="n">
        <x:f>IF(B332&lt;='17_Gia_dinh_mo_hinh'!$J$9,'17_Gia_dinh_mo_hinh'!$K$9*(1-MIN(0.95,'17_Gia_dinh_mo_hinh'!$M$9*0.75))/'17_Gia_dinh_mo_hinh'!$J$9,0)</x:f>
        <x:v>83.33333333333333</x:v>
      </x:c>
      <x:c r="L332" s="62" t="n">
        <x:f>S331*'17_Gia_dinh_mo_hinh'!$Q$9/12</x:f>
        <x:v>16.03125</x:v>
      </x:c>
      <x:c r="M332" s="62" t="n">
        <x:f>G332-H332-I332-J332-L332</x:f>
        <x:v>-16.03125</x:v>
      </x:c>
      <x:c r="N332" s="62" t="n">
        <x:f>MAX(0,M332*'17_Gia_dinh_mo_hinh'!$S$9)</x:f>
        <x:v>0</x:v>
      </x:c>
      <x:c r="O332" s="62" t="n">
        <x:f>M332-N332</x:f>
        <x:v>-16.03125</x:v>
      </x:c>
      <x:c r="P332" s="62" t="n">
        <x:f>F332-K332-I332-J332-N332-L332</x:f>
        <x:v>-99.36458333333333</x:v>
      </x:c>
      <x:c r="Q332" s="62" t="n">
        <x:f>MIN(MAX(0,-(T331+P332)),MAX(0,'17_Gia_dinh_mo_hinh'!$R$9-S331))</x:f>
        <x:v>0</x:v>
      </x:c>
      <x:c r="R332" s="62" t="n">
        <x:f>MIN(MAX(0,T331+P332+Q332),S331+Q332)</x:f>
        <x:v>0</x:v>
      </x:c>
      <x:c r="S332" s="62" t="n">
        <x:f>S331+Q332-R332</x:f>
        <x:v>2025</x:v>
      </x:c>
      <x:c r="T332" s="62" t="n">
        <x:f>MAX(0,T331+P332+Q332-R332)</x:f>
        <x:v>0</x:v>
      </x:c>
      <x:c r="U332" s="62" t="n">
        <x:f>MAX(0,-(T331+P332)-MAX(0,'17_Gia_dinh_mo_hinh'!$R$9-S331))</x:f>
        <x:v>99.36458333333333</x:v>
      </x:c>
      <x:c r="V332" s="61" t="str">
        <x:f>IF(B332&lt;'17_Gia_dinh_mo_hinh'!$F$9+D332,"Trước mở bán",IF(B332&lt;'17_Gia_dinh_mo_hinh'!$H$9+D332,"Bán hàng/thi công",IF(G332&gt;0,"Ghi nhận/bàn giao","Hậu bàn giao")))</x:f>
        <x:v>Trước mở bán</x:v>
      </x:c>
    </x:row>
    <x:row r="333">
      <x:c r="A333" s="54" t="str">
        <x:v>DA06</x:v>
      </x:c>
      <x:c r="B333" s="54" t="n">
        <x:v>30</x:v>
      </x:c>
      <x:c r="C333" s="60" t="n">
        <x:f>EDATE('17_Gia_dinh_mo_hinh'!$C$9,B333-1)</x:f>
        <x:v>47119</x:v>
      </x:c>
      <x:c r="D333" s="61" t="n">
        <x:f>ROUNDUP('17_Gia_dinh_mo_hinh'!$E$9/30,0)</x:f>
        <x:v>9</x:v>
      </x:c>
      <x:c r="E333" s="62" t="n">
        <x:f>IF(AND(B333&gt;='17_Gia_dinh_mo_hinh'!$F$9+D333,B333&lt;'17_Gia_dinh_mo_hinh'!$F$9+D333+'17_Gia_dinh_mo_hinh'!$G$9),'17_Gia_dinh_mo_hinh'!$L$9*(1-'17_Gia_dinh_mo_hinh'!$M$9)/'17_Gia_dinh_mo_hinh'!$G$9,0)</x:f>
        <x:v>0</x:v>
      </x:c>
      <x:c r="F333" s="62" t="n">
        <x:f>0.70*E333+0.30*E332</x:f>
        <x:v>0</x:v>
      </x:c>
      <x:c r="G333" s="62" t="n">
        <x:f>IF(AND(B333&gt;='17_Gia_dinh_mo_hinh'!$H$9+D333,B333&lt;'17_Gia_dinh_mo_hinh'!$H$9+D333+'17_Gia_dinh_mo_hinh'!$I$9),'17_Gia_dinh_mo_hinh'!$L$9*(1-'17_Gia_dinh_mo_hinh'!$M$9)/'17_Gia_dinh_mo_hinh'!$I$9,0)</x:f>
        <x:v>0</x:v>
      </x:c>
      <x:c r="H333" s="62" t="n">
        <x:f>G333*(1-'17_Gia_dinh_mo_hinh'!$N$9)</x:f>
        <x:v>0</x:v>
      </x:c>
      <x:c r="I333" s="62" t="n">
        <x:f>G333*'17_Gia_dinh_mo_hinh'!$O$9</x:f>
        <x:v>0</x:v>
      </x:c>
      <x:c r="J333" s="62" t="n">
        <x:f>G333*'17_Gia_dinh_mo_hinh'!$P$9</x:f>
        <x:v>0</x:v>
      </x:c>
      <x:c r="K333" s="62" t="n">
        <x:f>IF(B333&lt;='17_Gia_dinh_mo_hinh'!$J$9,'17_Gia_dinh_mo_hinh'!$K$9*(1-MIN(0.95,'17_Gia_dinh_mo_hinh'!$M$9*0.75))/'17_Gia_dinh_mo_hinh'!$J$9,0)</x:f>
        <x:v>83.33333333333333</x:v>
      </x:c>
      <x:c r="L333" s="62" t="n">
        <x:f>S332*'17_Gia_dinh_mo_hinh'!$Q$9/12</x:f>
        <x:v>16.03125</x:v>
      </x:c>
      <x:c r="M333" s="62" t="n">
        <x:f>G333-H333-I333-J333-L333</x:f>
        <x:v>-16.03125</x:v>
      </x:c>
      <x:c r="N333" s="62" t="n">
        <x:f>MAX(0,M333*'17_Gia_dinh_mo_hinh'!$S$9)</x:f>
        <x:v>0</x:v>
      </x:c>
      <x:c r="O333" s="62" t="n">
        <x:f>M333-N333</x:f>
        <x:v>-16.03125</x:v>
      </x:c>
      <x:c r="P333" s="62" t="n">
        <x:f>F333-K333-I333-J333-N333-L333</x:f>
        <x:v>-99.36458333333333</x:v>
      </x:c>
      <x:c r="Q333" s="62" t="n">
        <x:f>MIN(MAX(0,-(T332+P333)),MAX(0,'17_Gia_dinh_mo_hinh'!$R$9-S332))</x:f>
        <x:v>0</x:v>
      </x:c>
      <x:c r="R333" s="62" t="n">
        <x:f>MIN(MAX(0,T332+P333+Q333),S332+Q333)</x:f>
        <x:v>0</x:v>
      </x:c>
      <x:c r="S333" s="62" t="n">
        <x:f>S332+Q333-R333</x:f>
        <x:v>2025</x:v>
      </x:c>
      <x:c r="T333" s="62" t="n">
        <x:f>MAX(0,T332+P333+Q333-R333)</x:f>
        <x:v>0</x:v>
      </x:c>
      <x:c r="U333" s="62" t="n">
        <x:f>MAX(0,-(T332+P333)-MAX(0,'17_Gia_dinh_mo_hinh'!$R$9-S332))</x:f>
        <x:v>99.36458333333333</x:v>
      </x:c>
      <x:c r="V333" s="61" t="str">
        <x:f>IF(B333&lt;'17_Gia_dinh_mo_hinh'!$F$9+D333,"Trước mở bán",IF(B333&lt;'17_Gia_dinh_mo_hinh'!$H$9+D333,"Bán hàng/thi công",IF(G333&gt;0,"Ghi nhận/bàn giao","Hậu bàn giao")))</x:f>
        <x:v>Trước mở bán</x:v>
      </x:c>
    </x:row>
    <x:row r="334">
      <x:c r="A334" s="54" t="str">
        <x:v>DA06</x:v>
      </x:c>
      <x:c r="B334" s="54" t="n">
        <x:v>31</x:v>
      </x:c>
      <x:c r="C334" s="60" t="n">
        <x:f>EDATE('17_Gia_dinh_mo_hinh'!$C$9,B334-1)</x:f>
        <x:v>47150</x:v>
      </x:c>
      <x:c r="D334" s="61" t="n">
        <x:f>ROUNDUP('17_Gia_dinh_mo_hinh'!$E$9/30,0)</x:f>
        <x:v>9</x:v>
      </x:c>
      <x:c r="E334" s="62" t="n">
        <x:f>IF(AND(B334&gt;='17_Gia_dinh_mo_hinh'!$F$9+D334,B334&lt;'17_Gia_dinh_mo_hinh'!$F$9+D334+'17_Gia_dinh_mo_hinh'!$G$9),'17_Gia_dinh_mo_hinh'!$L$9*(1-'17_Gia_dinh_mo_hinh'!$M$9)/'17_Gia_dinh_mo_hinh'!$G$9,0)</x:f>
        <x:v>0</x:v>
      </x:c>
      <x:c r="F334" s="62" t="n">
        <x:f>0.70*E334+0.30*E333</x:f>
        <x:v>0</x:v>
      </x:c>
      <x:c r="G334" s="62" t="n">
        <x:f>IF(AND(B334&gt;='17_Gia_dinh_mo_hinh'!$H$9+D334,B334&lt;'17_Gia_dinh_mo_hinh'!$H$9+D334+'17_Gia_dinh_mo_hinh'!$I$9),'17_Gia_dinh_mo_hinh'!$L$9*(1-'17_Gia_dinh_mo_hinh'!$M$9)/'17_Gia_dinh_mo_hinh'!$I$9,0)</x:f>
        <x:v>0</x:v>
      </x:c>
      <x:c r="H334" s="62" t="n">
        <x:f>G334*(1-'17_Gia_dinh_mo_hinh'!$N$9)</x:f>
        <x:v>0</x:v>
      </x:c>
      <x:c r="I334" s="62" t="n">
        <x:f>G334*'17_Gia_dinh_mo_hinh'!$O$9</x:f>
        <x:v>0</x:v>
      </x:c>
      <x:c r="J334" s="62" t="n">
        <x:f>G334*'17_Gia_dinh_mo_hinh'!$P$9</x:f>
        <x:v>0</x:v>
      </x:c>
      <x:c r="K334" s="62" t="n">
        <x:f>IF(B334&lt;='17_Gia_dinh_mo_hinh'!$J$9,'17_Gia_dinh_mo_hinh'!$K$9*(1-MIN(0.95,'17_Gia_dinh_mo_hinh'!$M$9*0.75))/'17_Gia_dinh_mo_hinh'!$J$9,0)</x:f>
        <x:v>83.33333333333333</x:v>
      </x:c>
      <x:c r="L334" s="62" t="n">
        <x:f>S333*'17_Gia_dinh_mo_hinh'!$Q$9/12</x:f>
        <x:v>16.03125</x:v>
      </x:c>
      <x:c r="M334" s="62" t="n">
        <x:f>G334-H334-I334-J334-L334</x:f>
        <x:v>-16.03125</x:v>
      </x:c>
      <x:c r="N334" s="62" t="n">
        <x:f>MAX(0,M334*'17_Gia_dinh_mo_hinh'!$S$9)</x:f>
        <x:v>0</x:v>
      </x:c>
      <x:c r="O334" s="62" t="n">
        <x:f>M334-N334</x:f>
        <x:v>-16.03125</x:v>
      </x:c>
      <x:c r="P334" s="62" t="n">
        <x:f>F334-K334-I334-J334-N334-L334</x:f>
        <x:v>-99.36458333333333</x:v>
      </x:c>
      <x:c r="Q334" s="62" t="n">
        <x:f>MIN(MAX(0,-(T333+P334)),MAX(0,'17_Gia_dinh_mo_hinh'!$R$9-S333))</x:f>
        <x:v>0</x:v>
      </x:c>
      <x:c r="R334" s="62" t="n">
        <x:f>MIN(MAX(0,T333+P334+Q334),S333+Q334)</x:f>
        <x:v>0</x:v>
      </x:c>
      <x:c r="S334" s="62" t="n">
        <x:f>S333+Q334-R334</x:f>
        <x:v>2025</x:v>
      </x:c>
      <x:c r="T334" s="62" t="n">
        <x:f>MAX(0,T333+P334+Q334-R334)</x:f>
        <x:v>0</x:v>
      </x:c>
      <x:c r="U334" s="62" t="n">
        <x:f>MAX(0,-(T333+P334)-MAX(0,'17_Gia_dinh_mo_hinh'!$R$9-S333))</x:f>
        <x:v>99.36458333333333</x:v>
      </x:c>
      <x:c r="V334" s="61" t="str">
        <x:f>IF(B334&lt;'17_Gia_dinh_mo_hinh'!$F$9+D334,"Trước mở bán",IF(B334&lt;'17_Gia_dinh_mo_hinh'!$H$9+D334,"Bán hàng/thi công",IF(G334&gt;0,"Ghi nhận/bàn giao","Hậu bàn giao")))</x:f>
        <x:v>Trước mở bán</x:v>
      </x:c>
    </x:row>
    <x:row r="335">
      <x:c r="A335" s="54" t="str">
        <x:v>DA06</x:v>
      </x:c>
      <x:c r="B335" s="54" t="n">
        <x:v>32</x:v>
      </x:c>
      <x:c r="C335" s="60" t="n">
        <x:f>EDATE('17_Gia_dinh_mo_hinh'!$C$9,B335-1)</x:f>
        <x:v>47178</x:v>
      </x:c>
      <x:c r="D335" s="61" t="n">
        <x:f>ROUNDUP('17_Gia_dinh_mo_hinh'!$E$9/30,0)</x:f>
        <x:v>9</x:v>
      </x:c>
      <x:c r="E335" s="62" t="n">
        <x:f>IF(AND(B335&gt;='17_Gia_dinh_mo_hinh'!$F$9+D335,B335&lt;'17_Gia_dinh_mo_hinh'!$F$9+D335+'17_Gia_dinh_mo_hinh'!$G$9),'17_Gia_dinh_mo_hinh'!$L$9*(1-'17_Gia_dinh_mo_hinh'!$M$9)/'17_Gia_dinh_mo_hinh'!$G$9,0)</x:f>
        <x:v>0</x:v>
      </x:c>
      <x:c r="F335" s="62" t="n">
        <x:f>0.70*E335+0.30*E334</x:f>
        <x:v>0</x:v>
      </x:c>
      <x:c r="G335" s="62" t="n">
        <x:f>IF(AND(B335&gt;='17_Gia_dinh_mo_hinh'!$H$9+D335,B335&lt;'17_Gia_dinh_mo_hinh'!$H$9+D335+'17_Gia_dinh_mo_hinh'!$I$9),'17_Gia_dinh_mo_hinh'!$L$9*(1-'17_Gia_dinh_mo_hinh'!$M$9)/'17_Gia_dinh_mo_hinh'!$I$9,0)</x:f>
        <x:v>0</x:v>
      </x:c>
      <x:c r="H335" s="62" t="n">
        <x:f>G335*(1-'17_Gia_dinh_mo_hinh'!$N$9)</x:f>
        <x:v>0</x:v>
      </x:c>
      <x:c r="I335" s="62" t="n">
        <x:f>G335*'17_Gia_dinh_mo_hinh'!$O$9</x:f>
        <x:v>0</x:v>
      </x:c>
      <x:c r="J335" s="62" t="n">
        <x:f>G335*'17_Gia_dinh_mo_hinh'!$P$9</x:f>
        <x:v>0</x:v>
      </x:c>
      <x:c r="K335" s="62" t="n">
        <x:f>IF(B335&lt;='17_Gia_dinh_mo_hinh'!$J$9,'17_Gia_dinh_mo_hinh'!$K$9*(1-MIN(0.95,'17_Gia_dinh_mo_hinh'!$M$9*0.75))/'17_Gia_dinh_mo_hinh'!$J$9,0)</x:f>
        <x:v>83.33333333333333</x:v>
      </x:c>
      <x:c r="L335" s="62" t="n">
        <x:f>S334*'17_Gia_dinh_mo_hinh'!$Q$9/12</x:f>
        <x:v>16.03125</x:v>
      </x:c>
      <x:c r="M335" s="62" t="n">
        <x:f>G335-H335-I335-J335-L335</x:f>
        <x:v>-16.03125</x:v>
      </x:c>
      <x:c r="N335" s="62" t="n">
        <x:f>MAX(0,M335*'17_Gia_dinh_mo_hinh'!$S$9)</x:f>
        <x:v>0</x:v>
      </x:c>
      <x:c r="O335" s="62" t="n">
        <x:f>M335-N335</x:f>
        <x:v>-16.03125</x:v>
      </x:c>
      <x:c r="P335" s="62" t="n">
        <x:f>F335-K335-I335-J335-N335-L335</x:f>
        <x:v>-99.36458333333333</x:v>
      </x:c>
      <x:c r="Q335" s="62" t="n">
        <x:f>MIN(MAX(0,-(T334+P335)),MAX(0,'17_Gia_dinh_mo_hinh'!$R$9-S334))</x:f>
        <x:v>0</x:v>
      </x:c>
      <x:c r="R335" s="62" t="n">
        <x:f>MIN(MAX(0,T334+P335+Q335),S334+Q335)</x:f>
        <x:v>0</x:v>
      </x:c>
      <x:c r="S335" s="62" t="n">
        <x:f>S334+Q335-R335</x:f>
        <x:v>2025</x:v>
      </x:c>
      <x:c r="T335" s="62" t="n">
        <x:f>MAX(0,T334+P335+Q335-R335)</x:f>
        <x:v>0</x:v>
      </x:c>
      <x:c r="U335" s="62" t="n">
        <x:f>MAX(0,-(T334+P335)-MAX(0,'17_Gia_dinh_mo_hinh'!$R$9-S334))</x:f>
        <x:v>99.36458333333333</x:v>
      </x:c>
      <x:c r="V335" s="61" t="str">
        <x:f>IF(B335&lt;'17_Gia_dinh_mo_hinh'!$F$9+D335,"Trước mở bán",IF(B335&lt;'17_Gia_dinh_mo_hinh'!$H$9+D335,"Bán hàng/thi công",IF(G335&gt;0,"Ghi nhận/bàn giao","Hậu bàn giao")))</x:f>
        <x:v>Trước mở bán</x:v>
      </x:c>
    </x:row>
    <x:row r="336">
      <x:c r="A336" s="54" t="str">
        <x:v>DA06</x:v>
      </x:c>
      <x:c r="B336" s="54" t="n">
        <x:v>33</x:v>
      </x:c>
      <x:c r="C336" s="60" t="n">
        <x:f>EDATE('17_Gia_dinh_mo_hinh'!$C$9,B336-1)</x:f>
        <x:v>47209</x:v>
      </x:c>
      <x:c r="D336" s="61" t="n">
        <x:f>ROUNDUP('17_Gia_dinh_mo_hinh'!$E$9/30,0)</x:f>
        <x:v>9</x:v>
      </x:c>
      <x:c r="E336" s="62" t="n">
        <x:f>IF(AND(B336&gt;='17_Gia_dinh_mo_hinh'!$F$9+D336,B336&lt;'17_Gia_dinh_mo_hinh'!$F$9+D336+'17_Gia_dinh_mo_hinh'!$G$9),'17_Gia_dinh_mo_hinh'!$L$9*(1-'17_Gia_dinh_mo_hinh'!$M$9)/'17_Gia_dinh_mo_hinh'!$G$9,0)</x:f>
        <x:v>240</x:v>
      </x:c>
      <x:c r="F336" s="62" t="n">
        <x:f>0.70*E336+0.30*E335</x:f>
        <x:v>168</x:v>
      </x:c>
      <x:c r="G336" s="62" t="n">
        <x:f>IF(AND(B336&gt;='17_Gia_dinh_mo_hinh'!$H$9+D336,B336&lt;'17_Gia_dinh_mo_hinh'!$H$9+D336+'17_Gia_dinh_mo_hinh'!$I$9),'17_Gia_dinh_mo_hinh'!$L$9*(1-'17_Gia_dinh_mo_hinh'!$M$9)/'17_Gia_dinh_mo_hinh'!$I$9,0)</x:f>
        <x:v>0</x:v>
      </x:c>
      <x:c r="H336" s="62" t="n">
        <x:f>G336*(1-'17_Gia_dinh_mo_hinh'!$N$9)</x:f>
        <x:v>0</x:v>
      </x:c>
      <x:c r="I336" s="62" t="n">
        <x:f>G336*'17_Gia_dinh_mo_hinh'!$O$9</x:f>
        <x:v>0</x:v>
      </x:c>
      <x:c r="J336" s="62" t="n">
        <x:f>G336*'17_Gia_dinh_mo_hinh'!$P$9</x:f>
        <x:v>0</x:v>
      </x:c>
      <x:c r="K336" s="62" t="n">
        <x:f>IF(B336&lt;='17_Gia_dinh_mo_hinh'!$J$9,'17_Gia_dinh_mo_hinh'!$K$9*(1-MIN(0.95,'17_Gia_dinh_mo_hinh'!$M$9*0.75))/'17_Gia_dinh_mo_hinh'!$J$9,0)</x:f>
        <x:v>83.33333333333333</x:v>
      </x:c>
      <x:c r="L336" s="62" t="n">
        <x:f>S335*'17_Gia_dinh_mo_hinh'!$Q$9/12</x:f>
        <x:v>16.03125</x:v>
      </x:c>
      <x:c r="M336" s="62" t="n">
        <x:f>G336-H336-I336-J336-L336</x:f>
        <x:v>-16.03125</x:v>
      </x:c>
      <x:c r="N336" s="62" t="n">
        <x:f>MAX(0,M336*'17_Gia_dinh_mo_hinh'!$S$9)</x:f>
        <x:v>0</x:v>
      </x:c>
      <x:c r="O336" s="62" t="n">
        <x:f>M336-N336</x:f>
        <x:v>-16.03125</x:v>
      </x:c>
      <x:c r="P336" s="62" t="n">
        <x:f>F336-K336-I336-J336-N336-L336</x:f>
        <x:v>68.63541666666667</x:v>
      </x:c>
      <x:c r="Q336" s="62" t="n">
        <x:f>MIN(MAX(0,-(T335+P336)),MAX(0,'17_Gia_dinh_mo_hinh'!$R$9-S335))</x:f>
        <x:v>0</x:v>
      </x:c>
      <x:c r="R336" s="62" t="n">
        <x:f>MIN(MAX(0,T335+P336+Q336),S335+Q336)</x:f>
        <x:v>68.63541666666667</x:v>
      </x:c>
      <x:c r="S336" s="62" t="n">
        <x:f>S335+Q336-R336</x:f>
        <x:v>1956.3645833333333</x:v>
      </x:c>
      <x:c r="T336" s="62" t="n">
        <x:f>MAX(0,T335+P336+Q336-R336)</x:f>
        <x:v>0</x:v>
      </x:c>
      <x:c r="U336" s="62" t="n">
        <x:f>MAX(0,-(T335+P336)-MAX(0,'17_Gia_dinh_mo_hinh'!$R$9-S335))</x:f>
        <x:v>0</x:v>
      </x:c>
      <x:c r="V336" s="61" t="str">
        <x:f>IF(B336&lt;'17_Gia_dinh_mo_hinh'!$F$9+D336,"Trước mở bán",IF(B336&lt;'17_Gia_dinh_mo_hinh'!$H$9+D336,"Bán hàng/thi công",IF(G336&gt;0,"Ghi nhận/bàn giao","Hậu bàn giao")))</x:f>
        <x:v>Bán hàng/thi công</x:v>
      </x:c>
    </x:row>
    <x:row r="337">
      <x:c r="A337" s="54" t="str">
        <x:v>DA06</x:v>
      </x:c>
      <x:c r="B337" s="54" t="n">
        <x:v>34</x:v>
      </x:c>
      <x:c r="C337" s="60" t="n">
        <x:f>EDATE('17_Gia_dinh_mo_hinh'!$C$9,B337-1)</x:f>
        <x:v>47239</x:v>
      </x:c>
      <x:c r="D337" s="61" t="n">
        <x:f>ROUNDUP('17_Gia_dinh_mo_hinh'!$E$9/30,0)</x:f>
        <x:v>9</x:v>
      </x:c>
      <x:c r="E337" s="62" t="n">
        <x:f>IF(AND(B337&gt;='17_Gia_dinh_mo_hinh'!$F$9+D337,B337&lt;'17_Gia_dinh_mo_hinh'!$F$9+D337+'17_Gia_dinh_mo_hinh'!$G$9),'17_Gia_dinh_mo_hinh'!$L$9*(1-'17_Gia_dinh_mo_hinh'!$M$9)/'17_Gia_dinh_mo_hinh'!$G$9,0)</x:f>
        <x:v>240</x:v>
      </x:c>
      <x:c r="F337" s="62" t="n">
        <x:f>0.70*E337+0.30*E336</x:f>
        <x:v>240</x:v>
      </x:c>
      <x:c r="G337" s="62" t="n">
        <x:f>IF(AND(B337&gt;='17_Gia_dinh_mo_hinh'!$H$9+D337,B337&lt;'17_Gia_dinh_mo_hinh'!$H$9+D337+'17_Gia_dinh_mo_hinh'!$I$9),'17_Gia_dinh_mo_hinh'!$L$9*(1-'17_Gia_dinh_mo_hinh'!$M$9)/'17_Gia_dinh_mo_hinh'!$I$9,0)</x:f>
        <x:v>0</x:v>
      </x:c>
      <x:c r="H337" s="62" t="n">
        <x:f>G337*(1-'17_Gia_dinh_mo_hinh'!$N$9)</x:f>
        <x:v>0</x:v>
      </x:c>
      <x:c r="I337" s="62" t="n">
        <x:f>G337*'17_Gia_dinh_mo_hinh'!$O$9</x:f>
        <x:v>0</x:v>
      </x:c>
      <x:c r="J337" s="62" t="n">
        <x:f>G337*'17_Gia_dinh_mo_hinh'!$P$9</x:f>
        <x:v>0</x:v>
      </x:c>
      <x:c r="K337" s="62" t="n">
        <x:f>IF(B337&lt;='17_Gia_dinh_mo_hinh'!$J$9,'17_Gia_dinh_mo_hinh'!$K$9*(1-MIN(0.95,'17_Gia_dinh_mo_hinh'!$M$9*0.75))/'17_Gia_dinh_mo_hinh'!$J$9,0)</x:f>
        <x:v>83.33333333333333</x:v>
      </x:c>
      <x:c r="L337" s="62" t="n">
        <x:f>S336*'17_Gia_dinh_mo_hinh'!$Q$9/12</x:f>
        <x:v>15.487886284722222</x:v>
      </x:c>
      <x:c r="M337" s="62" t="n">
        <x:f>G337-H337-I337-J337-L337</x:f>
        <x:v>-15.487886284722222</x:v>
      </x:c>
      <x:c r="N337" s="62" t="n">
        <x:f>MAX(0,M337*'17_Gia_dinh_mo_hinh'!$S$9)</x:f>
        <x:v>0</x:v>
      </x:c>
      <x:c r="O337" s="62" t="n">
        <x:f>M337-N337</x:f>
        <x:v>-15.487886284722222</x:v>
      </x:c>
      <x:c r="P337" s="62" t="n">
        <x:f>F337-K337-I337-J337-N337-L337</x:f>
        <x:v>141.17878038194448</x:v>
      </x:c>
      <x:c r="Q337" s="62" t="n">
        <x:f>MIN(MAX(0,-(T336+P337)),MAX(0,'17_Gia_dinh_mo_hinh'!$R$9-S336))</x:f>
        <x:v>0</x:v>
      </x:c>
      <x:c r="R337" s="62" t="n">
        <x:f>MIN(MAX(0,T336+P337+Q337),S336+Q337)</x:f>
        <x:v>141.17878038194448</x:v>
      </x:c>
      <x:c r="S337" s="62" t="n">
        <x:f>S336+Q337-R337</x:f>
        <x:v>1815.1858029513887</x:v>
      </x:c>
      <x:c r="T337" s="62" t="n">
        <x:f>MAX(0,T336+P337+Q337-R337)</x:f>
        <x:v>0</x:v>
      </x:c>
      <x:c r="U337" s="62" t="n">
        <x:f>MAX(0,-(T336+P337)-MAX(0,'17_Gia_dinh_mo_hinh'!$R$9-S336))</x:f>
        <x:v>0</x:v>
      </x:c>
      <x:c r="V337" s="61" t="str">
        <x:f>IF(B337&lt;'17_Gia_dinh_mo_hinh'!$F$9+D337,"Trước mở bán",IF(B337&lt;'17_Gia_dinh_mo_hinh'!$H$9+D337,"Bán hàng/thi công",IF(G337&gt;0,"Ghi nhận/bàn giao","Hậu bàn giao")))</x:f>
        <x:v>Bán hàng/thi công</x:v>
      </x:c>
    </x:row>
    <x:row r="338">
      <x:c r="A338" s="54" t="str">
        <x:v>DA06</x:v>
      </x:c>
      <x:c r="B338" s="54" t="n">
        <x:v>35</x:v>
      </x:c>
      <x:c r="C338" s="60" t="n">
        <x:f>EDATE('17_Gia_dinh_mo_hinh'!$C$9,B338-1)</x:f>
        <x:v>47270</x:v>
      </x:c>
      <x:c r="D338" s="61" t="n">
        <x:f>ROUNDUP('17_Gia_dinh_mo_hinh'!$E$9/30,0)</x:f>
        <x:v>9</x:v>
      </x:c>
      <x:c r="E338" s="62" t="n">
        <x:f>IF(AND(B338&gt;='17_Gia_dinh_mo_hinh'!$F$9+D338,B338&lt;'17_Gia_dinh_mo_hinh'!$F$9+D338+'17_Gia_dinh_mo_hinh'!$G$9),'17_Gia_dinh_mo_hinh'!$L$9*(1-'17_Gia_dinh_mo_hinh'!$M$9)/'17_Gia_dinh_mo_hinh'!$G$9,0)</x:f>
        <x:v>240</x:v>
      </x:c>
      <x:c r="F338" s="62" t="n">
        <x:f>0.70*E338+0.30*E337</x:f>
        <x:v>240</x:v>
      </x:c>
      <x:c r="G338" s="62" t="n">
        <x:f>IF(AND(B338&gt;='17_Gia_dinh_mo_hinh'!$H$9+D338,B338&lt;'17_Gia_dinh_mo_hinh'!$H$9+D338+'17_Gia_dinh_mo_hinh'!$I$9),'17_Gia_dinh_mo_hinh'!$L$9*(1-'17_Gia_dinh_mo_hinh'!$M$9)/'17_Gia_dinh_mo_hinh'!$I$9,0)</x:f>
        <x:v>0</x:v>
      </x:c>
      <x:c r="H338" s="62" t="n">
        <x:f>G338*(1-'17_Gia_dinh_mo_hinh'!$N$9)</x:f>
        <x:v>0</x:v>
      </x:c>
      <x:c r="I338" s="62" t="n">
        <x:f>G338*'17_Gia_dinh_mo_hinh'!$O$9</x:f>
        <x:v>0</x:v>
      </x:c>
      <x:c r="J338" s="62" t="n">
        <x:f>G338*'17_Gia_dinh_mo_hinh'!$P$9</x:f>
        <x:v>0</x:v>
      </x:c>
      <x:c r="K338" s="62" t="n">
        <x:f>IF(B338&lt;='17_Gia_dinh_mo_hinh'!$J$9,'17_Gia_dinh_mo_hinh'!$K$9*(1-MIN(0.95,'17_Gia_dinh_mo_hinh'!$M$9*0.75))/'17_Gia_dinh_mo_hinh'!$J$9,0)</x:f>
        <x:v>83.33333333333333</x:v>
      </x:c>
      <x:c r="L338" s="62" t="n">
        <x:f>S337*'17_Gia_dinh_mo_hinh'!$Q$9/12</x:f>
        <x:v>14.370220940031828</x:v>
      </x:c>
      <x:c r="M338" s="62" t="n">
        <x:f>G338-H338-I338-J338-L338</x:f>
        <x:v>-14.370220940031828</x:v>
      </x:c>
      <x:c r="N338" s="62" t="n">
        <x:f>MAX(0,M338*'17_Gia_dinh_mo_hinh'!$S$9)</x:f>
        <x:v>0</x:v>
      </x:c>
      <x:c r="O338" s="62" t="n">
        <x:f>M338-N338</x:f>
        <x:v>-14.370220940031828</x:v>
      </x:c>
      <x:c r="P338" s="62" t="n">
        <x:f>F338-K338-I338-J338-N338-L338</x:f>
        <x:v>142.29644572663486</x:v>
      </x:c>
      <x:c r="Q338" s="62" t="n">
        <x:f>MIN(MAX(0,-(T337+P338)),MAX(0,'17_Gia_dinh_mo_hinh'!$R$9-S337))</x:f>
        <x:v>0</x:v>
      </x:c>
      <x:c r="R338" s="62" t="n">
        <x:f>MIN(MAX(0,T337+P338+Q338),S337+Q338)</x:f>
        <x:v>142.29644572663486</x:v>
      </x:c>
      <x:c r="S338" s="62" t="n">
        <x:f>S337+Q338-R338</x:f>
        <x:v>1672.889357224754</x:v>
      </x:c>
      <x:c r="T338" s="62" t="n">
        <x:f>MAX(0,T337+P338+Q338-R338)</x:f>
        <x:v>0</x:v>
      </x:c>
      <x:c r="U338" s="62" t="n">
        <x:f>MAX(0,-(T337+P338)-MAX(0,'17_Gia_dinh_mo_hinh'!$R$9-S337))</x:f>
        <x:v>0</x:v>
      </x:c>
      <x:c r="V338" s="61" t="str">
        <x:f>IF(B338&lt;'17_Gia_dinh_mo_hinh'!$F$9+D338,"Trước mở bán",IF(B338&lt;'17_Gia_dinh_mo_hinh'!$H$9+D338,"Bán hàng/thi công",IF(G338&gt;0,"Ghi nhận/bàn giao","Hậu bàn giao")))</x:f>
        <x:v>Bán hàng/thi công</x:v>
      </x:c>
    </x:row>
    <x:row r="339">
      <x:c r="A339" s="54" t="str">
        <x:v>DA06</x:v>
      </x:c>
      <x:c r="B339" s="54" t="n">
        <x:v>36</x:v>
      </x:c>
      <x:c r="C339" s="60" t="n">
        <x:f>EDATE('17_Gia_dinh_mo_hinh'!$C$9,B339-1)</x:f>
        <x:v>47300</x:v>
      </x:c>
      <x:c r="D339" s="61" t="n">
        <x:f>ROUNDUP('17_Gia_dinh_mo_hinh'!$E$9/30,0)</x:f>
        <x:v>9</x:v>
      </x:c>
      <x:c r="E339" s="62" t="n">
        <x:f>IF(AND(B339&gt;='17_Gia_dinh_mo_hinh'!$F$9+D339,B339&lt;'17_Gia_dinh_mo_hinh'!$F$9+D339+'17_Gia_dinh_mo_hinh'!$G$9),'17_Gia_dinh_mo_hinh'!$L$9*(1-'17_Gia_dinh_mo_hinh'!$M$9)/'17_Gia_dinh_mo_hinh'!$G$9,0)</x:f>
        <x:v>240</x:v>
      </x:c>
      <x:c r="F339" s="62" t="n">
        <x:f>0.70*E339+0.30*E338</x:f>
        <x:v>240</x:v>
      </x:c>
      <x:c r="G339" s="62" t="n">
        <x:f>IF(AND(B339&gt;='17_Gia_dinh_mo_hinh'!$H$9+D339,B339&lt;'17_Gia_dinh_mo_hinh'!$H$9+D339+'17_Gia_dinh_mo_hinh'!$I$9),'17_Gia_dinh_mo_hinh'!$L$9*(1-'17_Gia_dinh_mo_hinh'!$M$9)/'17_Gia_dinh_mo_hinh'!$I$9,0)</x:f>
        <x:v>0</x:v>
      </x:c>
      <x:c r="H339" s="62" t="n">
        <x:f>G339*(1-'17_Gia_dinh_mo_hinh'!$N$9)</x:f>
        <x:v>0</x:v>
      </x:c>
      <x:c r="I339" s="62" t="n">
        <x:f>G339*'17_Gia_dinh_mo_hinh'!$O$9</x:f>
        <x:v>0</x:v>
      </x:c>
      <x:c r="J339" s="62" t="n">
        <x:f>G339*'17_Gia_dinh_mo_hinh'!$P$9</x:f>
        <x:v>0</x:v>
      </x:c>
      <x:c r="K339" s="62" t="n">
        <x:f>IF(B339&lt;='17_Gia_dinh_mo_hinh'!$J$9,'17_Gia_dinh_mo_hinh'!$K$9*(1-MIN(0.95,'17_Gia_dinh_mo_hinh'!$M$9*0.75))/'17_Gia_dinh_mo_hinh'!$J$9,0)</x:f>
        <x:v>83.33333333333333</x:v>
      </x:c>
      <x:c r="L339" s="62" t="n">
        <x:f>S338*'17_Gia_dinh_mo_hinh'!$Q$9/12</x:f>
        <x:v>13.243707411362635</x:v>
      </x:c>
      <x:c r="M339" s="62" t="n">
        <x:f>G339-H339-I339-J339-L339</x:f>
        <x:v>-13.243707411362635</x:v>
      </x:c>
      <x:c r="N339" s="62" t="n">
        <x:f>MAX(0,M339*'17_Gia_dinh_mo_hinh'!$S$9)</x:f>
        <x:v>0</x:v>
      </x:c>
      <x:c r="O339" s="62" t="n">
        <x:f>M339-N339</x:f>
        <x:v>-13.243707411362635</x:v>
      </x:c>
      <x:c r="P339" s="62" t="n">
        <x:f>F339-K339-I339-J339-N339-L339</x:f>
        <x:v>143.42295925530405</x:v>
      </x:c>
      <x:c r="Q339" s="62" t="n">
        <x:f>MIN(MAX(0,-(T338+P339)),MAX(0,'17_Gia_dinh_mo_hinh'!$R$9-S338))</x:f>
        <x:v>0</x:v>
      </x:c>
      <x:c r="R339" s="62" t="n">
        <x:f>MIN(MAX(0,T338+P339+Q339),S338+Q339)</x:f>
        <x:v>143.42295925530405</x:v>
      </x:c>
      <x:c r="S339" s="62" t="n">
        <x:f>S338+Q339-R339</x:f>
        <x:v>1529.4663979694499</x:v>
      </x:c>
      <x:c r="T339" s="62" t="n">
        <x:f>MAX(0,T338+P339+Q339-R339)</x:f>
        <x:v>0</x:v>
      </x:c>
      <x:c r="U339" s="62" t="n">
        <x:f>MAX(0,-(T338+P339)-MAX(0,'17_Gia_dinh_mo_hinh'!$R$9-S338))</x:f>
        <x:v>0</x:v>
      </x:c>
      <x:c r="V339" s="61" t="str">
        <x:f>IF(B339&lt;'17_Gia_dinh_mo_hinh'!$F$9+D339,"Trước mở bán",IF(B339&lt;'17_Gia_dinh_mo_hinh'!$H$9+D339,"Bán hàng/thi công",IF(G339&gt;0,"Ghi nhận/bàn giao","Hậu bàn giao")))</x:f>
        <x:v>Bán hàng/thi công</x:v>
      </x:c>
    </x:row>
    <x:row r="340">
      <x:c r="A340" s="54" t="str">
        <x:v>DA06</x:v>
      </x:c>
      <x:c r="B340" s="54" t="n">
        <x:v>37</x:v>
      </x:c>
      <x:c r="C340" s="60" t="n">
        <x:f>EDATE('17_Gia_dinh_mo_hinh'!$C$9,B340-1)</x:f>
        <x:v>47331</x:v>
      </x:c>
      <x:c r="D340" s="61" t="n">
        <x:f>ROUNDUP('17_Gia_dinh_mo_hinh'!$E$9/30,0)</x:f>
        <x:v>9</x:v>
      </x:c>
      <x:c r="E340" s="62" t="n">
        <x:f>IF(AND(B340&gt;='17_Gia_dinh_mo_hinh'!$F$9+D340,B340&lt;'17_Gia_dinh_mo_hinh'!$F$9+D340+'17_Gia_dinh_mo_hinh'!$G$9),'17_Gia_dinh_mo_hinh'!$L$9*(1-'17_Gia_dinh_mo_hinh'!$M$9)/'17_Gia_dinh_mo_hinh'!$G$9,0)</x:f>
        <x:v>240</x:v>
      </x:c>
      <x:c r="F340" s="62" t="n">
        <x:f>0.70*E340+0.30*E339</x:f>
        <x:v>240</x:v>
      </x:c>
      <x:c r="G340" s="62" t="n">
        <x:f>IF(AND(B340&gt;='17_Gia_dinh_mo_hinh'!$H$9+D340,B340&lt;'17_Gia_dinh_mo_hinh'!$H$9+D340+'17_Gia_dinh_mo_hinh'!$I$9),'17_Gia_dinh_mo_hinh'!$L$9*(1-'17_Gia_dinh_mo_hinh'!$M$9)/'17_Gia_dinh_mo_hinh'!$I$9,0)</x:f>
        <x:v>0</x:v>
      </x:c>
      <x:c r="H340" s="62" t="n">
        <x:f>G340*(1-'17_Gia_dinh_mo_hinh'!$N$9)</x:f>
        <x:v>0</x:v>
      </x:c>
      <x:c r="I340" s="62" t="n">
        <x:f>G340*'17_Gia_dinh_mo_hinh'!$O$9</x:f>
        <x:v>0</x:v>
      </x:c>
      <x:c r="J340" s="62" t="n">
        <x:f>G340*'17_Gia_dinh_mo_hinh'!$P$9</x:f>
        <x:v>0</x:v>
      </x:c>
      <x:c r="K340" s="62" t="n">
        <x:f>IF(B340&lt;='17_Gia_dinh_mo_hinh'!$J$9,'17_Gia_dinh_mo_hinh'!$K$9*(1-MIN(0.95,'17_Gia_dinh_mo_hinh'!$M$9*0.75))/'17_Gia_dinh_mo_hinh'!$J$9,0)</x:f>
        <x:v>83.33333333333333</x:v>
      </x:c>
      <x:c r="L340" s="62" t="n">
        <x:f>S339*'17_Gia_dinh_mo_hinh'!$Q$9/12</x:f>
        <x:v>12.108275650591478</x:v>
      </x:c>
      <x:c r="M340" s="62" t="n">
        <x:f>G340-H340-I340-J340-L340</x:f>
        <x:v>-12.108275650591478</x:v>
      </x:c>
      <x:c r="N340" s="62" t="n">
        <x:f>MAX(0,M340*'17_Gia_dinh_mo_hinh'!$S$9)</x:f>
        <x:v>0</x:v>
      </x:c>
      <x:c r="O340" s="62" t="n">
        <x:f>M340-N340</x:f>
        <x:v>-12.108275650591478</x:v>
      </x:c>
      <x:c r="P340" s="62" t="n">
        <x:f>F340-K340-I340-J340-N340-L340</x:f>
        <x:v>144.5583910160752</x:v>
      </x:c>
      <x:c r="Q340" s="62" t="n">
        <x:f>MIN(MAX(0,-(T339+P340)),MAX(0,'17_Gia_dinh_mo_hinh'!$R$9-S339))</x:f>
        <x:v>0</x:v>
      </x:c>
      <x:c r="R340" s="62" t="n">
        <x:f>MIN(MAX(0,T339+P340+Q340),S339+Q340)</x:f>
        <x:v>144.5583910160752</x:v>
      </x:c>
      <x:c r="S340" s="62" t="n">
        <x:f>S339+Q340-R340</x:f>
        <x:v>1384.9080069533748</x:v>
      </x:c>
      <x:c r="T340" s="62" t="n">
        <x:f>MAX(0,T339+P340+Q340-R340)</x:f>
        <x:v>0</x:v>
      </x:c>
      <x:c r="U340" s="62" t="n">
        <x:f>MAX(0,-(T339+P340)-MAX(0,'17_Gia_dinh_mo_hinh'!$R$9-S339))</x:f>
        <x:v>0</x:v>
      </x:c>
      <x:c r="V340" s="61" t="str">
        <x:f>IF(B340&lt;'17_Gia_dinh_mo_hinh'!$F$9+D340,"Trước mở bán",IF(B340&lt;'17_Gia_dinh_mo_hinh'!$H$9+D340,"Bán hàng/thi công",IF(G340&gt;0,"Ghi nhận/bàn giao","Hậu bàn giao")))</x:f>
        <x:v>Bán hàng/thi công</x:v>
      </x:c>
    </x:row>
    <x:row r="341">
      <x:c r="A341" s="54" t="str">
        <x:v>DA06</x:v>
      </x:c>
      <x:c r="B341" s="54" t="n">
        <x:v>38</x:v>
      </x:c>
      <x:c r="C341" s="60" t="n">
        <x:f>EDATE('17_Gia_dinh_mo_hinh'!$C$9,B341-1)</x:f>
        <x:v>47362</x:v>
      </x:c>
      <x:c r="D341" s="61" t="n">
        <x:f>ROUNDUP('17_Gia_dinh_mo_hinh'!$E$9/30,0)</x:f>
        <x:v>9</x:v>
      </x:c>
      <x:c r="E341" s="62" t="n">
        <x:f>IF(AND(B341&gt;='17_Gia_dinh_mo_hinh'!$F$9+D341,B341&lt;'17_Gia_dinh_mo_hinh'!$F$9+D341+'17_Gia_dinh_mo_hinh'!$G$9),'17_Gia_dinh_mo_hinh'!$L$9*(1-'17_Gia_dinh_mo_hinh'!$M$9)/'17_Gia_dinh_mo_hinh'!$G$9,0)</x:f>
        <x:v>240</x:v>
      </x:c>
      <x:c r="F341" s="62" t="n">
        <x:f>0.70*E341+0.30*E340</x:f>
        <x:v>240</x:v>
      </x:c>
      <x:c r="G341" s="62" t="n">
        <x:f>IF(AND(B341&gt;='17_Gia_dinh_mo_hinh'!$H$9+D341,B341&lt;'17_Gia_dinh_mo_hinh'!$H$9+D341+'17_Gia_dinh_mo_hinh'!$I$9),'17_Gia_dinh_mo_hinh'!$L$9*(1-'17_Gia_dinh_mo_hinh'!$M$9)/'17_Gia_dinh_mo_hinh'!$I$9,0)</x:f>
        <x:v>0</x:v>
      </x:c>
      <x:c r="H341" s="62" t="n">
        <x:f>G341*(1-'17_Gia_dinh_mo_hinh'!$N$9)</x:f>
        <x:v>0</x:v>
      </x:c>
      <x:c r="I341" s="62" t="n">
        <x:f>G341*'17_Gia_dinh_mo_hinh'!$O$9</x:f>
        <x:v>0</x:v>
      </x:c>
      <x:c r="J341" s="62" t="n">
        <x:f>G341*'17_Gia_dinh_mo_hinh'!$P$9</x:f>
        <x:v>0</x:v>
      </x:c>
      <x:c r="K341" s="62" t="n">
        <x:f>IF(B341&lt;='17_Gia_dinh_mo_hinh'!$J$9,'17_Gia_dinh_mo_hinh'!$K$9*(1-MIN(0.95,'17_Gia_dinh_mo_hinh'!$M$9*0.75))/'17_Gia_dinh_mo_hinh'!$J$9,0)</x:f>
        <x:v>83.33333333333333</x:v>
      </x:c>
      <x:c r="L341" s="62" t="n">
        <x:f>S340*'17_Gia_dinh_mo_hinh'!$Q$9/12</x:f>
        <x:v>10.963855055047551</x:v>
      </x:c>
      <x:c r="M341" s="62" t="n">
        <x:f>G341-H341-I341-J341-L341</x:f>
        <x:v>-10.963855055047551</x:v>
      </x:c>
      <x:c r="N341" s="62" t="n">
        <x:f>MAX(0,M341*'17_Gia_dinh_mo_hinh'!$S$9)</x:f>
        <x:v>0</x:v>
      </x:c>
      <x:c r="O341" s="62" t="n">
        <x:f>M341-N341</x:f>
        <x:v>-10.963855055047551</x:v>
      </x:c>
      <x:c r="P341" s="62" t="n">
        <x:f>F341-K341-I341-J341-N341-L341</x:f>
        <x:v>145.70281161161913</x:v>
      </x:c>
      <x:c r="Q341" s="62" t="n">
        <x:f>MIN(MAX(0,-(T340+P341)),MAX(0,'17_Gia_dinh_mo_hinh'!$R$9-S340))</x:f>
        <x:v>0</x:v>
      </x:c>
      <x:c r="R341" s="62" t="n">
        <x:f>MIN(MAX(0,T340+P341+Q341),S340+Q341)</x:f>
        <x:v>145.70281161161913</x:v>
      </x:c>
      <x:c r="S341" s="62" t="n">
        <x:f>S340+Q341-R341</x:f>
        <x:v>1239.2051953417556</x:v>
      </x:c>
      <x:c r="T341" s="62" t="n">
        <x:f>MAX(0,T340+P341+Q341-R341)</x:f>
        <x:v>0</x:v>
      </x:c>
      <x:c r="U341" s="62" t="n">
        <x:f>MAX(0,-(T340+P341)-MAX(0,'17_Gia_dinh_mo_hinh'!$R$9-S340))</x:f>
        <x:v>0</x:v>
      </x:c>
      <x:c r="V341" s="61" t="str">
        <x:f>IF(B341&lt;'17_Gia_dinh_mo_hinh'!$F$9+D341,"Trước mở bán",IF(B341&lt;'17_Gia_dinh_mo_hinh'!$H$9+D341,"Bán hàng/thi công",IF(G341&gt;0,"Ghi nhận/bàn giao","Hậu bàn giao")))</x:f>
        <x:v>Bán hàng/thi công</x:v>
      </x:c>
    </x:row>
    <x:row r="342">
      <x:c r="A342" s="54" t="str">
        <x:v>DA06</x:v>
      </x:c>
      <x:c r="B342" s="54" t="n">
        <x:v>39</x:v>
      </x:c>
      <x:c r="C342" s="60" t="n">
        <x:f>EDATE('17_Gia_dinh_mo_hinh'!$C$9,B342-1)</x:f>
        <x:v>47392</x:v>
      </x:c>
      <x:c r="D342" s="61" t="n">
        <x:f>ROUNDUP('17_Gia_dinh_mo_hinh'!$E$9/30,0)</x:f>
        <x:v>9</x:v>
      </x:c>
      <x:c r="E342" s="62" t="n">
        <x:f>IF(AND(B342&gt;='17_Gia_dinh_mo_hinh'!$F$9+D342,B342&lt;'17_Gia_dinh_mo_hinh'!$F$9+D342+'17_Gia_dinh_mo_hinh'!$G$9),'17_Gia_dinh_mo_hinh'!$L$9*(1-'17_Gia_dinh_mo_hinh'!$M$9)/'17_Gia_dinh_mo_hinh'!$G$9,0)</x:f>
        <x:v>240</x:v>
      </x:c>
      <x:c r="F342" s="62" t="n">
        <x:f>0.70*E342+0.30*E341</x:f>
        <x:v>240</x:v>
      </x:c>
      <x:c r="G342" s="62" t="n">
        <x:f>IF(AND(B342&gt;='17_Gia_dinh_mo_hinh'!$H$9+D342,B342&lt;'17_Gia_dinh_mo_hinh'!$H$9+D342+'17_Gia_dinh_mo_hinh'!$I$9),'17_Gia_dinh_mo_hinh'!$L$9*(1-'17_Gia_dinh_mo_hinh'!$M$9)/'17_Gia_dinh_mo_hinh'!$I$9,0)</x:f>
        <x:v>0</x:v>
      </x:c>
      <x:c r="H342" s="62" t="n">
        <x:f>G342*(1-'17_Gia_dinh_mo_hinh'!$N$9)</x:f>
        <x:v>0</x:v>
      </x:c>
      <x:c r="I342" s="62" t="n">
        <x:f>G342*'17_Gia_dinh_mo_hinh'!$O$9</x:f>
        <x:v>0</x:v>
      </x:c>
      <x:c r="J342" s="62" t="n">
        <x:f>G342*'17_Gia_dinh_mo_hinh'!$P$9</x:f>
        <x:v>0</x:v>
      </x:c>
      <x:c r="K342" s="62" t="n">
        <x:f>IF(B342&lt;='17_Gia_dinh_mo_hinh'!$J$9,'17_Gia_dinh_mo_hinh'!$K$9*(1-MIN(0.95,'17_Gia_dinh_mo_hinh'!$M$9*0.75))/'17_Gia_dinh_mo_hinh'!$J$9,0)</x:f>
        <x:v>83.33333333333333</x:v>
      </x:c>
      <x:c r="L342" s="62" t="n">
        <x:f>S341*'17_Gia_dinh_mo_hinh'!$Q$9/12</x:f>
        <x:v>9.810374463122232</x:v>
      </x:c>
      <x:c r="M342" s="62" t="n">
        <x:f>G342-H342-I342-J342-L342</x:f>
        <x:v>-9.810374463122232</x:v>
      </x:c>
      <x:c r="N342" s="62" t="n">
        <x:f>MAX(0,M342*'17_Gia_dinh_mo_hinh'!$S$9)</x:f>
        <x:v>0</x:v>
      </x:c>
      <x:c r="O342" s="62" t="n">
        <x:f>M342-N342</x:f>
        <x:v>-9.810374463122232</x:v>
      </x:c>
      <x:c r="P342" s="62" t="n">
        <x:f>F342-K342-I342-J342-N342-L342</x:f>
        <x:v>146.85629220354446</x:v>
      </x:c>
      <x:c r="Q342" s="62" t="n">
        <x:f>MIN(MAX(0,-(T341+P342)),MAX(0,'17_Gia_dinh_mo_hinh'!$R$9-S341))</x:f>
        <x:v>0</x:v>
      </x:c>
      <x:c r="R342" s="62" t="n">
        <x:f>MIN(MAX(0,T341+P342+Q342),S341+Q342)</x:f>
        <x:v>146.85629220354446</x:v>
      </x:c>
      <x:c r="S342" s="62" t="n">
        <x:f>S341+Q342-R342</x:f>
        <x:v>1092.3489031382112</x:v>
      </x:c>
      <x:c r="T342" s="62" t="n">
        <x:f>MAX(0,T341+P342+Q342-R342)</x:f>
        <x:v>0</x:v>
      </x:c>
      <x:c r="U342" s="62" t="n">
        <x:f>MAX(0,-(T341+P342)-MAX(0,'17_Gia_dinh_mo_hinh'!$R$9-S341))</x:f>
        <x:v>0</x:v>
      </x:c>
      <x:c r="V342" s="61" t="str">
        <x:f>IF(B342&lt;'17_Gia_dinh_mo_hinh'!$F$9+D342,"Trước mở bán",IF(B342&lt;'17_Gia_dinh_mo_hinh'!$H$9+D342,"Bán hàng/thi công",IF(G342&gt;0,"Ghi nhận/bàn giao","Hậu bàn giao")))</x:f>
        <x:v>Bán hàng/thi công</x:v>
      </x:c>
    </x:row>
    <x:row r="343">
      <x:c r="A343" s="54" t="str">
        <x:v>DA06</x:v>
      </x:c>
      <x:c r="B343" s="54" t="n">
        <x:v>40</x:v>
      </x:c>
      <x:c r="C343" s="60" t="n">
        <x:f>EDATE('17_Gia_dinh_mo_hinh'!$C$9,B343-1)</x:f>
        <x:v>47423</x:v>
      </x:c>
      <x:c r="D343" s="61" t="n">
        <x:f>ROUNDUP('17_Gia_dinh_mo_hinh'!$E$9/30,0)</x:f>
        <x:v>9</x:v>
      </x:c>
      <x:c r="E343" s="62" t="n">
        <x:f>IF(AND(B343&gt;='17_Gia_dinh_mo_hinh'!$F$9+D343,B343&lt;'17_Gia_dinh_mo_hinh'!$F$9+D343+'17_Gia_dinh_mo_hinh'!$G$9),'17_Gia_dinh_mo_hinh'!$L$9*(1-'17_Gia_dinh_mo_hinh'!$M$9)/'17_Gia_dinh_mo_hinh'!$G$9,0)</x:f>
        <x:v>240</x:v>
      </x:c>
      <x:c r="F343" s="62" t="n">
        <x:f>0.70*E343+0.30*E342</x:f>
        <x:v>240</x:v>
      </x:c>
      <x:c r="G343" s="62" t="n">
        <x:f>IF(AND(B343&gt;='17_Gia_dinh_mo_hinh'!$H$9+D343,B343&lt;'17_Gia_dinh_mo_hinh'!$H$9+D343+'17_Gia_dinh_mo_hinh'!$I$9),'17_Gia_dinh_mo_hinh'!$L$9*(1-'17_Gia_dinh_mo_hinh'!$M$9)/'17_Gia_dinh_mo_hinh'!$I$9,0)</x:f>
        <x:v>0</x:v>
      </x:c>
      <x:c r="H343" s="62" t="n">
        <x:f>G343*(1-'17_Gia_dinh_mo_hinh'!$N$9)</x:f>
        <x:v>0</x:v>
      </x:c>
      <x:c r="I343" s="62" t="n">
        <x:f>G343*'17_Gia_dinh_mo_hinh'!$O$9</x:f>
        <x:v>0</x:v>
      </x:c>
      <x:c r="J343" s="62" t="n">
        <x:f>G343*'17_Gia_dinh_mo_hinh'!$P$9</x:f>
        <x:v>0</x:v>
      </x:c>
      <x:c r="K343" s="62" t="n">
        <x:f>IF(B343&lt;='17_Gia_dinh_mo_hinh'!$J$9,'17_Gia_dinh_mo_hinh'!$K$9*(1-MIN(0.95,'17_Gia_dinh_mo_hinh'!$M$9*0.75))/'17_Gia_dinh_mo_hinh'!$J$9,0)</x:f>
        <x:v>83.33333333333333</x:v>
      </x:c>
      <x:c r="L343" s="62" t="n">
        <x:f>S342*'17_Gia_dinh_mo_hinh'!$Q$9/12</x:f>
        <x:v>8.647762149844171</x:v>
      </x:c>
      <x:c r="M343" s="62" t="n">
        <x:f>G343-H343-I343-J343-L343</x:f>
        <x:v>-8.647762149844171</x:v>
      </x:c>
      <x:c r="N343" s="62" t="n">
        <x:f>MAX(0,M343*'17_Gia_dinh_mo_hinh'!$S$9)</x:f>
        <x:v>0</x:v>
      </x:c>
      <x:c r="O343" s="62" t="n">
        <x:f>M343-N343</x:f>
        <x:v>-8.647762149844171</x:v>
      </x:c>
      <x:c r="P343" s="62" t="n">
        <x:f>F343-K343-I343-J343-N343-L343</x:f>
        <x:v>148.01890451682252</x:v>
      </x:c>
      <x:c r="Q343" s="62" t="n">
        <x:f>MIN(MAX(0,-(T342+P343)),MAX(0,'17_Gia_dinh_mo_hinh'!$R$9-S342))</x:f>
        <x:v>0</x:v>
      </x:c>
      <x:c r="R343" s="62" t="n">
        <x:f>MIN(MAX(0,T342+P343+Q343),S342+Q343)</x:f>
        <x:v>148.01890451682252</x:v>
      </x:c>
      <x:c r="S343" s="62" t="n">
        <x:f>S342+Q343-R343</x:f>
        <x:v>944.3299986213887</x:v>
      </x:c>
      <x:c r="T343" s="62" t="n">
        <x:f>MAX(0,T342+P343+Q343-R343)</x:f>
        <x:v>0</x:v>
      </x:c>
      <x:c r="U343" s="62" t="n">
        <x:f>MAX(0,-(T342+P343)-MAX(0,'17_Gia_dinh_mo_hinh'!$R$9-S342))</x:f>
        <x:v>0</x:v>
      </x:c>
      <x:c r="V343" s="61" t="str">
        <x:f>IF(B343&lt;'17_Gia_dinh_mo_hinh'!$F$9+D343,"Trước mở bán",IF(B343&lt;'17_Gia_dinh_mo_hinh'!$H$9+D343,"Bán hàng/thi công",IF(G343&gt;0,"Ghi nhận/bàn giao","Hậu bàn giao")))</x:f>
        <x:v>Bán hàng/thi công</x:v>
      </x:c>
    </x:row>
    <x:row r="344">
      <x:c r="A344" s="54" t="str">
        <x:v>DA06</x:v>
      </x:c>
      <x:c r="B344" s="54" t="n">
        <x:v>41</x:v>
      </x:c>
      <x:c r="C344" s="60" t="n">
        <x:f>EDATE('17_Gia_dinh_mo_hinh'!$C$9,B344-1)</x:f>
        <x:v>47453</x:v>
      </x:c>
      <x:c r="D344" s="61" t="n">
        <x:f>ROUNDUP('17_Gia_dinh_mo_hinh'!$E$9/30,0)</x:f>
        <x:v>9</x:v>
      </x:c>
      <x:c r="E344" s="62" t="n">
        <x:f>IF(AND(B344&gt;='17_Gia_dinh_mo_hinh'!$F$9+D344,B344&lt;'17_Gia_dinh_mo_hinh'!$F$9+D344+'17_Gia_dinh_mo_hinh'!$G$9),'17_Gia_dinh_mo_hinh'!$L$9*(1-'17_Gia_dinh_mo_hinh'!$M$9)/'17_Gia_dinh_mo_hinh'!$G$9,0)</x:f>
        <x:v>240</x:v>
      </x:c>
      <x:c r="F344" s="62" t="n">
        <x:f>0.70*E344+0.30*E343</x:f>
        <x:v>240</x:v>
      </x:c>
      <x:c r="G344" s="62" t="n">
        <x:f>IF(AND(B344&gt;='17_Gia_dinh_mo_hinh'!$H$9+D344,B344&lt;'17_Gia_dinh_mo_hinh'!$H$9+D344+'17_Gia_dinh_mo_hinh'!$I$9),'17_Gia_dinh_mo_hinh'!$L$9*(1-'17_Gia_dinh_mo_hinh'!$M$9)/'17_Gia_dinh_mo_hinh'!$I$9,0)</x:f>
        <x:v>0</x:v>
      </x:c>
      <x:c r="H344" s="62" t="n">
        <x:f>G344*(1-'17_Gia_dinh_mo_hinh'!$N$9)</x:f>
        <x:v>0</x:v>
      </x:c>
      <x:c r="I344" s="62" t="n">
        <x:f>G344*'17_Gia_dinh_mo_hinh'!$O$9</x:f>
        <x:v>0</x:v>
      </x:c>
      <x:c r="J344" s="62" t="n">
        <x:f>G344*'17_Gia_dinh_mo_hinh'!$P$9</x:f>
        <x:v>0</x:v>
      </x:c>
      <x:c r="K344" s="62" t="n">
        <x:f>IF(B344&lt;='17_Gia_dinh_mo_hinh'!$J$9,'17_Gia_dinh_mo_hinh'!$K$9*(1-MIN(0.95,'17_Gia_dinh_mo_hinh'!$M$9*0.75))/'17_Gia_dinh_mo_hinh'!$J$9,0)</x:f>
        <x:v>83.33333333333333</x:v>
      </x:c>
      <x:c r="L344" s="62" t="n">
        <x:f>S343*'17_Gia_dinh_mo_hinh'!$Q$9/12</x:f>
        <x:v>7.475945822419327</x:v>
      </x:c>
      <x:c r="M344" s="62" t="n">
        <x:f>G344-H344-I344-J344-L344</x:f>
        <x:v>-7.475945822419327</x:v>
      </x:c>
      <x:c r="N344" s="62" t="n">
        <x:f>MAX(0,M344*'17_Gia_dinh_mo_hinh'!$S$9)</x:f>
        <x:v>0</x:v>
      </x:c>
      <x:c r="O344" s="62" t="n">
        <x:f>M344-N344</x:f>
        <x:v>-7.475945822419327</x:v>
      </x:c>
      <x:c r="P344" s="62" t="n">
        <x:f>F344-K344-I344-J344-N344-L344</x:f>
        <x:v>149.19072084424735</x:v>
      </x:c>
      <x:c r="Q344" s="62" t="n">
        <x:f>MIN(MAX(0,-(T343+P344)),MAX(0,'17_Gia_dinh_mo_hinh'!$R$9-S343))</x:f>
        <x:v>0</x:v>
      </x:c>
      <x:c r="R344" s="62" t="n">
        <x:f>MIN(MAX(0,T343+P344+Q344),S343+Q344)</x:f>
        <x:v>149.19072084424735</x:v>
      </x:c>
      <x:c r="S344" s="62" t="n">
        <x:f>S343+Q344-R344</x:f>
        <x:v>795.1392777771413</x:v>
      </x:c>
      <x:c r="T344" s="62" t="n">
        <x:f>MAX(0,T343+P344+Q344-R344)</x:f>
        <x:v>0</x:v>
      </x:c>
      <x:c r="U344" s="62" t="n">
        <x:f>MAX(0,-(T343+P344)-MAX(0,'17_Gia_dinh_mo_hinh'!$R$9-S343))</x:f>
        <x:v>0</x:v>
      </x:c>
      <x:c r="V344" s="61" t="str">
        <x:f>IF(B344&lt;'17_Gia_dinh_mo_hinh'!$F$9+D344,"Trước mở bán",IF(B344&lt;'17_Gia_dinh_mo_hinh'!$H$9+D344,"Bán hàng/thi công",IF(G344&gt;0,"Ghi nhận/bàn giao","Hậu bàn giao")))</x:f>
        <x:v>Bán hàng/thi công</x:v>
      </x:c>
    </x:row>
    <x:row r="345">
      <x:c r="A345" s="54" t="str">
        <x:v>DA06</x:v>
      </x:c>
      <x:c r="B345" s="54" t="n">
        <x:v>42</x:v>
      </x:c>
      <x:c r="C345" s="60" t="n">
        <x:f>EDATE('17_Gia_dinh_mo_hinh'!$C$9,B345-1)</x:f>
        <x:v>47484</x:v>
      </x:c>
      <x:c r="D345" s="61" t="n">
        <x:f>ROUNDUP('17_Gia_dinh_mo_hinh'!$E$9/30,0)</x:f>
        <x:v>9</x:v>
      </x:c>
      <x:c r="E345" s="62" t="n">
        <x:f>IF(AND(B345&gt;='17_Gia_dinh_mo_hinh'!$F$9+D345,B345&lt;'17_Gia_dinh_mo_hinh'!$F$9+D345+'17_Gia_dinh_mo_hinh'!$G$9),'17_Gia_dinh_mo_hinh'!$L$9*(1-'17_Gia_dinh_mo_hinh'!$M$9)/'17_Gia_dinh_mo_hinh'!$G$9,0)</x:f>
        <x:v>240</x:v>
      </x:c>
      <x:c r="F345" s="62" t="n">
        <x:f>0.70*E345+0.30*E344</x:f>
        <x:v>240</x:v>
      </x:c>
      <x:c r="G345" s="62" t="n">
        <x:f>IF(AND(B345&gt;='17_Gia_dinh_mo_hinh'!$H$9+D345,B345&lt;'17_Gia_dinh_mo_hinh'!$H$9+D345+'17_Gia_dinh_mo_hinh'!$I$9),'17_Gia_dinh_mo_hinh'!$L$9*(1-'17_Gia_dinh_mo_hinh'!$M$9)/'17_Gia_dinh_mo_hinh'!$I$9,0)</x:f>
        <x:v>0</x:v>
      </x:c>
      <x:c r="H345" s="62" t="n">
        <x:f>G345*(1-'17_Gia_dinh_mo_hinh'!$N$9)</x:f>
        <x:v>0</x:v>
      </x:c>
      <x:c r="I345" s="62" t="n">
        <x:f>G345*'17_Gia_dinh_mo_hinh'!$O$9</x:f>
        <x:v>0</x:v>
      </x:c>
      <x:c r="J345" s="62" t="n">
        <x:f>G345*'17_Gia_dinh_mo_hinh'!$P$9</x:f>
        <x:v>0</x:v>
      </x:c>
      <x:c r="K345" s="62" t="n">
        <x:f>IF(B345&lt;='17_Gia_dinh_mo_hinh'!$J$9,'17_Gia_dinh_mo_hinh'!$K$9*(1-MIN(0.95,'17_Gia_dinh_mo_hinh'!$M$9*0.75))/'17_Gia_dinh_mo_hinh'!$J$9,0)</x:f>
        <x:v>83.33333333333333</x:v>
      </x:c>
      <x:c r="L345" s="62" t="n">
        <x:f>S344*'17_Gia_dinh_mo_hinh'!$Q$9/12</x:f>
        <x:v>6.294852615735702</x:v>
      </x:c>
      <x:c r="M345" s="62" t="n">
        <x:f>G345-H345-I345-J345-L345</x:f>
        <x:v>-6.294852615735702</x:v>
      </x:c>
      <x:c r="N345" s="62" t="n">
        <x:f>MAX(0,M345*'17_Gia_dinh_mo_hinh'!$S$9)</x:f>
        <x:v>0</x:v>
      </x:c>
      <x:c r="O345" s="62" t="n">
        <x:f>M345-N345</x:f>
        <x:v>-6.294852615735702</x:v>
      </x:c>
      <x:c r="P345" s="62" t="n">
        <x:f>F345-K345-I345-J345-N345-L345</x:f>
        <x:v>150.371814050931</x:v>
      </x:c>
      <x:c r="Q345" s="62" t="n">
        <x:f>MIN(MAX(0,-(T344+P345)),MAX(0,'17_Gia_dinh_mo_hinh'!$R$9-S344))</x:f>
        <x:v>0</x:v>
      </x:c>
      <x:c r="R345" s="62" t="n">
        <x:f>MIN(MAX(0,T344+P345+Q345),S344+Q345)</x:f>
        <x:v>150.371814050931</x:v>
      </x:c>
      <x:c r="S345" s="62" t="n">
        <x:f>S344+Q345-R345</x:f>
        <x:v>644.7674637262103</x:v>
      </x:c>
      <x:c r="T345" s="62" t="n">
        <x:f>MAX(0,T344+P345+Q345-R345)</x:f>
        <x:v>0</x:v>
      </x:c>
      <x:c r="U345" s="62" t="n">
        <x:f>MAX(0,-(T344+P345)-MAX(0,'17_Gia_dinh_mo_hinh'!$R$9-S344))</x:f>
        <x:v>0</x:v>
      </x:c>
      <x:c r="V345" s="61" t="str">
        <x:f>IF(B345&lt;'17_Gia_dinh_mo_hinh'!$F$9+D345,"Trước mở bán",IF(B345&lt;'17_Gia_dinh_mo_hinh'!$H$9+D345,"Bán hàng/thi công",IF(G345&gt;0,"Ghi nhận/bàn giao","Hậu bàn giao")))</x:f>
        <x:v>Bán hàng/thi công</x:v>
      </x:c>
    </x:row>
    <x:row r="346">
      <x:c r="A346" s="54" t="str">
        <x:v>DA06</x:v>
      </x:c>
      <x:c r="B346" s="54" t="n">
        <x:v>43</x:v>
      </x:c>
      <x:c r="C346" s="60" t="n">
        <x:f>EDATE('17_Gia_dinh_mo_hinh'!$C$9,B346-1)</x:f>
        <x:v>47515</x:v>
      </x:c>
      <x:c r="D346" s="61" t="n">
        <x:f>ROUNDUP('17_Gia_dinh_mo_hinh'!$E$9/30,0)</x:f>
        <x:v>9</x:v>
      </x:c>
      <x:c r="E346" s="62" t="n">
        <x:f>IF(AND(B346&gt;='17_Gia_dinh_mo_hinh'!$F$9+D346,B346&lt;'17_Gia_dinh_mo_hinh'!$F$9+D346+'17_Gia_dinh_mo_hinh'!$G$9),'17_Gia_dinh_mo_hinh'!$L$9*(1-'17_Gia_dinh_mo_hinh'!$M$9)/'17_Gia_dinh_mo_hinh'!$G$9,0)</x:f>
        <x:v>240</x:v>
      </x:c>
      <x:c r="F346" s="62" t="n">
        <x:f>0.70*E346+0.30*E345</x:f>
        <x:v>240</x:v>
      </x:c>
      <x:c r="G346" s="62" t="n">
        <x:f>IF(AND(B346&gt;='17_Gia_dinh_mo_hinh'!$H$9+D346,B346&lt;'17_Gia_dinh_mo_hinh'!$H$9+D346+'17_Gia_dinh_mo_hinh'!$I$9),'17_Gia_dinh_mo_hinh'!$L$9*(1-'17_Gia_dinh_mo_hinh'!$M$9)/'17_Gia_dinh_mo_hinh'!$I$9,0)</x:f>
        <x:v>0</x:v>
      </x:c>
      <x:c r="H346" s="62" t="n">
        <x:f>G346*(1-'17_Gia_dinh_mo_hinh'!$N$9)</x:f>
        <x:v>0</x:v>
      </x:c>
      <x:c r="I346" s="62" t="n">
        <x:f>G346*'17_Gia_dinh_mo_hinh'!$O$9</x:f>
        <x:v>0</x:v>
      </x:c>
      <x:c r="J346" s="62" t="n">
        <x:f>G346*'17_Gia_dinh_mo_hinh'!$P$9</x:f>
        <x:v>0</x:v>
      </x:c>
      <x:c r="K346" s="62" t="n">
        <x:f>IF(B346&lt;='17_Gia_dinh_mo_hinh'!$J$9,'17_Gia_dinh_mo_hinh'!$K$9*(1-MIN(0.95,'17_Gia_dinh_mo_hinh'!$M$9*0.75))/'17_Gia_dinh_mo_hinh'!$J$9,0)</x:f>
        <x:v>83.33333333333333</x:v>
      </x:c>
      <x:c r="L346" s="62" t="n">
        <x:f>S345*'17_Gia_dinh_mo_hinh'!$Q$9/12</x:f>
        <x:v>5.104409087832498</x:v>
      </x:c>
      <x:c r="M346" s="62" t="n">
        <x:f>G346-H346-I346-J346-L346</x:f>
        <x:v>-5.104409087832498</x:v>
      </x:c>
      <x:c r="N346" s="62" t="n">
        <x:f>MAX(0,M346*'17_Gia_dinh_mo_hinh'!$S$9)</x:f>
        <x:v>0</x:v>
      </x:c>
      <x:c r="O346" s="62" t="n">
        <x:f>M346-N346</x:f>
        <x:v>-5.104409087832498</x:v>
      </x:c>
      <x:c r="P346" s="62" t="n">
        <x:f>F346-K346-I346-J346-N346-L346</x:f>
        <x:v>151.5622575788342</x:v>
      </x:c>
      <x:c r="Q346" s="62" t="n">
        <x:f>MIN(MAX(0,-(T345+P346)),MAX(0,'17_Gia_dinh_mo_hinh'!$R$9-S345))</x:f>
        <x:v>0</x:v>
      </x:c>
      <x:c r="R346" s="62" t="n">
        <x:f>MIN(MAX(0,T345+P346+Q346),S345+Q346)</x:f>
        <x:v>151.5622575788342</x:v>
      </x:c>
      <x:c r="S346" s="62" t="n">
        <x:f>S345+Q346-R346</x:f>
        <x:v>493.2052061473761</x:v>
      </x:c>
      <x:c r="T346" s="62" t="n">
        <x:f>MAX(0,T345+P346+Q346-R346)</x:f>
        <x:v>0</x:v>
      </x:c>
      <x:c r="U346" s="62" t="n">
        <x:f>MAX(0,-(T345+P346)-MAX(0,'17_Gia_dinh_mo_hinh'!$R$9-S345))</x:f>
        <x:v>0</x:v>
      </x:c>
      <x:c r="V346" s="61" t="str">
        <x:f>IF(B346&lt;'17_Gia_dinh_mo_hinh'!$F$9+D346,"Trước mở bán",IF(B346&lt;'17_Gia_dinh_mo_hinh'!$H$9+D346,"Bán hàng/thi công",IF(G346&gt;0,"Ghi nhận/bàn giao","Hậu bàn giao")))</x:f>
        <x:v>Bán hàng/thi công</x:v>
      </x:c>
    </x:row>
    <x:row r="347">
      <x:c r="A347" s="54" t="str">
        <x:v>DA06</x:v>
      </x:c>
      <x:c r="B347" s="54" t="n">
        <x:v>44</x:v>
      </x:c>
      <x:c r="C347" s="60" t="n">
        <x:f>EDATE('17_Gia_dinh_mo_hinh'!$C$9,B347-1)</x:f>
        <x:v>47543</x:v>
      </x:c>
      <x:c r="D347" s="61" t="n">
        <x:f>ROUNDUP('17_Gia_dinh_mo_hinh'!$E$9/30,0)</x:f>
        <x:v>9</x:v>
      </x:c>
      <x:c r="E347" s="62" t="n">
        <x:f>IF(AND(B347&gt;='17_Gia_dinh_mo_hinh'!$F$9+D347,B347&lt;'17_Gia_dinh_mo_hinh'!$F$9+D347+'17_Gia_dinh_mo_hinh'!$G$9),'17_Gia_dinh_mo_hinh'!$L$9*(1-'17_Gia_dinh_mo_hinh'!$M$9)/'17_Gia_dinh_mo_hinh'!$G$9,0)</x:f>
        <x:v>240</x:v>
      </x:c>
      <x:c r="F347" s="62" t="n">
        <x:f>0.70*E347+0.30*E346</x:f>
        <x:v>240</x:v>
      </x:c>
      <x:c r="G347" s="62" t="n">
        <x:f>IF(AND(B347&gt;='17_Gia_dinh_mo_hinh'!$H$9+D347,B347&lt;'17_Gia_dinh_mo_hinh'!$H$9+D347+'17_Gia_dinh_mo_hinh'!$I$9),'17_Gia_dinh_mo_hinh'!$L$9*(1-'17_Gia_dinh_mo_hinh'!$M$9)/'17_Gia_dinh_mo_hinh'!$I$9,0)</x:f>
        <x:v>0</x:v>
      </x:c>
      <x:c r="H347" s="62" t="n">
        <x:f>G347*(1-'17_Gia_dinh_mo_hinh'!$N$9)</x:f>
        <x:v>0</x:v>
      </x:c>
      <x:c r="I347" s="62" t="n">
        <x:f>G347*'17_Gia_dinh_mo_hinh'!$O$9</x:f>
        <x:v>0</x:v>
      </x:c>
      <x:c r="J347" s="62" t="n">
        <x:f>G347*'17_Gia_dinh_mo_hinh'!$P$9</x:f>
        <x:v>0</x:v>
      </x:c>
      <x:c r="K347" s="62" t="n">
        <x:f>IF(B347&lt;='17_Gia_dinh_mo_hinh'!$J$9,'17_Gia_dinh_mo_hinh'!$K$9*(1-MIN(0.95,'17_Gia_dinh_mo_hinh'!$M$9*0.75))/'17_Gia_dinh_mo_hinh'!$J$9,0)</x:f>
        <x:v>83.33333333333333</x:v>
      </x:c>
      <x:c r="L347" s="62" t="n">
        <x:f>S346*'17_Gia_dinh_mo_hinh'!$Q$9/12</x:f>
        <x:v>3.904541215333394</x:v>
      </x:c>
      <x:c r="M347" s="62" t="n">
        <x:f>G347-H347-I347-J347-L347</x:f>
        <x:v>-3.904541215333394</x:v>
      </x:c>
      <x:c r="N347" s="62" t="n">
        <x:f>MAX(0,M347*'17_Gia_dinh_mo_hinh'!$S$9)</x:f>
        <x:v>0</x:v>
      </x:c>
      <x:c r="O347" s="62" t="n">
        <x:f>M347-N347</x:f>
        <x:v>-3.904541215333394</x:v>
      </x:c>
      <x:c r="P347" s="62" t="n">
        <x:f>F347-K347-I347-J347-N347-L347</x:f>
        <x:v>152.7621254513333</x:v>
      </x:c>
      <x:c r="Q347" s="62" t="n">
        <x:f>MIN(MAX(0,-(T346+P347)),MAX(0,'17_Gia_dinh_mo_hinh'!$R$9-S346))</x:f>
        <x:v>0</x:v>
      </x:c>
      <x:c r="R347" s="62" t="n">
        <x:f>MIN(MAX(0,T346+P347+Q347),S346+Q347)</x:f>
        <x:v>152.7621254513333</x:v>
      </x:c>
      <x:c r="S347" s="62" t="n">
        <x:f>S346+Q347-R347</x:f>
        <x:v>340.4430806960428</x:v>
      </x:c>
      <x:c r="T347" s="62" t="n">
        <x:f>MAX(0,T346+P347+Q347-R347)</x:f>
        <x:v>0</x:v>
      </x:c>
      <x:c r="U347" s="62" t="n">
        <x:f>MAX(0,-(T346+P347)-MAX(0,'17_Gia_dinh_mo_hinh'!$R$9-S346))</x:f>
        <x:v>0</x:v>
      </x:c>
      <x:c r="V347" s="61" t="str">
        <x:f>IF(B347&lt;'17_Gia_dinh_mo_hinh'!$F$9+D347,"Trước mở bán",IF(B347&lt;'17_Gia_dinh_mo_hinh'!$H$9+D347,"Bán hàng/thi công",IF(G347&gt;0,"Ghi nhận/bàn giao","Hậu bàn giao")))</x:f>
        <x:v>Bán hàng/thi công</x:v>
      </x:c>
    </x:row>
    <x:row r="348">
      <x:c r="A348" s="54" t="str">
        <x:v>DA06</x:v>
      </x:c>
      <x:c r="B348" s="54" t="n">
        <x:v>45</x:v>
      </x:c>
      <x:c r="C348" s="60" t="n">
        <x:f>EDATE('17_Gia_dinh_mo_hinh'!$C$9,B348-1)</x:f>
        <x:v>47574</x:v>
      </x:c>
      <x:c r="D348" s="61" t="n">
        <x:f>ROUNDUP('17_Gia_dinh_mo_hinh'!$E$9/30,0)</x:f>
        <x:v>9</x:v>
      </x:c>
      <x:c r="E348" s="62" t="n">
        <x:f>IF(AND(B348&gt;='17_Gia_dinh_mo_hinh'!$F$9+D348,B348&lt;'17_Gia_dinh_mo_hinh'!$F$9+D348+'17_Gia_dinh_mo_hinh'!$G$9),'17_Gia_dinh_mo_hinh'!$L$9*(1-'17_Gia_dinh_mo_hinh'!$M$9)/'17_Gia_dinh_mo_hinh'!$G$9,0)</x:f>
        <x:v>240</x:v>
      </x:c>
      <x:c r="F348" s="62" t="n">
        <x:f>0.70*E348+0.30*E347</x:f>
        <x:v>240</x:v>
      </x:c>
      <x:c r="G348" s="62" t="n">
        <x:f>IF(AND(B348&gt;='17_Gia_dinh_mo_hinh'!$H$9+D348,B348&lt;'17_Gia_dinh_mo_hinh'!$H$9+D348+'17_Gia_dinh_mo_hinh'!$I$9),'17_Gia_dinh_mo_hinh'!$L$9*(1-'17_Gia_dinh_mo_hinh'!$M$9)/'17_Gia_dinh_mo_hinh'!$I$9,0)</x:f>
        <x:v>0</x:v>
      </x:c>
      <x:c r="H348" s="62" t="n">
        <x:f>G348*(1-'17_Gia_dinh_mo_hinh'!$N$9)</x:f>
        <x:v>0</x:v>
      </x:c>
      <x:c r="I348" s="62" t="n">
        <x:f>G348*'17_Gia_dinh_mo_hinh'!$O$9</x:f>
        <x:v>0</x:v>
      </x:c>
      <x:c r="J348" s="62" t="n">
        <x:f>G348*'17_Gia_dinh_mo_hinh'!$P$9</x:f>
        <x:v>0</x:v>
      </x:c>
      <x:c r="K348" s="62" t="n">
        <x:f>IF(B348&lt;='17_Gia_dinh_mo_hinh'!$J$9,'17_Gia_dinh_mo_hinh'!$K$9*(1-MIN(0.95,'17_Gia_dinh_mo_hinh'!$M$9*0.75))/'17_Gia_dinh_mo_hinh'!$J$9,0)</x:f>
        <x:v>83.33333333333333</x:v>
      </x:c>
      <x:c r="L348" s="62" t="n">
        <x:f>S347*'17_Gia_dinh_mo_hinh'!$Q$9/12</x:f>
        <x:v>2.695174388843672</x:v>
      </x:c>
      <x:c r="M348" s="62" t="n">
        <x:f>G348-H348-I348-J348-L348</x:f>
        <x:v>-2.695174388843672</x:v>
      </x:c>
      <x:c r="N348" s="62" t="n">
        <x:f>MAX(0,M348*'17_Gia_dinh_mo_hinh'!$S$9)</x:f>
        <x:v>0</x:v>
      </x:c>
      <x:c r="O348" s="62" t="n">
        <x:f>M348-N348</x:f>
        <x:v>-2.695174388843672</x:v>
      </x:c>
      <x:c r="P348" s="62" t="n">
        <x:f>F348-K348-I348-J348-N348-L348</x:f>
        <x:v>153.97149227782302</x:v>
      </x:c>
      <x:c r="Q348" s="62" t="n">
        <x:f>MIN(MAX(0,-(T347+P348)),MAX(0,'17_Gia_dinh_mo_hinh'!$R$9-S347))</x:f>
        <x:v>0</x:v>
      </x:c>
      <x:c r="R348" s="62" t="n">
        <x:f>MIN(MAX(0,T347+P348+Q348),S347+Q348)</x:f>
        <x:v>153.97149227782302</x:v>
      </x:c>
      <x:c r="S348" s="62" t="n">
        <x:f>S347+Q348-R348</x:f>
        <x:v>186.47158841821977</x:v>
      </x:c>
      <x:c r="T348" s="62" t="n">
        <x:f>MAX(0,T347+P348+Q348-R348)</x:f>
        <x:v>0</x:v>
      </x:c>
      <x:c r="U348" s="62" t="n">
        <x:f>MAX(0,-(T347+P348)-MAX(0,'17_Gia_dinh_mo_hinh'!$R$9-S347))</x:f>
        <x:v>0</x:v>
      </x:c>
      <x:c r="V348" s="61" t="str">
        <x:f>IF(B348&lt;'17_Gia_dinh_mo_hinh'!$F$9+D348,"Trước mở bán",IF(B348&lt;'17_Gia_dinh_mo_hinh'!$H$9+D348,"Bán hàng/thi công",IF(G348&gt;0,"Ghi nhận/bàn giao","Hậu bàn giao")))</x:f>
        <x:v>Bán hàng/thi công</x:v>
      </x:c>
    </x:row>
    <x:row r="349">
      <x:c r="A349" s="54" t="str">
        <x:v>DA06</x:v>
      </x:c>
      <x:c r="B349" s="54" t="n">
        <x:v>46</x:v>
      </x:c>
      <x:c r="C349" s="60" t="n">
        <x:f>EDATE('17_Gia_dinh_mo_hinh'!$C$9,B349-1)</x:f>
        <x:v>47604</x:v>
      </x:c>
      <x:c r="D349" s="61" t="n">
        <x:f>ROUNDUP('17_Gia_dinh_mo_hinh'!$E$9/30,0)</x:f>
        <x:v>9</x:v>
      </x:c>
      <x:c r="E349" s="62" t="n">
        <x:f>IF(AND(B349&gt;='17_Gia_dinh_mo_hinh'!$F$9+D349,B349&lt;'17_Gia_dinh_mo_hinh'!$F$9+D349+'17_Gia_dinh_mo_hinh'!$G$9),'17_Gia_dinh_mo_hinh'!$L$9*(1-'17_Gia_dinh_mo_hinh'!$M$9)/'17_Gia_dinh_mo_hinh'!$G$9,0)</x:f>
        <x:v>240</x:v>
      </x:c>
      <x:c r="F349" s="62" t="n">
        <x:f>0.70*E349+0.30*E348</x:f>
        <x:v>240</x:v>
      </x:c>
      <x:c r="G349" s="62" t="n">
        <x:f>IF(AND(B349&gt;='17_Gia_dinh_mo_hinh'!$H$9+D349,B349&lt;'17_Gia_dinh_mo_hinh'!$H$9+D349+'17_Gia_dinh_mo_hinh'!$I$9),'17_Gia_dinh_mo_hinh'!$L$9*(1-'17_Gia_dinh_mo_hinh'!$M$9)/'17_Gia_dinh_mo_hinh'!$I$9,0)</x:f>
        <x:v>0</x:v>
      </x:c>
      <x:c r="H349" s="62" t="n">
        <x:f>G349*(1-'17_Gia_dinh_mo_hinh'!$N$9)</x:f>
        <x:v>0</x:v>
      </x:c>
      <x:c r="I349" s="62" t="n">
        <x:f>G349*'17_Gia_dinh_mo_hinh'!$O$9</x:f>
        <x:v>0</x:v>
      </x:c>
      <x:c r="J349" s="62" t="n">
        <x:f>G349*'17_Gia_dinh_mo_hinh'!$P$9</x:f>
        <x:v>0</x:v>
      </x:c>
      <x:c r="K349" s="62" t="n">
        <x:f>IF(B349&lt;='17_Gia_dinh_mo_hinh'!$J$9,'17_Gia_dinh_mo_hinh'!$K$9*(1-MIN(0.95,'17_Gia_dinh_mo_hinh'!$M$9*0.75))/'17_Gia_dinh_mo_hinh'!$J$9,0)</x:f>
        <x:v>83.33333333333333</x:v>
      </x:c>
      <x:c r="L349" s="62" t="n">
        <x:f>S348*'17_Gia_dinh_mo_hinh'!$Q$9/12</x:f>
        <x:v>1.4762334083109065</x:v>
      </x:c>
      <x:c r="M349" s="62" t="n">
        <x:f>G349-H349-I349-J349-L349</x:f>
        <x:v>-1.4762334083109065</x:v>
      </x:c>
      <x:c r="N349" s="62" t="n">
        <x:f>MAX(0,M349*'17_Gia_dinh_mo_hinh'!$S$9)</x:f>
        <x:v>0</x:v>
      </x:c>
      <x:c r="O349" s="62" t="n">
        <x:f>M349-N349</x:f>
        <x:v>-1.4762334083109065</x:v>
      </x:c>
      <x:c r="P349" s="62" t="n">
        <x:f>F349-K349-I349-J349-N349-L349</x:f>
        <x:v>155.19043325835577</x:v>
      </x:c>
      <x:c r="Q349" s="62" t="n">
        <x:f>MIN(MAX(0,-(T348+P349)),MAX(0,'17_Gia_dinh_mo_hinh'!$R$9-S348))</x:f>
        <x:v>0</x:v>
      </x:c>
      <x:c r="R349" s="62" t="n">
        <x:f>MIN(MAX(0,T348+P349+Q349),S348+Q349)</x:f>
        <x:v>155.19043325835577</x:v>
      </x:c>
      <x:c r="S349" s="62" t="n">
        <x:f>S348+Q349-R349</x:f>
        <x:v>31.281155159864</x:v>
      </x:c>
      <x:c r="T349" s="62" t="n">
        <x:f>MAX(0,T348+P349+Q349-R349)</x:f>
        <x:v>0</x:v>
      </x:c>
      <x:c r="U349" s="62" t="n">
        <x:f>MAX(0,-(T348+P349)-MAX(0,'17_Gia_dinh_mo_hinh'!$R$9-S348))</x:f>
        <x:v>0</x:v>
      </x:c>
      <x:c r="V349" s="61" t="str">
        <x:f>IF(B349&lt;'17_Gia_dinh_mo_hinh'!$F$9+D349,"Trước mở bán",IF(B349&lt;'17_Gia_dinh_mo_hinh'!$H$9+D349,"Bán hàng/thi công",IF(G349&gt;0,"Ghi nhận/bàn giao","Hậu bàn giao")))</x:f>
        <x:v>Bán hàng/thi công</x:v>
      </x:c>
    </x:row>
    <x:row r="350">
      <x:c r="A350" s="54" t="str">
        <x:v>DA06</x:v>
      </x:c>
      <x:c r="B350" s="54" t="n">
        <x:v>47</x:v>
      </x:c>
      <x:c r="C350" s="60" t="n">
        <x:f>EDATE('17_Gia_dinh_mo_hinh'!$C$9,B350-1)</x:f>
        <x:v>47635</x:v>
      </x:c>
      <x:c r="D350" s="61" t="n">
        <x:f>ROUNDUP('17_Gia_dinh_mo_hinh'!$E$9/30,0)</x:f>
        <x:v>9</x:v>
      </x:c>
      <x:c r="E350" s="62" t="n">
        <x:f>IF(AND(B350&gt;='17_Gia_dinh_mo_hinh'!$F$9+D350,B350&lt;'17_Gia_dinh_mo_hinh'!$F$9+D350+'17_Gia_dinh_mo_hinh'!$G$9),'17_Gia_dinh_mo_hinh'!$L$9*(1-'17_Gia_dinh_mo_hinh'!$M$9)/'17_Gia_dinh_mo_hinh'!$G$9,0)</x:f>
        <x:v>240</x:v>
      </x:c>
      <x:c r="F350" s="62" t="n">
        <x:f>0.70*E350+0.30*E349</x:f>
        <x:v>240</x:v>
      </x:c>
      <x:c r="G350" s="62" t="n">
        <x:f>IF(AND(B350&gt;='17_Gia_dinh_mo_hinh'!$H$9+D350,B350&lt;'17_Gia_dinh_mo_hinh'!$H$9+D350+'17_Gia_dinh_mo_hinh'!$I$9),'17_Gia_dinh_mo_hinh'!$L$9*(1-'17_Gia_dinh_mo_hinh'!$M$9)/'17_Gia_dinh_mo_hinh'!$I$9,0)</x:f>
        <x:v>0</x:v>
      </x:c>
      <x:c r="H350" s="62" t="n">
        <x:f>G350*(1-'17_Gia_dinh_mo_hinh'!$N$9)</x:f>
        <x:v>0</x:v>
      </x:c>
      <x:c r="I350" s="62" t="n">
        <x:f>G350*'17_Gia_dinh_mo_hinh'!$O$9</x:f>
        <x:v>0</x:v>
      </x:c>
      <x:c r="J350" s="62" t="n">
        <x:f>G350*'17_Gia_dinh_mo_hinh'!$P$9</x:f>
        <x:v>0</x:v>
      </x:c>
      <x:c r="K350" s="62" t="n">
        <x:f>IF(B350&lt;='17_Gia_dinh_mo_hinh'!$J$9,'17_Gia_dinh_mo_hinh'!$K$9*(1-MIN(0.95,'17_Gia_dinh_mo_hinh'!$M$9*0.75))/'17_Gia_dinh_mo_hinh'!$J$9,0)</x:f>
        <x:v>83.33333333333333</x:v>
      </x:c>
      <x:c r="L350" s="62" t="n">
        <x:f>S349*'17_Gia_dinh_mo_hinh'!$Q$9/12</x:f>
        <x:v>0.2476424783489233</x:v>
      </x:c>
      <x:c r="M350" s="62" t="n">
        <x:f>G350-H350-I350-J350-L350</x:f>
        <x:v>-0.2476424783489233</x:v>
      </x:c>
      <x:c r="N350" s="62" t="n">
        <x:f>MAX(0,M350*'17_Gia_dinh_mo_hinh'!$S$9)</x:f>
        <x:v>0</x:v>
      </x:c>
      <x:c r="O350" s="62" t="n">
        <x:f>M350-N350</x:f>
        <x:v>-0.2476424783489233</x:v>
      </x:c>
      <x:c r="P350" s="62" t="n">
        <x:f>F350-K350-I350-J350-N350-L350</x:f>
        <x:v>156.41902418831776</x:v>
      </x:c>
      <x:c r="Q350" s="62" t="n">
        <x:f>MIN(MAX(0,-(T349+P350)),MAX(0,'17_Gia_dinh_mo_hinh'!$R$9-S349))</x:f>
        <x:v>0</x:v>
      </x:c>
      <x:c r="R350" s="62" t="n">
        <x:f>MIN(MAX(0,T349+P350+Q350),S349+Q350)</x:f>
        <x:v>31.281155159864</x:v>
      </x:c>
      <x:c r="S350" s="62" t="n">
        <x:f>S349+Q350-R350</x:f>
        <x:v>0</x:v>
      </x:c>
      <x:c r="T350" s="62" t="n">
        <x:f>MAX(0,T349+P350+Q350-R350)</x:f>
        <x:v>125.13786902845376</x:v>
      </x:c>
      <x:c r="U350" s="62" t="n">
        <x:f>MAX(0,-(T349+P350)-MAX(0,'17_Gia_dinh_mo_hinh'!$R$9-S349))</x:f>
        <x:v>0</x:v>
      </x:c>
      <x:c r="V350" s="61" t="str">
        <x:f>IF(B350&lt;'17_Gia_dinh_mo_hinh'!$F$9+D350,"Trước mở bán",IF(B350&lt;'17_Gia_dinh_mo_hinh'!$H$9+D350,"Bán hàng/thi công",IF(G350&gt;0,"Ghi nhận/bàn giao","Hậu bàn giao")))</x:f>
        <x:v>Bán hàng/thi công</x:v>
      </x:c>
    </x:row>
    <x:row r="351">
      <x:c r="A351" s="54" t="str">
        <x:v>DA06</x:v>
      </x:c>
      <x:c r="B351" s="54" t="n">
        <x:v>48</x:v>
      </x:c>
      <x:c r="C351" s="60" t="n">
        <x:f>EDATE('17_Gia_dinh_mo_hinh'!$C$9,B351-1)</x:f>
        <x:v>47665</x:v>
      </x:c>
      <x:c r="D351" s="61" t="n">
        <x:f>ROUNDUP('17_Gia_dinh_mo_hinh'!$E$9/30,0)</x:f>
        <x:v>9</x:v>
      </x:c>
      <x:c r="E351" s="62" t="n">
        <x:f>IF(AND(B351&gt;='17_Gia_dinh_mo_hinh'!$F$9+D351,B351&lt;'17_Gia_dinh_mo_hinh'!$F$9+D351+'17_Gia_dinh_mo_hinh'!$G$9),'17_Gia_dinh_mo_hinh'!$L$9*(1-'17_Gia_dinh_mo_hinh'!$M$9)/'17_Gia_dinh_mo_hinh'!$G$9,0)</x:f>
        <x:v>240</x:v>
      </x:c>
      <x:c r="F351" s="62" t="n">
        <x:f>0.70*E351+0.30*E350</x:f>
        <x:v>240</x:v>
      </x:c>
      <x:c r="G351" s="62" t="n">
        <x:f>IF(AND(B351&gt;='17_Gia_dinh_mo_hinh'!$H$9+D351,B351&lt;'17_Gia_dinh_mo_hinh'!$H$9+D351+'17_Gia_dinh_mo_hinh'!$I$9),'17_Gia_dinh_mo_hinh'!$L$9*(1-'17_Gia_dinh_mo_hinh'!$M$9)/'17_Gia_dinh_mo_hinh'!$I$9,0)</x:f>
        <x:v>0</x:v>
      </x:c>
      <x:c r="H351" s="62" t="n">
        <x:f>G351*(1-'17_Gia_dinh_mo_hinh'!$N$9)</x:f>
        <x:v>0</x:v>
      </x:c>
      <x:c r="I351" s="62" t="n">
        <x:f>G351*'17_Gia_dinh_mo_hinh'!$O$9</x:f>
        <x:v>0</x:v>
      </x:c>
      <x:c r="J351" s="62" t="n">
        <x:f>G351*'17_Gia_dinh_mo_hinh'!$P$9</x:f>
        <x:v>0</x:v>
      </x:c>
      <x:c r="K351" s="62" t="n">
        <x:f>IF(B351&lt;='17_Gia_dinh_mo_hinh'!$J$9,'17_Gia_dinh_mo_hinh'!$K$9*(1-MIN(0.95,'17_Gia_dinh_mo_hinh'!$M$9*0.75))/'17_Gia_dinh_mo_hinh'!$J$9,0)</x:f>
        <x:v>83.33333333333333</x:v>
      </x:c>
      <x:c r="L351" s="62" t="n">
        <x:f>S350*'17_Gia_dinh_mo_hinh'!$Q$9/12</x:f>
        <x:v>0</x:v>
      </x:c>
      <x:c r="M351" s="62" t="n">
        <x:f>G351-H351-I351-J351-L351</x:f>
        <x:v>0</x:v>
      </x:c>
      <x:c r="N351" s="62" t="n">
        <x:f>MAX(0,M351*'17_Gia_dinh_mo_hinh'!$S$9)</x:f>
        <x:v>0</x:v>
      </x:c>
      <x:c r="O351" s="62" t="n">
        <x:f>M351-N351</x:f>
        <x:v>0</x:v>
      </x:c>
      <x:c r="P351" s="62" t="n">
        <x:f>F351-K351-I351-J351-N351-L351</x:f>
        <x:v>156.66666666666669</x:v>
      </x:c>
      <x:c r="Q351" s="62" t="n">
        <x:f>MIN(MAX(0,-(T350+P351)),MAX(0,'17_Gia_dinh_mo_hinh'!$R$9-S350))</x:f>
        <x:v>0</x:v>
      </x:c>
      <x:c r="R351" s="62" t="n">
        <x:f>MIN(MAX(0,T350+P351+Q351),S350+Q351)</x:f>
        <x:v>0</x:v>
      </x:c>
      <x:c r="S351" s="62" t="n">
        <x:f>S350+Q351-R351</x:f>
        <x:v>0</x:v>
      </x:c>
      <x:c r="T351" s="62" t="n">
        <x:f>MAX(0,T350+P351+Q351-R351)</x:f>
        <x:v>281.8045356951204</x:v>
      </x:c>
      <x:c r="U351" s="62" t="n">
        <x:f>MAX(0,-(T350+P351)-MAX(0,'17_Gia_dinh_mo_hinh'!$R$9-S350))</x:f>
        <x:v>0</x:v>
      </x:c>
      <x:c r="V351" s="61" t="str">
        <x:f>IF(B351&lt;'17_Gia_dinh_mo_hinh'!$F$9+D351,"Trước mở bán",IF(B351&lt;'17_Gia_dinh_mo_hinh'!$H$9+D351,"Bán hàng/thi công",IF(G351&gt;0,"Ghi nhận/bàn giao","Hậu bàn giao")))</x:f>
        <x:v>Bán hàng/thi công</x:v>
      </x:c>
    </x:row>
    <x:row r="352">
      <x:c r="A352" s="54" t="str">
        <x:v>DA06</x:v>
      </x:c>
      <x:c r="B352" s="54" t="n">
        <x:v>49</x:v>
      </x:c>
      <x:c r="C352" s="60" t="n">
        <x:f>EDATE('17_Gia_dinh_mo_hinh'!$C$9,B352-1)</x:f>
        <x:v>47696</x:v>
      </x:c>
      <x:c r="D352" s="61" t="n">
        <x:f>ROUNDUP('17_Gia_dinh_mo_hinh'!$E$9/30,0)</x:f>
        <x:v>9</x:v>
      </x:c>
      <x:c r="E352" s="62" t="n">
        <x:f>IF(AND(B352&gt;='17_Gia_dinh_mo_hinh'!$F$9+D352,B352&lt;'17_Gia_dinh_mo_hinh'!$F$9+D352+'17_Gia_dinh_mo_hinh'!$G$9),'17_Gia_dinh_mo_hinh'!$L$9*(1-'17_Gia_dinh_mo_hinh'!$M$9)/'17_Gia_dinh_mo_hinh'!$G$9,0)</x:f>
        <x:v>240</x:v>
      </x:c>
      <x:c r="F352" s="62" t="n">
        <x:f>0.70*E352+0.30*E351</x:f>
        <x:v>240</x:v>
      </x:c>
      <x:c r="G352" s="62" t="n">
        <x:f>IF(AND(B352&gt;='17_Gia_dinh_mo_hinh'!$H$9+D352,B352&lt;'17_Gia_dinh_mo_hinh'!$H$9+D352+'17_Gia_dinh_mo_hinh'!$I$9),'17_Gia_dinh_mo_hinh'!$L$9*(1-'17_Gia_dinh_mo_hinh'!$M$9)/'17_Gia_dinh_mo_hinh'!$I$9,0)</x:f>
        <x:v>0</x:v>
      </x:c>
      <x:c r="H352" s="62" t="n">
        <x:f>G352*(1-'17_Gia_dinh_mo_hinh'!$N$9)</x:f>
        <x:v>0</x:v>
      </x:c>
      <x:c r="I352" s="62" t="n">
        <x:f>G352*'17_Gia_dinh_mo_hinh'!$O$9</x:f>
        <x:v>0</x:v>
      </x:c>
      <x:c r="J352" s="62" t="n">
        <x:f>G352*'17_Gia_dinh_mo_hinh'!$P$9</x:f>
        <x:v>0</x:v>
      </x:c>
      <x:c r="K352" s="62" t="n">
        <x:f>IF(B352&lt;='17_Gia_dinh_mo_hinh'!$J$9,'17_Gia_dinh_mo_hinh'!$K$9*(1-MIN(0.95,'17_Gia_dinh_mo_hinh'!$M$9*0.75))/'17_Gia_dinh_mo_hinh'!$J$9,0)</x:f>
        <x:v>83.33333333333333</x:v>
      </x:c>
      <x:c r="L352" s="62" t="n">
        <x:f>S351*'17_Gia_dinh_mo_hinh'!$Q$9/12</x:f>
        <x:v>0</x:v>
      </x:c>
      <x:c r="M352" s="62" t="n">
        <x:f>G352-H352-I352-J352-L352</x:f>
        <x:v>0</x:v>
      </x:c>
      <x:c r="N352" s="62" t="n">
        <x:f>MAX(0,M352*'17_Gia_dinh_mo_hinh'!$S$9)</x:f>
        <x:v>0</x:v>
      </x:c>
      <x:c r="O352" s="62" t="n">
        <x:f>M352-N352</x:f>
        <x:v>0</x:v>
      </x:c>
      <x:c r="P352" s="62" t="n">
        <x:f>F352-K352-I352-J352-N352-L352</x:f>
        <x:v>156.66666666666669</x:v>
      </x:c>
      <x:c r="Q352" s="62" t="n">
        <x:f>MIN(MAX(0,-(T351+P352)),MAX(0,'17_Gia_dinh_mo_hinh'!$R$9-S351))</x:f>
        <x:v>0</x:v>
      </x:c>
      <x:c r="R352" s="62" t="n">
        <x:f>MIN(MAX(0,T351+P352+Q352),S351+Q352)</x:f>
        <x:v>0</x:v>
      </x:c>
      <x:c r="S352" s="62" t="n">
        <x:f>S351+Q352-R352</x:f>
        <x:v>0</x:v>
      </x:c>
      <x:c r="T352" s="62" t="n">
        <x:f>MAX(0,T351+P352+Q352-R352)</x:f>
        <x:v>438.4712023617871</x:v>
      </x:c>
      <x:c r="U352" s="62" t="n">
        <x:f>MAX(0,-(T351+P352)-MAX(0,'17_Gia_dinh_mo_hinh'!$R$9-S351))</x:f>
        <x:v>0</x:v>
      </x:c>
      <x:c r="V352" s="61" t="str">
        <x:f>IF(B352&lt;'17_Gia_dinh_mo_hinh'!$F$9+D352,"Trước mở bán",IF(B352&lt;'17_Gia_dinh_mo_hinh'!$H$9+D352,"Bán hàng/thi công",IF(G352&gt;0,"Ghi nhận/bàn giao","Hậu bàn giao")))</x:f>
        <x:v>Bán hàng/thi công</x:v>
      </x:c>
    </x:row>
    <x:row r="353">
      <x:c r="A353" s="54" t="str">
        <x:v>DA06</x:v>
      </x:c>
      <x:c r="B353" s="54" t="n">
        <x:v>50</x:v>
      </x:c>
      <x:c r="C353" s="60" t="n">
        <x:f>EDATE('17_Gia_dinh_mo_hinh'!$C$9,B353-1)</x:f>
        <x:v>47727</x:v>
      </x:c>
      <x:c r="D353" s="61" t="n">
        <x:f>ROUNDUP('17_Gia_dinh_mo_hinh'!$E$9/30,0)</x:f>
        <x:v>9</x:v>
      </x:c>
      <x:c r="E353" s="62" t="n">
        <x:f>IF(AND(B353&gt;='17_Gia_dinh_mo_hinh'!$F$9+D353,B353&lt;'17_Gia_dinh_mo_hinh'!$F$9+D353+'17_Gia_dinh_mo_hinh'!$G$9),'17_Gia_dinh_mo_hinh'!$L$9*(1-'17_Gia_dinh_mo_hinh'!$M$9)/'17_Gia_dinh_mo_hinh'!$G$9,0)</x:f>
        <x:v>240</x:v>
      </x:c>
      <x:c r="F353" s="62" t="n">
        <x:f>0.70*E353+0.30*E352</x:f>
        <x:v>240</x:v>
      </x:c>
      <x:c r="G353" s="62" t="n">
        <x:f>IF(AND(B353&gt;='17_Gia_dinh_mo_hinh'!$H$9+D353,B353&lt;'17_Gia_dinh_mo_hinh'!$H$9+D353+'17_Gia_dinh_mo_hinh'!$I$9),'17_Gia_dinh_mo_hinh'!$L$9*(1-'17_Gia_dinh_mo_hinh'!$M$9)/'17_Gia_dinh_mo_hinh'!$I$9,0)</x:f>
        <x:v>0</x:v>
      </x:c>
      <x:c r="H353" s="62" t="n">
        <x:f>G353*(1-'17_Gia_dinh_mo_hinh'!$N$9)</x:f>
        <x:v>0</x:v>
      </x:c>
      <x:c r="I353" s="62" t="n">
        <x:f>G353*'17_Gia_dinh_mo_hinh'!$O$9</x:f>
        <x:v>0</x:v>
      </x:c>
      <x:c r="J353" s="62" t="n">
        <x:f>G353*'17_Gia_dinh_mo_hinh'!$P$9</x:f>
        <x:v>0</x:v>
      </x:c>
      <x:c r="K353" s="62" t="n">
        <x:f>IF(B353&lt;='17_Gia_dinh_mo_hinh'!$J$9,'17_Gia_dinh_mo_hinh'!$K$9*(1-MIN(0.95,'17_Gia_dinh_mo_hinh'!$M$9*0.75))/'17_Gia_dinh_mo_hinh'!$J$9,0)</x:f>
        <x:v>83.33333333333333</x:v>
      </x:c>
      <x:c r="L353" s="62" t="n">
        <x:f>S352*'17_Gia_dinh_mo_hinh'!$Q$9/12</x:f>
        <x:v>0</x:v>
      </x:c>
      <x:c r="M353" s="62" t="n">
        <x:f>G353-H353-I353-J353-L353</x:f>
        <x:v>0</x:v>
      </x:c>
      <x:c r="N353" s="62" t="n">
        <x:f>MAX(0,M353*'17_Gia_dinh_mo_hinh'!$S$9)</x:f>
        <x:v>0</x:v>
      </x:c>
      <x:c r="O353" s="62" t="n">
        <x:f>M353-N353</x:f>
        <x:v>0</x:v>
      </x:c>
      <x:c r="P353" s="62" t="n">
        <x:f>F353-K353-I353-J353-N353-L353</x:f>
        <x:v>156.66666666666669</x:v>
      </x:c>
      <x:c r="Q353" s="62" t="n">
        <x:f>MIN(MAX(0,-(T352+P353)),MAX(0,'17_Gia_dinh_mo_hinh'!$R$9-S352))</x:f>
        <x:v>0</x:v>
      </x:c>
      <x:c r="R353" s="62" t="n">
        <x:f>MIN(MAX(0,T352+P353+Q353),S352+Q353)</x:f>
        <x:v>0</x:v>
      </x:c>
      <x:c r="S353" s="62" t="n">
        <x:f>S352+Q353-R353</x:f>
        <x:v>0</x:v>
      </x:c>
      <x:c r="T353" s="62" t="n">
        <x:f>MAX(0,T352+P353+Q353-R353)</x:f>
        <x:v>595.1378690284538</x:v>
      </x:c>
      <x:c r="U353" s="62" t="n">
        <x:f>MAX(0,-(T352+P353)-MAX(0,'17_Gia_dinh_mo_hinh'!$R$9-S352))</x:f>
        <x:v>0</x:v>
      </x:c>
      <x:c r="V353" s="61" t="str">
        <x:f>IF(B353&lt;'17_Gia_dinh_mo_hinh'!$F$9+D353,"Trước mở bán",IF(B353&lt;'17_Gia_dinh_mo_hinh'!$H$9+D353,"Bán hàng/thi công",IF(G353&gt;0,"Ghi nhận/bàn giao","Hậu bàn giao")))</x:f>
        <x:v>Bán hàng/thi công</x:v>
      </x:c>
    </x:row>
    <x:row r="354">
      <x:c r="A354" s="54" t="str">
        <x:v>DA06</x:v>
      </x:c>
      <x:c r="B354" s="54" t="n">
        <x:v>51</x:v>
      </x:c>
      <x:c r="C354" s="60" t="n">
        <x:f>EDATE('17_Gia_dinh_mo_hinh'!$C$9,B354-1)</x:f>
        <x:v>47757</x:v>
      </x:c>
      <x:c r="D354" s="61" t="n">
        <x:f>ROUNDUP('17_Gia_dinh_mo_hinh'!$E$9/30,0)</x:f>
        <x:v>9</x:v>
      </x:c>
      <x:c r="E354" s="62" t="n">
        <x:f>IF(AND(B354&gt;='17_Gia_dinh_mo_hinh'!$F$9+D354,B354&lt;'17_Gia_dinh_mo_hinh'!$F$9+D354+'17_Gia_dinh_mo_hinh'!$G$9),'17_Gia_dinh_mo_hinh'!$L$9*(1-'17_Gia_dinh_mo_hinh'!$M$9)/'17_Gia_dinh_mo_hinh'!$G$9,0)</x:f>
        <x:v>240</x:v>
      </x:c>
      <x:c r="F354" s="62" t="n">
        <x:f>0.70*E354+0.30*E353</x:f>
        <x:v>240</x:v>
      </x:c>
      <x:c r="G354" s="62" t="n">
        <x:f>IF(AND(B354&gt;='17_Gia_dinh_mo_hinh'!$H$9+D354,B354&lt;'17_Gia_dinh_mo_hinh'!$H$9+D354+'17_Gia_dinh_mo_hinh'!$I$9),'17_Gia_dinh_mo_hinh'!$L$9*(1-'17_Gia_dinh_mo_hinh'!$M$9)/'17_Gia_dinh_mo_hinh'!$I$9,0)</x:f>
        <x:v>0</x:v>
      </x:c>
      <x:c r="H354" s="62" t="n">
        <x:f>G354*(1-'17_Gia_dinh_mo_hinh'!$N$9)</x:f>
        <x:v>0</x:v>
      </x:c>
      <x:c r="I354" s="62" t="n">
        <x:f>G354*'17_Gia_dinh_mo_hinh'!$O$9</x:f>
        <x:v>0</x:v>
      </x:c>
      <x:c r="J354" s="62" t="n">
        <x:f>G354*'17_Gia_dinh_mo_hinh'!$P$9</x:f>
        <x:v>0</x:v>
      </x:c>
      <x:c r="K354" s="62" t="n">
        <x:f>IF(B354&lt;='17_Gia_dinh_mo_hinh'!$J$9,'17_Gia_dinh_mo_hinh'!$K$9*(1-MIN(0.95,'17_Gia_dinh_mo_hinh'!$M$9*0.75))/'17_Gia_dinh_mo_hinh'!$J$9,0)</x:f>
        <x:v>83.33333333333333</x:v>
      </x:c>
      <x:c r="L354" s="62" t="n">
        <x:f>S353*'17_Gia_dinh_mo_hinh'!$Q$9/12</x:f>
        <x:v>0</x:v>
      </x:c>
      <x:c r="M354" s="62" t="n">
        <x:f>G354-H354-I354-J354-L354</x:f>
        <x:v>0</x:v>
      </x:c>
      <x:c r="N354" s="62" t="n">
        <x:f>MAX(0,M354*'17_Gia_dinh_mo_hinh'!$S$9)</x:f>
        <x:v>0</x:v>
      </x:c>
      <x:c r="O354" s="62" t="n">
        <x:f>M354-N354</x:f>
        <x:v>0</x:v>
      </x:c>
      <x:c r="P354" s="62" t="n">
        <x:f>F354-K354-I354-J354-N354-L354</x:f>
        <x:v>156.66666666666669</x:v>
      </x:c>
      <x:c r="Q354" s="62" t="n">
        <x:f>MIN(MAX(0,-(T353+P354)),MAX(0,'17_Gia_dinh_mo_hinh'!$R$9-S353))</x:f>
        <x:v>0</x:v>
      </x:c>
      <x:c r="R354" s="62" t="n">
        <x:f>MIN(MAX(0,T353+P354+Q354),S353+Q354)</x:f>
        <x:v>0</x:v>
      </x:c>
      <x:c r="S354" s="62" t="n">
        <x:f>S353+Q354-R354</x:f>
        <x:v>0</x:v>
      </x:c>
      <x:c r="T354" s="62" t="n">
        <x:f>MAX(0,T353+P354+Q354-R354)</x:f>
        <x:v>751.8045356951204</x:v>
      </x:c>
      <x:c r="U354" s="62" t="n">
        <x:f>MAX(0,-(T353+P354)-MAX(0,'17_Gia_dinh_mo_hinh'!$R$9-S353))</x:f>
        <x:v>0</x:v>
      </x:c>
      <x:c r="V354" s="61" t="str">
        <x:f>IF(B354&lt;'17_Gia_dinh_mo_hinh'!$F$9+D354,"Trước mở bán",IF(B354&lt;'17_Gia_dinh_mo_hinh'!$H$9+D354,"Bán hàng/thi công",IF(G354&gt;0,"Ghi nhận/bàn giao","Hậu bàn giao")))</x:f>
        <x:v>Bán hàng/thi công</x:v>
      </x:c>
    </x:row>
    <x:row r="355">
      <x:c r="A355" s="54" t="str">
        <x:v>DA06</x:v>
      </x:c>
      <x:c r="B355" s="54" t="n">
        <x:v>52</x:v>
      </x:c>
      <x:c r="C355" s="60" t="n">
        <x:f>EDATE('17_Gia_dinh_mo_hinh'!$C$9,B355-1)</x:f>
        <x:v>47788</x:v>
      </x:c>
      <x:c r="D355" s="61" t="n">
        <x:f>ROUNDUP('17_Gia_dinh_mo_hinh'!$E$9/30,0)</x:f>
        <x:v>9</x:v>
      </x:c>
      <x:c r="E355" s="62" t="n">
        <x:f>IF(AND(B355&gt;='17_Gia_dinh_mo_hinh'!$F$9+D355,B355&lt;'17_Gia_dinh_mo_hinh'!$F$9+D355+'17_Gia_dinh_mo_hinh'!$G$9),'17_Gia_dinh_mo_hinh'!$L$9*(1-'17_Gia_dinh_mo_hinh'!$M$9)/'17_Gia_dinh_mo_hinh'!$G$9,0)</x:f>
        <x:v>240</x:v>
      </x:c>
      <x:c r="F355" s="62" t="n">
        <x:f>0.70*E355+0.30*E354</x:f>
        <x:v>240</x:v>
      </x:c>
      <x:c r="G355" s="62" t="n">
        <x:f>IF(AND(B355&gt;='17_Gia_dinh_mo_hinh'!$H$9+D355,B355&lt;'17_Gia_dinh_mo_hinh'!$H$9+D355+'17_Gia_dinh_mo_hinh'!$I$9),'17_Gia_dinh_mo_hinh'!$L$9*(1-'17_Gia_dinh_mo_hinh'!$M$9)/'17_Gia_dinh_mo_hinh'!$I$9,0)</x:f>
        <x:v>0</x:v>
      </x:c>
      <x:c r="H355" s="62" t="n">
        <x:f>G355*(1-'17_Gia_dinh_mo_hinh'!$N$9)</x:f>
        <x:v>0</x:v>
      </x:c>
      <x:c r="I355" s="62" t="n">
        <x:f>G355*'17_Gia_dinh_mo_hinh'!$O$9</x:f>
        <x:v>0</x:v>
      </x:c>
      <x:c r="J355" s="62" t="n">
        <x:f>G355*'17_Gia_dinh_mo_hinh'!$P$9</x:f>
        <x:v>0</x:v>
      </x:c>
      <x:c r="K355" s="62" t="n">
        <x:f>IF(B355&lt;='17_Gia_dinh_mo_hinh'!$J$9,'17_Gia_dinh_mo_hinh'!$K$9*(1-MIN(0.95,'17_Gia_dinh_mo_hinh'!$M$9*0.75))/'17_Gia_dinh_mo_hinh'!$J$9,0)</x:f>
        <x:v>83.33333333333333</x:v>
      </x:c>
      <x:c r="L355" s="62" t="n">
        <x:f>S354*'17_Gia_dinh_mo_hinh'!$Q$9/12</x:f>
        <x:v>0</x:v>
      </x:c>
      <x:c r="M355" s="62" t="n">
        <x:f>G355-H355-I355-J355-L355</x:f>
        <x:v>0</x:v>
      </x:c>
      <x:c r="N355" s="62" t="n">
        <x:f>MAX(0,M355*'17_Gia_dinh_mo_hinh'!$S$9)</x:f>
        <x:v>0</x:v>
      </x:c>
      <x:c r="O355" s="62" t="n">
        <x:f>M355-N355</x:f>
        <x:v>0</x:v>
      </x:c>
      <x:c r="P355" s="62" t="n">
        <x:f>F355-K355-I355-J355-N355-L355</x:f>
        <x:v>156.66666666666669</x:v>
      </x:c>
      <x:c r="Q355" s="62" t="n">
        <x:f>MIN(MAX(0,-(T354+P355)),MAX(0,'17_Gia_dinh_mo_hinh'!$R$9-S354))</x:f>
        <x:v>0</x:v>
      </x:c>
      <x:c r="R355" s="62" t="n">
        <x:f>MIN(MAX(0,T354+P355+Q355),S354+Q355)</x:f>
        <x:v>0</x:v>
      </x:c>
      <x:c r="S355" s="62" t="n">
        <x:f>S354+Q355-R355</x:f>
        <x:v>0</x:v>
      </x:c>
      <x:c r="T355" s="62" t="n">
        <x:f>MAX(0,T354+P355+Q355-R355)</x:f>
        <x:v>908.4712023617872</x:v>
      </x:c>
      <x:c r="U355" s="62" t="n">
        <x:f>MAX(0,-(T354+P355)-MAX(0,'17_Gia_dinh_mo_hinh'!$R$9-S354))</x:f>
        <x:v>0</x:v>
      </x:c>
      <x:c r="V355" s="61" t="str">
        <x:f>IF(B355&lt;'17_Gia_dinh_mo_hinh'!$F$9+D355,"Trước mở bán",IF(B355&lt;'17_Gia_dinh_mo_hinh'!$H$9+D355,"Bán hàng/thi công",IF(G355&gt;0,"Ghi nhận/bàn giao","Hậu bàn giao")))</x:f>
        <x:v>Bán hàng/thi công</x:v>
      </x:c>
    </x:row>
    <x:row r="356">
      <x:c r="A356" s="54" t="str">
        <x:v>DA06</x:v>
      </x:c>
      <x:c r="B356" s="54" t="n">
        <x:v>53</x:v>
      </x:c>
      <x:c r="C356" s="60" t="n">
        <x:f>EDATE('17_Gia_dinh_mo_hinh'!$C$9,B356-1)</x:f>
        <x:v>47818</x:v>
      </x:c>
      <x:c r="D356" s="61" t="n">
        <x:f>ROUNDUP('17_Gia_dinh_mo_hinh'!$E$9/30,0)</x:f>
        <x:v>9</x:v>
      </x:c>
      <x:c r="E356" s="62" t="n">
        <x:f>IF(AND(B356&gt;='17_Gia_dinh_mo_hinh'!$F$9+D356,B356&lt;'17_Gia_dinh_mo_hinh'!$F$9+D356+'17_Gia_dinh_mo_hinh'!$G$9),'17_Gia_dinh_mo_hinh'!$L$9*(1-'17_Gia_dinh_mo_hinh'!$M$9)/'17_Gia_dinh_mo_hinh'!$G$9,0)</x:f>
        <x:v>240</x:v>
      </x:c>
      <x:c r="F356" s="62" t="n">
        <x:f>0.70*E356+0.30*E355</x:f>
        <x:v>240</x:v>
      </x:c>
      <x:c r="G356" s="62" t="n">
        <x:f>IF(AND(B356&gt;='17_Gia_dinh_mo_hinh'!$H$9+D356,B356&lt;'17_Gia_dinh_mo_hinh'!$H$9+D356+'17_Gia_dinh_mo_hinh'!$I$9),'17_Gia_dinh_mo_hinh'!$L$9*(1-'17_Gia_dinh_mo_hinh'!$M$9)/'17_Gia_dinh_mo_hinh'!$I$9,0)</x:f>
        <x:v>450</x:v>
      </x:c>
      <x:c r="H356" s="62" t="n">
        <x:f>G356*(1-'17_Gia_dinh_mo_hinh'!$N$9)</x:f>
        <x:v>301.49999999999994</x:v>
      </x:c>
      <x:c r="I356" s="62" t="n">
        <x:f>G356*'17_Gia_dinh_mo_hinh'!$O$9</x:f>
        <x:v>15.750000000000002</x:v>
      </x:c>
      <x:c r="J356" s="62" t="n">
        <x:f>G356*'17_Gia_dinh_mo_hinh'!$P$9</x:f>
        <x:v>9</x:v>
      </x:c>
      <x:c r="K356" s="62" t="n">
        <x:f>IF(B356&lt;='17_Gia_dinh_mo_hinh'!$J$9,'17_Gia_dinh_mo_hinh'!$K$9*(1-MIN(0.95,'17_Gia_dinh_mo_hinh'!$M$9*0.75))/'17_Gia_dinh_mo_hinh'!$J$9,0)</x:f>
        <x:v>83.33333333333333</x:v>
      </x:c>
      <x:c r="L356" s="62" t="n">
        <x:f>S355*'17_Gia_dinh_mo_hinh'!$Q$9/12</x:f>
        <x:v>0</x:v>
      </x:c>
      <x:c r="M356" s="62" t="n">
        <x:f>G356-H356-I356-J356-L356</x:f>
        <x:v>123.75000000000006</x:v>
      </x:c>
      <x:c r="N356" s="62" t="n">
        <x:f>MAX(0,M356*'17_Gia_dinh_mo_hinh'!$S$9)</x:f>
        <x:v>24.750000000000014</x:v>
      </x:c>
      <x:c r="O356" s="62" t="n">
        <x:f>M356-N356</x:f>
        <x:v>99.00000000000004</x:v>
      </x:c>
      <x:c r="P356" s="62" t="n">
        <x:f>F356-K356-I356-J356-N356-L356</x:f>
        <x:v>107.16666666666667</x:v>
      </x:c>
      <x:c r="Q356" s="62" t="n">
        <x:f>MIN(MAX(0,-(T355+P356)),MAX(0,'17_Gia_dinh_mo_hinh'!$R$9-S355))</x:f>
        <x:v>0</x:v>
      </x:c>
      <x:c r="R356" s="62" t="n">
        <x:f>MIN(MAX(0,T355+P356+Q356),S355+Q356)</x:f>
        <x:v>0</x:v>
      </x:c>
      <x:c r="S356" s="62" t="n">
        <x:f>S355+Q356-R356</x:f>
        <x:v>0</x:v>
      </x:c>
      <x:c r="T356" s="62" t="n">
        <x:f>MAX(0,T355+P356+Q356-R356)</x:f>
        <x:v>1015.6378690284538</x:v>
      </x:c>
      <x:c r="U356" s="62" t="n">
        <x:f>MAX(0,-(T355+P356)-MAX(0,'17_Gia_dinh_mo_hinh'!$R$9-S355))</x:f>
        <x:v>0</x:v>
      </x:c>
      <x:c r="V356" s="61" t="str">
        <x:f>IF(B356&lt;'17_Gia_dinh_mo_hinh'!$F$9+D356,"Trước mở bán",IF(B356&lt;'17_Gia_dinh_mo_hinh'!$H$9+D356,"Bán hàng/thi công",IF(G356&gt;0,"Ghi nhận/bàn giao","Hậu bàn giao")))</x:f>
        <x:v>Ghi nhận/bàn giao</x:v>
      </x:c>
    </x:row>
    <x:row r="357">
      <x:c r="A357" s="54" t="str">
        <x:v>DA06</x:v>
      </x:c>
      <x:c r="B357" s="54" t="n">
        <x:v>54</x:v>
      </x:c>
      <x:c r="C357" s="60" t="n">
        <x:f>EDATE('17_Gia_dinh_mo_hinh'!$C$9,B357-1)</x:f>
        <x:v>47849</x:v>
      </x:c>
      <x:c r="D357" s="61" t="n">
        <x:f>ROUNDUP('17_Gia_dinh_mo_hinh'!$E$9/30,0)</x:f>
        <x:v>9</x:v>
      </x:c>
      <x:c r="E357" s="62" t="n">
        <x:f>IF(AND(B357&gt;='17_Gia_dinh_mo_hinh'!$F$9+D357,B357&lt;'17_Gia_dinh_mo_hinh'!$F$9+D357+'17_Gia_dinh_mo_hinh'!$G$9),'17_Gia_dinh_mo_hinh'!$L$9*(1-'17_Gia_dinh_mo_hinh'!$M$9)/'17_Gia_dinh_mo_hinh'!$G$9,0)</x:f>
        <x:v>240</x:v>
      </x:c>
      <x:c r="F357" s="62" t="n">
        <x:f>0.70*E357+0.30*E356</x:f>
        <x:v>240</x:v>
      </x:c>
      <x:c r="G357" s="62" t="n">
        <x:f>IF(AND(B357&gt;='17_Gia_dinh_mo_hinh'!$H$9+D357,B357&lt;'17_Gia_dinh_mo_hinh'!$H$9+D357+'17_Gia_dinh_mo_hinh'!$I$9),'17_Gia_dinh_mo_hinh'!$L$9*(1-'17_Gia_dinh_mo_hinh'!$M$9)/'17_Gia_dinh_mo_hinh'!$I$9,0)</x:f>
        <x:v>450</x:v>
      </x:c>
      <x:c r="H357" s="62" t="n">
        <x:f>G357*(1-'17_Gia_dinh_mo_hinh'!$N$9)</x:f>
        <x:v>301.49999999999994</x:v>
      </x:c>
      <x:c r="I357" s="62" t="n">
        <x:f>G357*'17_Gia_dinh_mo_hinh'!$O$9</x:f>
        <x:v>15.750000000000002</x:v>
      </x:c>
      <x:c r="J357" s="62" t="n">
        <x:f>G357*'17_Gia_dinh_mo_hinh'!$P$9</x:f>
        <x:v>9</x:v>
      </x:c>
      <x:c r="K357" s="62" t="n">
        <x:f>IF(B357&lt;='17_Gia_dinh_mo_hinh'!$J$9,'17_Gia_dinh_mo_hinh'!$K$9*(1-MIN(0.95,'17_Gia_dinh_mo_hinh'!$M$9*0.75))/'17_Gia_dinh_mo_hinh'!$J$9,0)</x:f>
        <x:v>83.33333333333333</x:v>
      </x:c>
      <x:c r="L357" s="62" t="n">
        <x:f>S356*'17_Gia_dinh_mo_hinh'!$Q$9/12</x:f>
        <x:v>0</x:v>
      </x:c>
      <x:c r="M357" s="62" t="n">
        <x:f>G357-H357-I357-J357-L357</x:f>
        <x:v>123.75000000000006</x:v>
      </x:c>
      <x:c r="N357" s="62" t="n">
        <x:f>MAX(0,M357*'17_Gia_dinh_mo_hinh'!$S$9)</x:f>
        <x:v>24.750000000000014</x:v>
      </x:c>
      <x:c r="O357" s="62" t="n">
        <x:f>M357-N357</x:f>
        <x:v>99.00000000000004</x:v>
      </x:c>
      <x:c r="P357" s="62" t="n">
        <x:f>F357-K357-I357-J357-N357-L357</x:f>
        <x:v>107.16666666666667</x:v>
      </x:c>
      <x:c r="Q357" s="62" t="n">
        <x:f>MIN(MAX(0,-(T356+P357)),MAX(0,'17_Gia_dinh_mo_hinh'!$R$9-S356))</x:f>
        <x:v>0</x:v>
      </x:c>
      <x:c r="R357" s="62" t="n">
        <x:f>MIN(MAX(0,T356+P357+Q357),S356+Q357)</x:f>
        <x:v>0</x:v>
      </x:c>
      <x:c r="S357" s="62" t="n">
        <x:f>S356+Q357-R357</x:f>
        <x:v>0</x:v>
      </x:c>
      <x:c r="T357" s="62" t="n">
        <x:f>MAX(0,T356+P357+Q357-R357)</x:f>
        <x:v>1122.8045356951204</x:v>
      </x:c>
      <x:c r="U357" s="62" t="n">
        <x:f>MAX(0,-(T356+P357)-MAX(0,'17_Gia_dinh_mo_hinh'!$R$9-S356))</x:f>
        <x:v>0</x:v>
      </x:c>
      <x:c r="V357" s="61" t="str">
        <x:f>IF(B357&lt;'17_Gia_dinh_mo_hinh'!$F$9+D357,"Trước mở bán",IF(B357&lt;'17_Gia_dinh_mo_hinh'!$H$9+D357,"Bán hàng/thi công",IF(G357&gt;0,"Ghi nhận/bàn giao","Hậu bàn giao")))</x:f>
        <x:v>Ghi nhận/bàn giao</x:v>
      </x:c>
    </x:row>
    <x:row r="358">
      <x:c r="A358" s="54" t="str">
        <x:v>DA06</x:v>
      </x:c>
      <x:c r="B358" s="54" t="n">
        <x:v>55</x:v>
      </x:c>
      <x:c r="C358" s="60" t="n">
        <x:f>EDATE('17_Gia_dinh_mo_hinh'!$C$9,B358-1)</x:f>
        <x:v>47880</x:v>
      </x:c>
      <x:c r="D358" s="61" t="n">
        <x:f>ROUNDUP('17_Gia_dinh_mo_hinh'!$E$9/30,0)</x:f>
        <x:v>9</x:v>
      </x:c>
      <x:c r="E358" s="62" t="n">
        <x:f>IF(AND(B358&gt;='17_Gia_dinh_mo_hinh'!$F$9+D358,B358&lt;'17_Gia_dinh_mo_hinh'!$F$9+D358+'17_Gia_dinh_mo_hinh'!$G$9),'17_Gia_dinh_mo_hinh'!$L$9*(1-'17_Gia_dinh_mo_hinh'!$M$9)/'17_Gia_dinh_mo_hinh'!$G$9,0)</x:f>
        <x:v>240</x:v>
      </x:c>
      <x:c r="F358" s="62" t="n">
        <x:f>0.70*E358+0.30*E357</x:f>
        <x:v>240</x:v>
      </x:c>
      <x:c r="G358" s="62" t="n">
        <x:f>IF(AND(B358&gt;='17_Gia_dinh_mo_hinh'!$H$9+D358,B358&lt;'17_Gia_dinh_mo_hinh'!$H$9+D358+'17_Gia_dinh_mo_hinh'!$I$9),'17_Gia_dinh_mo_hinh'!$L$9*(1-'17_Gia_dinh_mo_hinh'!$M$9)/'17_Gia_dinh_mo_hinh'!$I$9,0)</x:f>
        <x:v>450</x:v>
      </x:c>
      <x:c r="H358" s="62" t="n">
        <x:f>G358*(1-'17_Gia_dinh_mo_hinh'!$N$9)</x:f>
        <x:v>301.49999999999994</x:v>
      </x:c>
      <x:c r="I358" s="62" t="n">
        <x:f>G358*'17_Gia_dinh_mo_hinh'!$O$9</x:f>
        <x:v>15.750000000000002</x:v>
      </x:c>
      <x:c r="J358" s="62" t="n">
        <x:f>G358*'17_Gia_dinh_mo_hinh'!$P$9</x:f>
        <x:v>9</x:v>
      </x:c>
      <x:c r="K358" s="62" t="n">
        <x:f>IF(B358&lt;='17_Gia_dinh_mo_hinh'!$J$9,'17_Gia_dinh_mo_hinh'!$K$9*(1-MIN(0.95,'17_Gia_dinh_mo_hinh'!$M$9*0.75))/'17_Gia_dinh_mo_hinh'!$J$9,0)</x:f>
        <x:v>0</x:v>
      </x:c>
      <x:c r="L358" s="62" t="n">
        <x:f>S357*'17_Gia_dinh_mo_hinh'!$Q$9/12</x:f>
        <x:v>0</x:v>
      </x:c>
      <x:c r="M358" s="62" t="n">
        <x:f>G358-H358-I358-J358-L358</x:f>
        <x:v>123.75000000000006</x:v>
      </x:c>
      <x:c r="N358" s="62" t="n">
        <x:f>MAX(0,M358*'17_Gia_dinh_mo_hinh'!$S$9)</x:f>
        <x:v>24.750000000000014</x:v>
      </x:c>
      <x:c r="O358" s="62" t="n">
        <x:f>M358-N358</x:f>
        <x:v>99.00000000000004</x:v>
      </x:c>
      <x:c r="P358" s="62" t="n">
        <x:f>F358-K358-I358-J358-N358-L358</x:f>
        <x:v>190.5</x:v>
      </x:c>
      <x:c r="Q358" s="62" t="n">
        <x:f>MIN(MAX(0,-(T357+P358)),MAX(0,'17_Gia_dinh_mo_hinh'!$R$9-S357))</x:f>
        <x:v>0</x:v>
      </x:c>
      <x:c r="R358" s="62" t="n">
        <x:f>MIN(MAX(0,T357+P358+Q358),S357+Q358)</x:f>
        <x:v>0</x:v>
      </x:c>
      <x:c r="S358" s="62" t="n">
        <x:f>S357+Q358-R358</x:f>
        <x:v>0</x:v>
      </x:c>
      <x:c r="T358" s="62" t="n">
        <x:f>MAX(0,T357+P358+Q358-R358)</x:f>
        <x:v>1313.3045356951204</x:v>
      </x:c>
      <x:c r="U358" s="62" t="n">
        <x:f>MAX(0,-(T357+P358)-MAX(0,'17_Gia_dinh_mo_hinh'!$R$9-S357))</x:f>
        <x:v>0</x:v>
      </x:c>
      <x:c r="V358" s="61" t="str">
        <x:f>IF(B358&lt;'17_Gia_dinh_mo_hinh'!$F$9+D358,"Trước mở bán",IF(B358&lt;'17_Gia_dinh_mo_hinh'!$H$9+D358,"Bán hàng/thi công",IF(G358&gt;0,"Ghi nhận/bàn giao","Hậu bàn giao")))</x:f>
        <x:v>Ghi nhận/bàn giao</x:v>
      </x:c>
    </x:row>
    <x:row r="359">
      <x:c r="A359" s="54" t="str">
        <x:v>DA06</x:v>
      </x:c>
      <x:c r="B359" s="54" t="n">
        <x:v>56</x:v>
      </x:c>
      <x:c r="C359" s="60" t="n">
        <x:f>EDATE('17_Gia_dinh_mo_hinh'!$C$9,B359-1)</x:f>
        <x:v>47908</x:v>
      </x:c>
      <x:c r="D359" s="61" t="n">
        <x:f>ROUNDUP('17_Gia_dinh_mo_hinh'!$E$9/30,0)</x:f>
        <x:v>9</x:v>
      </x:c>
      <x:c r="E359" s="62" t="n">
        <x:f>IF(AND(B359&gt;='17_Gia_dinh_mo_hinh'!$F$9+D359,B359&lt;'17_Gia_dinh_mo_hinh'!$F$9+D359+'17_Gia_dinh_mo_hinh'!$G$9),'17_Gia_dinh_mo_hinh'!$L$9*(1-'17_Gia_dinh_mo_hinh'!$M$9)/'17_Gia_dinh_mo_hinh'!$G$9,0)</x:f>
        <x:v>240</x:v>
      </x:c>
      <x:c r="F359" s="62" t="n">
        <x:f>0.70*E359+0.30*E358</x:f>
        <x:v>240</x:v>
      </x:c>
      <x:c r="G359" s="62" t="n">
        <x:f>IF(AND(B359&gt;='17_Gia_dinh_mo_hinh'!$H$9+D359,B359&lt;'17_Gia_dinh_mo_hinh'!$H$9+D359+'17_Gia_dinh_mo_hinh'!$I$9),'17_Gia_dinh_mo_hinh'!$L$9*(1-'17_Gia_dinh_mo_hinh'!$M$9)/'17_Gia_dinh_mo_hinh'!$I$9,0)</x:f>
        <x:v>450</x:v>
      </x:c>
      <x:c r="H359" s="62" t="n">
        <x:f>G359*(1-'17_Gia_dinh_mo_hinh'!$N$9)</x:f>
        <x:v>301.49999999999994</x:v>
      </x:c>
      <x:c r="I359" s="62" t="n">
        <x:f>G359*'17_Gia_dinh_mo_hinh'!$O$9</x:f>
        <x:v>15.750000000000002</x:v>
      </x:c>
      <x:c r="J359" s="62" t="n">
        <x:f>G359*'17_Gia_dinh_mo_hinh'!$P$9</x:f>
        <x:v>9</x:v>
      </x:c>
      <x:c r="K359" s="62" t="n">
        <x:f>IF(B359&lt;='17_Gia_dinh_mo_hinh'!$J$9,'17_Gia_dinh_mo_hinh'!$K$9*(1-MIN(0.95,'17_Gia_dinh_mo_hinh'!$M$9*0.75))/'17_Gia_dinh_mo_hinh'!$J$9,0)</x:f>
        <x:v>0</x:v>
      </x:c>
      <x:c r="L359" s="62" t="n">
        <x:f>S358*'17_Gia_dinh_mo_hinh'!$Q$9/12</x:f>
        <x:v>0</x:v>
      </x:c>
      <x:c r="M359" s="62" t="n">
        <x:f>G359-H359-I359-J359-L359</x:f>
        <x:v>123.75000000000006</x:v>
      </x:c>
      <x:c r="N359" s="62" t="n">
        <x:f>MAX(0,M359*'17_Gia_dinh_mo_hinh'!$S$9)</x:f>
        <x:v>24.750000000000014</x:v>
      </x:c>
      <x:c r="O359" s="62" t="n">
        <x:f>M359-N359</x:f>
        <x:v>99.00000000000004</x:v>
      </x:c>
      <x:c r="P359" s="62" t="n">
        <x:f>F359-K359-I359-J359-N359-L359</x:f>
        <x:v>190.5</x:v>
      </x:c>
      <x:c r="Q359" s="62" t="n">
        <x:f>MIN(MAX(0,-(T358+P359)),MAX(0,'17_Gia_dinh_mo_hinh'!$R$9-S358))</x:f>
        <x:v>0</x:v>
      </x:c>
      <x:c r="R359" s="62" t="n">
        <x:f>MIN(MAX(0,T358+P359+Q359),S358+Q359)</x:f>
        <x:v>0</x:v>
      </x:c>
      <x:c r="S359" s="62" t="n">
        <x:f>S358+Q359-R359</x:f>
        <x:v>0</x:v>
      </x:c>
      <x:c r="T359" s="62" t="n">
        <x:f>MAX(0,T358+P359+Q359-R359)</x:f>
        <x:v>1503.8045356951204</x:v>
      </x:c>
      <x:c r="U359" s="62" t="n">
        <x:f>MAX(0,-(T358+P359)-MAX(0,'17_Gia_dinh_mo_hinh'!$R$9-S358))</x:f>
        <x:v>0</x:v>
      </x:c>
      <x:c r="V359" s="61" t="str">
        <x:f>IF(B359&lt;'17_Gia_dinh_mo_hinh'!$F$9+D359,"Trước mở bán",IF(B359&lt;'17_Gia_dinh_mo_hinh'!$H$9+D359,"Bán hàng/thi công",IF(G359&gt;0,"Ghi nhận/bàn giao","Hậu bàn giao")))</x:f>
        <x:v>Ghi nhận/bàn giao</x:v>
      </x:c>
    </x:row>
    <x:row r="360">
      <x:c r="A360" s="54" t="str">
        <x:v>DA06</x:v>
      </x:c>
      <x:c r="B360" s="54" t="n">
        <x:v>57</x:v>
      </x:c>
      <x:c r="C360" s="60" t="n">
        <x:f>EDATE('17_Gia_dinh_mo_hinh'!$C$9,B360-1)</x:f>
        <x:v>47939</x:v>
      </x:c>
      <x:c r="D360" s="61" t="n">
        <x:f>ROUNDUP('17_Gia_dinh_mo_hinh'!$E$9/30,0)</x:f>
        <x:v>9</x:v>
      </x:c>
      <x:c r="E360" s="62" t="n">
        <x:f>IF(AND(B360&gt;='17_Gia_dinh_mo_hinh'!$F$9+D360,B360&lt;'17_Gia_dinh_mo_hinh'!$F$9+D360+'17_Gia_dinh_mo_hinh'!$G$9),'17_Gia_dinh_mo_hinh'!$L$9*(1-'17_Gia_dinh_mo_hinh'!$M$9)/'17_Gia_dinh_mo_hinh'!$G$9,0)</x:f>
        <x:v>240</x:v>
      </x:c>
      <x:c r="F360" s="62" t="n">
        <x:f>0.70*E360+0.30*E359</x:f>
        <x:v>240</x:v>
      </x:c>
      <x:c r="G360" s="62" t="n">
        <x:f>IF(AND(B360&gt;='17_Gia_dinh_mo_hinh'!$H$9+D360,B360&lt;'17_Gia_dinh_mo_hinh'!$H$9+D360+'17_Gia_dinh_mo_hinh'!$I$9),'17_Gia_dinh_mo_hinh'!$L$9*(1-'17_Gia_dinh_mo_hinh'!$M$9)/'17_Gia_dinh_mo_hinh'!$I$9,0)</x:f>
        <x:v>450</x:v>
      </x:c>
      <x:c r="H360" s="62" t="n">
        <x:f>G360*(1-'17_Gia_dinh_mo_hinh'!$N$9)</x:f>
        <x:v>301.49999999999994</x:v>
      </x:c>
      <x:c r="I360" s="62" t="n">
        <x:f>G360*'17_Gia_dinh_mo_hinh'!$O$9</x:f>
        <x:v>15.750000000000002</x:v>
      </x:c>
      <x:c r="J360" s="62" t="n">
        <x:f>G360*'17_Gia_dinh_mo_hinh'!$P$9</x:f>
        <x:v>9</x:v>
      </x:c>
      <x:c r="K360" s="62" t="n">
        <x:f>IF(B360&lt;='17_Gia_dinh_mo_hinh'!$J$9,'17_Gia_dinh_mo_hinh'!$K$9*(1-MIN(0.95,'17_Gia_dinh_mo_hinh'!$M$9*0.75))/'17_Gia_dinh_mo_hinh'!$J$9,0)</x:f>
        <x:v>0</x:v>
      </x:c>
      <x:c r="L360" s="62" t="n">
        <x:f>S359*'17_Gia_dinh_mo_hinh'!$Q$9/12</x:f>
        <x:v>0</x:v>
      </x:c>
      <x:c r="M360" s="62" t="n">
        <x:f>G360-H360-I360-J360-L360</x:f>
        <x:v>123.75000000000006</x:v>
      </x:c>
      <x:c r="N360" s="62" t="n">
        <x:f>MAX(0,M360*'17_Gia_dinh_mo_hinh'!$S$9)</x:f>
        <x:v>24.750000000000014</x:v>
      </x:c>
      <x:c r="O360" s="62" t="n">
        <x:f>M360-N360</x:f>
        <x:v>99.00000000000004</x:v>
      </x:c>
      <x:c r="P360" s="62" t="n">
        <x:f>F360-K360-I360-J360-N360-L360</x:f>
        <x:v>190.5</x:v>
      </x:c>
      <x:c r="Q360" s="62" t="n">
        <x:f>MIN(MAX(0,-(T359+P360)),MAX(0,'17_Gia_dinh_mo_hinh'!$R$9-S359))</x:f>
        <x:v>0</x:v>
      </x:c>
      <x:c r="R360" s="62" t="n">
        <x:f>MIN(MAX(0,T359+P360+Q360),S359+Q360)</x:f>
        <x:v>0</x:v>
      </x:c>
      <x:c r="S360" s="62" t="n">
        <x:f>S359+Q360-R360</x:f>
        <x:v>0</x:v>
      </x:c>
      <x:c r="T360" s="62" t="n">
        <x:f>MAX(0,T359+P360+Q360-R360)</x:f>
        <x:v>1694.3045356951204</x:v>
      </x:c>
      <x:c r="U360" s="62" t="n">
        <x:f>MAX(0,-(T359+P360)-MAX(0,'17_Gia_dinh_mo_hinh'!$R$9-S359))</x:f>
        <x:v>0</x:v>
      </x:c>
      <x:c r="V360" s="61" t="str">
        <x:f>IF(B360&lt;'17_Gia_dinh_mo_hinh'!$F$9+D360,"Trước mở bán",IF(B360&lt;'17_Gia_dinh_mo_hinh'!$H$9+D360,"Bán hàng/thi công",IF(G360&gt;0,"Ghi nhận/bàn giao","Hậu bàn giao")))</x:f>
        <x:v>Ghi nhận/bàn giao</x:v>
      </x:c>
    </x:row>
    <x:row r="361">
      <x:c r="A361" s="54" t="str">
        <x:v>DA06</x:v>
      </x:c>
      <x:c r="B361" s="54" t="n">
        <x:v>58</x:v>
      </x:c>
      <x:c r="C361" s="60" t="n">
        <x:f>EDATE('17_Gia_dinh_mo_hinh'!$C$9,B361-1)</x:f>
        <x:v>47969</x:v>
      </x:c>
      <x:c r="D361" s="61" t="n">
        <x:f>ROUNDUP('17_Gia_dinh_mo_hinh'!$E$9/30,0)</x:f>
        <x:v>9</x:v>
      </x:c>
      <x:c r="E361" s="62" t="n">
        <x:f>IF(AND(B361&gt;='17_Gia_dinh_mo_hinh'!$F$9+D361,B361&lt;'17_Gia_dinh_mo_hinh'!$F$9+D361+'17_Gia_dinh_mo_hinh'!$G$9),'17_Gia_dinh_mo_hinh'!$L$9*(1-'17_Gia_dinh_mo_hinh'!$M$9)/'17_Gia_dinh_mo_hinh'!$G$9,0)</x:f>
        <x:v>240</x:v>
      </x:c>
      <x:c r="F361" s="62" t="n">
        <x:f>0.70*E361+0.30*E360</x:f>
        <x:v>240</x:v>
      </x:c>
      <x:c r="G361" s="62" t="n">
        <x:f>IF(AND(B361&gt;='17_Gia_dinh_mo_hinh'!$H$9+D361,B361&lt;'17_Gia_dinh_mo_hinh'!$H$9+D361+'17_Gia_dinh_mo_hinh'!$I$9),'17_Gia_dinh_mo_hinh'!$L$9*(1-'17_Gia_dinh_mo_hinh'!$M$9)/'17_Gia_dinh_mo_hinh'!$I$9,0)</x:f>
        <x:v>450</x:v>
      </x:c>
      <x:c r="H361" s="62" t="n">
        <x:f>G361*(1-'17_Gia_dinh_mo_hinh'!$N$9)</x:f>
        <x:v>301.49999999999994</x:v>
      </x:c>
      <x:c r="I361" s="62" t="n">
        <x:f>G361*'17_Gia_dinh_mo_hinh'!$O$9</x:f>
        <x:v>15.750000000000002</x:v>
      </x:c>
      <x:c r="J361" s="62" t="n">
        <x:f>G361*'17_Gia_dinh_mo_hinh'!$P$9</x:f>
        <x:v>9</x:v>
      </x:c>
      <x:c r="K361" s="62" t="n">
        <x:f>IF(B361&lt;='17_Gia_dinh_mo_hinh'!$J$9,'17_Gia_dinh_mo_hinh'!$K$9*(1-MIN(0.95,'17_Gia_dinh_mo_hinh'!$M$9*0.75))/'17_Gia_dinh_mo_hinh'!$J$9,0)</x:f>
        <x:v>0</x:v>
      </x:c>
      <x:c r="L361" s="62" t="n">
        <x:f>S360*'17_Gia_dinh_mo_hinh'!$Q$9/12</x:f>
        <x:v>0</x:v>
      </x:c>
      <x:c r="M361" s="62" t="n">
        <x:f>G361-H361-I361-J361-L361</x:f>
        <x:v>123.75000000000006</x:v>
      </x:c>
      <x:c r="N361" s="62" t="n">
        <x:f>MAX(0,M361*'17_Gia_dinh_mo_hinh'!$S$9)</x:f>
        <x:v>24.750000000000014</x:v>
      </x:c>
      <x:c r="O361" s="62" t="n">
        <x:f>M361-N361</x:f>
        <x:v>99.00000000000004</x:v>
      </x:c>
      <x:c r="P361" s="62" t="n">
        <x:f>F361-K361-I361-J361-N361-L361</x:f>
        <x:v>190.5</x:v>
      </x:c>
      <x:c r="Q361" s="62" t="n">
        <x:f>MIN(MAX(0,-(T360+P361)),MAX(0,'17_Gia_dinh_mo_hinh'!$R$9-S360))</x:f>
        <x:v>0</x:v>
      </x:c>
      <x:c r="R361" s="62" t="n">
        <x:f>MIN(MAX(0,T360+P361+Q361),S360+Q361)</x:f>
        <x:v>0</x:v>
      </x:c>
      <x:c r="S361" s="62" t="n">
        <x:f>S360+Q361-R361</x:f>
        <x:v>0</x:v>
      </x:c>
      <x:c r="T361" s="62" t="n">
        <x:f>MAX(0,T360+P361+Q361-R361)</x:f>
        <x:v>1884.8045356951204</x:v>
      </x:c>
      <x:c r="U361" s="62" t="n">
        <x:f>MAX(0,-(T360+P361)-MAX(0,'17_Gia_dinh_mo_hinh'!$R$9-S360))</x:f>
        <x:v>0</x:v>
      </x:c>
      <x:c r="V361" s="61" t="str">
        <x:f>IF(B361&lt;'17_Gia_dinh_mo_hinh'!$F$9+D361,"Trước mở bán",IF(B361&lt;'17_Gia_dinh_mo_hinh'!$H$9+D361,"Bán hàng/thi công",IF(G361&gt;0,"Ghi nhận/bàn giao","Hậu bàn giao")))</x:f>
        <x:v>Ghi nhận/bàn giao</x:v>
      </x:c>
    </x:row>
    <x:row r="362">
      <x:c r="A362" s="54" t="str">
        <x:v>DA06</x:v>
      </x:c>
      <x:c r="B362" s="54" t="n">
        <x:v>59</x:v>
      </x:c>
      <x:c r="C362" s="60" t="n">
        <x:f>EDATE('17_Gia_dinh_mo_hinh'!$C$9,B362-1)</x:f>
        <x:v>48000</x:v>
      </x:c>
      <x:c r="D362" s="61" t="n">
        <x:f>ROUNDUP('17_Gia_dinh_mo_hinh'!$E$9/30,0)</x:f>
        <x:v>9</x:v>
      </x:c>
      <x:c r="E362" s="62" t="n">
        <x:f>IF(AND(B362&gt;='17_Gia_dinh_mo_hinh'!$F$9+D362,B362&lt;'17_Gia_dinh_mo_hinh'!$F$9+D362+'17_Gia_dinh_mo_hinh'!$G$9),'17_Gia_dinh_mo_hinh'!$L$9*(1-'17_Gia_dinh_mo_hinh'!$M$9)/'17_Gia_dinh_mo_hinh'!$G$9,0)</x:f>
        <x:v>240</x:v>
      </x:c>
      <x:c r="F362" s="62" t="n">
        <x:f>0.70*E362+0.30*E361</x:f>
        <x:v>240</x:v>
      </x:c>
      <x:c r="G362" s="62" t="n">
        <x:f>IF(AND(B362&gt;='17_Gia_dinh_mo_hinh'!$H$9+D362,B362&lt;'17_Gia_dinh_mo_hinh'!$H$9+D362+'17_Gia_dinh_mo_hinh'!$I$9),'17_Gia_dinh_mo_hinh'!$L$9*(1-'17_Gia_dinh_mo_hinh'!$M$9)/'17_Gia_dinh_mo_hinh'!$I$9,0)</x:f>
        <x:v>450</x:v>
      </x:c>
      <x:c r="H362" s="62" t="n">
        <x:f>G362*(1-'17_Gia_dinh_mo_hinh'!$N$9)</x:f>
        <x:v>301.49999999999994</x:v>
      </x:c>
      <x:c r="I362" s="62" t="n">
        <x:f>G362*'17_Gia_dinh_mo_hinh'!$O$9</x:f>
        <x:v>15.750000000000002</x:v>
      </x:c>
      <x:c r="J362" s="62" t="n">
        <x:f>G362*'17_Gia_dinh_mo_hinh'!$P$9</x:f>
        <x:v>9</x:v>
      </x:c>
      <x:c r="K362" s="62" t="n">
        <x:f>IF(B362&lt;='17_Gia_dinh_mo_hinh'!$J$9,'17_Gia_dinh_mo_hinh'!$K$9*(1-MIN(0.95,'17_Gia_dinh_mo_hinh'!$M$9*0.75))/'17_Gia_dinh_mo_hinh'!$J$9,0)</x:f>
        <x:v>0</x:v>
      </x:c>
      <x:c r="L362" s="62" t="n">
        <x:f>S361*'17_Gia_dinh_mo_hinh'!$Q$9/12</x:f>
        <x:v>0</x:v>
      </x:c>
      <x:c r="M362" s="62" t="n">
        <x:f>G362-H362-I362-J362-L362</x:f>
        <x:v>123.75000000000006</x:v>
      </x:c>
      <x:c r="N362" s="62" t="n">
        <x:f>MAX(0,M362*'17_Gia_dinh_mo_hinh'!$S$9)</x:f>
        <x:v>24.750000000000014</x:v>
      </x:c>
      <x:c r="O362" s="62" t="n">
        <x:f>M362-N362</x:f>
        <x:v>99.00000000000004</x:v>
      </x:c>
      <x:c r="P362" s="62" t="n">
        <x:f>F362-K362-I362-J362-N362-L362</x:f>
        <x:v>190.5</x:v>
      </x:c>
      <x:c r="Q362" s="62" t="n">
        <x:f>MIN(MAX(0,-(T361+P362)),MAX(0,'17_Gia_dinh_mo_hinh'!$R$9-S361))</x:f>
        <x:v>0</x:v>
      </x:c>
      <x:c r="R362" s="62" t="n">
        <x:f>MIN(MAX(0,T361+P362+Q362),S361+Q362)</x:f>
        <x:v>0</x:v>
      </x:c>
      <x:c r="S362" s="62" t="n">
        <x:f>S361+Q362-R362</x:f>
        <x:v>0</x:v>
      </x:c>
      <x:c r="T362" s="62" t="n">
        <x:f>MAX(0,T361+P362+Q362-R362)</x:f>
        <x:v>2075.3045356951206</x:v>
      </x:c>
      <x:c r="U362" s="62" t="n">
        <x:f>MAX(0,-(T361+P362)-MAX(0,'17_Gia_dinh_mo_hinh'!$R$9-S361))</x:f>
        <x:v>0</x:v>
      </x:c>
      <x:c r="V362" s="61" t="str">
        <x:f>IF(B362&lt;'17_Gia_dinh_mo_hinh'!$F$9+D362,"Trước mở bán",IF(B362&lt;'17_Gia_dinh_mo_hinh'!$H$9+D362,"Bán hàng/thi công",IF(G362&gt;0,"Ghi nhận/bàn giao","Hậu bàn giao")))</x:f>
        <x:v>Ghi nhận/bàn giao</x:v>
      </x:c>
    </x:row>
    <x:row r="363">
      <x:c r="A363" s="54" t="str">
        <x:v>DA06</x:v>
      </x:c>
      <x:c r="B363" s="54" t="n">
        <x:v>60</x:v>
      </x:c>
      <x:c r="C363" s="60" t="n">
        <x:f>EDATE('17_Gia_dinh_mo_hinh'!$C$9,B363-1)</x:f>
        <x:v>48030</x:v>
      </x:c>
      <x:c r="D363" s="61" t="n">
        <x:f>ROUNDUP('17_Gia_dinh_mo_hinh'!$E$9/30,0)</x:f>
        <x:v>9</x:v>
      </x:c>
      <x:c r="E363" s="62" t="n">
        <x:f>IF(AND(B363&gt;='17_Gia_dinh_mo_hinh'!$F$9+D363,B363&lt;'17_Gia_dinh_mo_hinh'!$F$9+D363+'17_Gia_dinh_mo_hinh'!$G$9),'17_Gia_dinh_mo_hinh'!$L$9*(1-'17_Gia_dinh_mo_hinh'!$M$9)/'17_Gia_dinh_mo_hinh'!$G$9,0)</x:f>
        <x:v>240</x:v>
      </x:c>
      <x:c r="F363" s="62" t="n">
        <x:f>0.70*E363+0.30*E362</x:f>
        <x:v>240</x:v>
      </x:c>
      <x:c r="G363" s="62" t="n">
        <x:f>IF(AND(B363&gt;='17_Gia_dinh_mo_hinh'!$H$9+D363,B363&lt;'17_Gia_dinh_mo_hinh'!$H$9+D363+'17_Gia_dinh_mo_hinh'!$I$9),'17_Gia_dinh_mo_hinh'!$L$9*(1-'17_Gia_dinh_mo_hinh'!$M$9)/'17_Gia_dinh_mo_hinh'!$I$9,0)</x:f>
        <x:v>450</x:v>
      </x:c>
      <x:c r="H363" s="62" t="n">
        <x:f>G363*(1-'17_Gia_dinh_mo_hinh'!$N$9)</x:f>
        <x:v>301.49999999999994</x:v>
      </x:c>
      <x:c r="I363" s="62" t="n">
        <x:f>G363*'17_Gia_dinh_mo_hinh'!$O$9</x:f>
        <x:v>15.750000000000002</x:v>
      </x:c>
      <x:c r="J363" s="62" t="n">
        <x:f>G363*'17_Gia_dinh_mo_hinh'!$P$9</x:f>
        <x:v>9</x:v>
      </x:c>
      <x:c r="K363" s="62" t="n">
        <x:f>IF(B363&lt;='17_Gia_dinh_mo_hinh'!$J$9,'17_Gia_dinh_mo_hinh'!$K$9*(1-MIN(0.95,'17_Gia_dinh_mo_hinh'!$M$9*0.75))/'17_Gia_dinh_mo_hinh'!$J$9,0)</x:f>
        <x:v>0</x:v>
      </x:c>
      <x:c r="L363" s="62" t="n">
        <x:f>S362*'17_Gia_dinh_mo_hinh'!$Q$9/12</x:f>
        <x:v>0</x:v>
      </x:c>
      <x:c r="M363" s="62" t="n">
        <x:f>G363-H363-I363-J363-L363</x:f>
        <x:v>123.75000000000006</x:v>
      </x:c>
      <x:c r="N363" s="62" t="n">
        <x:f>MAX(0,M363*'17_Gia_dinh_mo_hinh'!$S$9)</x:f>
        <x:v>24.750000000000014</x:v>
      </x:c>
      <x:c r="O363" s="62" t="n">
        <x:f>M363-N363</x:f>
        <x:v>99.00000000000004</x:v>
      </x:c>
      <x:c r="P363" s="62" t="n">
        <x:f>F363-K363-I363-J363-N363-L363</x:f>
        <x:v>190.5</x:v>
      </x:c>
      <x:c r="Q363" s="62" t="n">
        <x:f>MIN(MAX(0,-(T362+P363)),MAX(0,'17_Gia_dinh_mo_hinh'!$R$9-S362))</x:f>
        <x:v>0</x:v>
      </x:c>
      <x:c r="R363" s="62" t="n">
        <x:f>MIN(MAX(0,T362+P363+Q363),S362+Q363)</x:f>
        <x:v>0</x:v>
      </x:c>
      <x:c r="S363" s="62" t="n">
        <x:f>S362+Q363-R363</x:f>
        <x:v>0</x:v>
      </x:c>
      <x:c r="T363" s="62" t="n">
        <x:f>MAX(0,T362+P363+Q363-R363)</x:f>
        <x:v>2265.8045356951206</x:v>
      </x:c>
      <x:c r="U363" s="62" t="n">
        <x:f>MAX(0,-(T362+P363)-MAX(0,'17_Gia_dinh_mo_hinh'!$R$9-S362))</x:f>
        <x:v>0</x:v>
      </x:c>
      <x:c r="V363" s="61" t="str">
        <x:f>IF(B363&lt;'17_Gia_dinh_mo_hinh'!$F$9+D363,"Trước mở bán",IF(B363&lt;'17_Gia_dinh_mo_hinh'!$H$9+D363,"Bán hàng/thi công",IF(G363&gt;0,"Ghi nhận/bàn giao","Hậu bàn giao")))</x:f>
        <x:v>Ghi nhận/bàn giao</x:v>
      </x:c>
    </x:row>
  </x:sheetData>
  <x:mergeCells>
    <x:mergeCell ref="A1:V1"/>
  </x:mergeCells>
  <x:conditionalFormatting sqref="U4:U363">
    <x:cfRule type="expression" dxfId="0" priority="1">
      <x:formula>U4&gt;0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48" t="str">
        <x:v>19_BCTC_du_an_5N – Báo cáo tài chính quản trị tóm tắt theo dự án (5 năm)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</x:row>
    <x:row r="3">
      <x:c r="A3" s="53" t="str">
        <x:v>Mã dự án</x:v>
      </x:c>
      <x:c r="B3" s="53" t="str">
        <x:v>Năm mô hình</x:v>
      </x:c>
      <x:c r="C3" s="53" t="str">
        <x:v>Doanh thu</x:v>
      </x:c>
      <x:c r="D3" s="53" t="str">
        <x:v>Giá vốn</x:v>
      </x:c>
      <x:c r="E3" s="53" t="str">
        <x:v>LN gộp</x:v>
      </x:c>
      <x:c r="F3" s="53" t="str">
        <x:v>CP bán hàng</x:v>
      </x:c>
      <x:c r="G3" s="53" t="str">
        <x:v>CP QLDN</x:v>
      </x:c>
      <x:c r="H3" s="53" t="str">
        <x:v>Lãi vay</x:v>
      </x:c>
      <x:c r="I3" s="53" t="str">
        <x:v>LNTT</x:v>
      </x:c>
      <x:c r="J3" s="53" t="str">
        <x:v>Thuế TNDN</x:v>
      </x:c>
      <x:c r="K3" s="53" t="str">
        <x:v>LNST</x:v>
      </x:c>
      <x:c r="L3" s="53" t="str">
        <x:v>Thu khách hàng</x:v>
      </x:c>
      <x:c r="M3" s="53" t="str">
        <x:v>Chi đầu tư</x:v>
      </x:c>
      <x:c r="N3" s="53" t="str">
        <x:v>Vay ròng</x:v>
      </x:c>
    </x:row>
    <x:row r="4">
      <x:c r="A4" t="str">
        <x:v>DA01</x:v>
      </x:c>
      <x:c r="B4" t="n">
        <x:v>1</x:v>
      </x:c>
      <x:c r="C4" s="59" t="n">
        <x:f>SUMIFS('18_Mo_hinh_60T'!$G$4:$G$363,'18_Mo_hinh_60T'!$A$4:$A$363,A4,'18_Mo_hinh_60T'!$B$4:$B$363,"&gt;=1",'18_Mo_hinh_60T'!$B$4:$B$363,"&lt;=12")</x:f>
        <x:v>0</x:v>
      </x:c>
      <x:c r="D4" s="59" t="n">
        <x:f>SUMIFS('18_Mo_hinh_60T'!$H$4:$H$363,'18_Mo_hinh_60T'!$A$4:$A$363,A4,'18_Mo_hinh_60T'!$B$4:$B$363,"&gt;=1",'18_Mo_hinh_60T'!$B$4:$B$363,"&lt;=12")</x:f>
        <x:v>0</x:v>
      </x:c>
      <x:c r="E4" s="59" t="n">
        <x:f>C4-D4</x:f>
        <x:v>0</x:v>
      </x:c>
      <x:c r="F4" s="59" t="n">
        <x:f>SUMIFS('18_Mo_hinh_60T'!$I$4:$I$363,'18_Mo_hinh_60T'!$A$4:$A$363,A4,'18_Mo_hinh_60T'!$B$4:$B$363,"&gt;=1",'18_Mo_hinh_60T'!$B$4:$B$363,"&lt;=12")</x:f>
        <x:v>0</x:v>
      </x:c>
      <x:c r="G4" s="59" t="n">
        <x:f>SUMIFS('18_Mo_hinh_60T'!$J$4:$J$363,'18_Mo_hinh_60T'!$A$4:$A$363,A4,'18_Mo_hinh_60T'!$B$4:$B$363,"&gt;=1",'18_Mo_hinh_60T'!$B$4:$B$363,"&lt;=12")</x:f>
        <x:v>0</x:v>
      </x:c>
      <x:c r="H4" s="59" t="n">
        <x:f>SUMIFS('18_Mo_hinh_60T'!$L$4:$L$363,'18_Mo_hinh_60T'!$A$4:$A$363,A4,'18_Mo_hinh_60T'!$B$4:$B$363,"&gt;=1",'18_Mo_hinh_60T'!$B$4:$B$363,"&lt;=12")</x:f>
        <x:v>152.5009111073275</x:v>
      </x:c>
      <x:c r="I4" s="59" t="n">
        <x:f>SUMIFS('18_Mo_hinh_60T'!$M$4:$M$363,'18_Mo_hinh_60T'!$A$4:$A$363,A4,'18_Mo_hinh_60T'!$B$4:$B$363,"&gt;=1",'18_Mo_hinh_60T'!$B$4:$B$363,"&lt;=12")</x:f>
        <x:v>-152.5009111073275</x:v>
      </x:c>
      <x:c r="J4" s="59" t="n">
        <x:f>SUMIFS('18_Mo_hinh_60T'!$N$4:$N$363,'18_Mo_hinh_60T'!$A$4:$A$363,A4,'18_Mo_hinh_60T'!$B$4:$B$363,"&gt;=1",'18_Mo_hinh_60T'!$B$4:$B$363,"&lt;=12")</x:f>
        <x:v>0</x:v>
      </x:c>
      <x:c r="K4" s="59" t="n">
        <x:f>SUMIFS('18_Mo_hinh_60T'!$O$4:$O$363,'18_Mo_hinh_60T'!$A$4:$A$363,A4,'18_Mo_hinh_60T'!$B$4:$B$363,"&gt;=1",'18_Mo_hinh_60T'!$B$4:$B$363,"&lt;=12")</x:f>
        <x:v>-152.5009111073275</x:v>
      </x:c>
      <x:c r="L4" s="59" t="n">
        <x:f>SUMIFS('18_Mo_hinh_60T'!$F$4:$F$363,'18_Mo_hinh_60T'!$A$4:$A$363,A4,'18_Mo_hinh_60T'!$B$4:$B$363,"&gt;=1",'18_Mo_hinh_60T'!$B$4:$B$363,"&lt;=12")</x:f>
        <x:v>0</x:v>
      </x:c>
      <x:c r="M4" s="59" t="n">
        <x:f>SUMIFS('18_Mo_hinh_60T'!$K$4:$K$363,'18_Mo_hinh_60T'!$A$4:$A$363,A4,'18_Mo_hinh_60T'!$B$4:$B$363,"&gt;=1",'18_Mo_hinh_60T'!$B$4:$B$363,"&lt;=12")</x:f>
        <x:v>1625.0000000000002</x:v>
      </x:c>
      <x:c r="N4" s="59" t="n">
        <x:f>SUMIFS('18_Mo_hinh_60T'!$Q$4:$Q$363,'18_Mo_hinh_60T'!$A$4:$A$363,A4,'18_Mo_hinh_60T'!$B$4:$B$363,"&gt;=1",'18_Mo_hinh_60T'!$B$4:$B$363,"&lt;=12")-SUMIFS('18_Mo_hinh_60T'!$R$4:$R$363,'18_Mo_hinh_60T'!$A$4:$A$363,A4,'18_Mo_hinh_60T'!$B$4:$B$363,"&gt;=1",'18_Mo_hinh_60T'!$B$4:$B$363,"&lt;=12")</x:f>
        <x:v>1657.5009111073275</x:v>
      </x:c>
    </x:row>
    <x:row r="5">
      <x:c r="A5" t="str">
        <x:v>DA01</x:v>
      </x:c>
      <x:c r="B5" t="n">
        <x:v>2</x:v>
      </x:c>
      <x:c r="C5" s="59" t="n">
        <x:f>SUMIFS('18_Mo_hinh_60T'!$G$4:$G$363,'18_Mo_hinh_60T'!$A$4:$A$363,A5,'18_Mo_hinh_60T'!$B$4:$B$363,"&gt;=13",'18_Mo_hinh_60T'!$B$4:$B$363,"&lt;=24")</x:f>
        <x:v>0</x:v>
      </x:c>
      <x:c r="D5" s="59" t="n">
        <x:f>SUMIFS('18_Mo_hinh_60T'!$H$4:$H$363,'18_Mo_hinh_60T'!$A$4:$A$363,A5,'18_Mo_hinh_60T'!$B$4:$B$363,"&gt;=13",'18_Mo_hinh_60T'!$B$4:$B$363,"&lt;=24")</x:f>
        <x:v>0</x:v>
      </x:c>
      <x:c r="E5" s="59" t="n">
        <x:f>C5-D5</x:f>
        <x:v>0</x:v>
      </x:c>
      <x:c r="F5" s="59" t="n">
        <x:f>SUMIFS('18_Mo_hinh_60T'!$I$4:$I$363,'18_Mo_hinh_60T'!$A$4:$A$363,A5,'18_Mo_hinh_60T'!$B$4:$B$363,"&gt;=13",'18_Mo_hinh_60T'!$B$4:$B$363,"&lt;=24")</x:f>
        <x:v>0</x:v>
      </x:c>
      <x:c r="G5" s="59" t="n">
        <x:f>SUMIFS('18_Mo_hinh_60T'!$J$4:$J$363,'18_Mo_hinh_60T'!$A$4:$A$363,A5,'18_Mo_hinh_60T'!$B$4:$B$363,"&gt;=13",'18_Mo_hinh_60T'!$B$4:$B$363,"&lt;=24")</x:f>
        <x:v>0</x:v>
      </x:c>
      <x:c r="H5" s="59" t="n">
        <x:f>SUMIFS('18_Mo_hinh_60T'!$L$4:$L$363,'18_Mo_hinh_60T'!$A$4:$A$363,A5,'18_Mo_hinh_60T'!$B$4:$B$363,"&gt;=13",'18_Mo_hinh_60T'!$B$4:$B$363,"&lt;=24")</x:f>
        <x:v>273.19029731672055</x:v>
      </x:c>
      <x:c r="I5" s="59" t="n">
        <x:f>SUMIFS('18_Mo_hinh_60T'!$M$4:$M$363,'18_Mo_hinh_60T'!$A$4:$A$363,A5,'18_Mo_hinh_60T'!$B$4:$B$363,"&gt;=13",'18_Mo_hinh_60T'!$B$4:$B$363,"&lt;=24")</x:f>
        <x:v>-273.19029731672055</x:v>
      </x:c>
      <x:c r="J5" s="59" t="n">
        <x:f>SUMIFS('18_Mo_hinh_60T'!$N$4:$N$363,'18_Mo_hinh_60T'!$A$4:$A$363,A5,'18_Mo_hinh_60T'!$B$4:$B$363,"&gt;=13",'18_Mo_hinh_60T'!$B$4:$B$363,"&lt;=24")</x:f>
        <x:v>0</x:v>
      </x:c>
      <x:c r="K5" s="59" t="n">
        <x:f>SUMIFS('18_Mo_hinh_60T'!$O$4:$O$363,'18_Mo_hinh_60T'!$A$4:$A$363,A5,'18_Mo_hinh_60T'!$B$4:$B$363,"&gt;=13",'18_Mo_hinh_60T'!$B$4:$B$363,"&lt;=24")</x:f>
        <x:v>-273.19029731672055</x:v>
      </x:c>
      <x:c r="L5" s="59" t="n">
        <x:f>SUMIFS('18_Mo_hinh_60T'!$F$4:$F$363,'18_Mo_hinh_60T'!$A$4:$A$363,A5,'18_Mo_hinh_60T'!$B$4:$B$363,"&gt;=13",'18_Mo_hinh_60T'!$B$4:$B$363,"&lt;=24")</x:f>
        <x:v>228.66666666666666</x:v>
      </x:c>
      <x:c r="M5" s="59" t="n">
        <x:f>SUMIFS('18_Mo_hinh_60T'!$K$4:$K$363,'18_Mo_hinh_60T'!$A$4:$A$363,A5,'18_Mo_hinh_60T'!$B$4:$B$363,"&gt;=13",'18_Mo_hinh_60T'!$B$4:$B$363,"&lt;=24")</x:f>
        <x:v>1625.0000000000002</x:v>
      </x:c>
      <x:c r="N5" s="59" t="n">
        <x:f>SUMIFS('18_Mo_hinh_60T'!$Q$4:$Q$363,'18_Mo_hinh_60T'!$A$4:$A$363,A5,'18_Mo_hinh_60T'!$B$4:$B$363,"&gt;=13",'18_Mo_hinh_60T'!$B$4:$B$363,"&lt;=24")-SUMIFS('18_Mo_hinh_60T'!$R$4:$R$363,'18_Mo_hinh_60T'!$A$4:$A$363,A5,'18_Mo_hinh_60T'!$B$4:$B$363,"&gt;=13",'18_Mo_hinh_60T'!$B$4:$B$363,"&lt;=24")</x:f>
        <x:v>283.34283889267283</x:v>
      </x:c>
    </x:row>
    <x:row r="6">
      <x:c r="A6" t="str">
        <x:v>DA01</x:v>
      </x:c>
      <x:c r="B6" t="n">
        <x:v>3</x:v>
      </x:c>
      <x:c r="C6" s="59" t="n">
        <x:f>SUMIFS('18_Mo_hinh_60T'!$G$4:$G$363,'18_Mo_hinh_60T'!$A$4:$A$363,A6,'18_Mo_hinh_60T'!$B$4:$B$363,"&gt;=25",'18_Mo_hinh_60T'!$B$4:$B$363,"&lt;=36")</x:f>
        <x:v>0</x:v>
      </x:c>
      <x:c r="D6" s="59" t="n">
        <x:f>SUMIFS('18_Mo_hinh_60T'!$H$4:$H$363,'18_Mo_hinh_60T'!$A$4:$A$363,A6,'18_Mo_hinh_60T'!$B$4:$B$363,"&gt;=25",'18_Mo_hinh_60T'!$B$4:$B$363,"&lt;=36")</x:f>
        <x:v>0</x:v>
      </x:c>
      <x:c r="E6" s="59" t="n">
        <x:f>C6-D6</x:f>
        <x:v>0</x:v>
      </x:c>
      <x:c r="F6" s="59" t="n">
        <x:f>SUMIFS('18_Mo_hinh_60T'!$I$4:$I$363,'18_Mo_hinh_60T'!$A$4:$A$363,A6,'18_Mo_hinh_60T'!$B$4:$B$363,"&gt;=25",'18_Mo_hinh_60T'!$B$4:$B$363,"&lt;=36")</x:f>
        <x:v>0</x:v>
      </x:c>
      <x:c r="G6" s="59" t="n">
        <x:f>SUMIFS('18_Mo_hinh_60T'!$J$4:$J$363,'18_Mo_hinh_60T'!$A$4:$A$363,A6,'18_Mo_hinh_60T'!$B$4:$B$363,"&gt;=25",'18_Mo_hinh_60T'!$B$4:$B$363,"&lt;=36")</x:f>
        <x:v>0</x:v>
      </x:c>
      <x:c r="H6" s="59" t="n">
        <x:f>SUMIFS('18_Mo_hinh_60T'!$L$4:$L$363,'18_Mo_hinh_60T'!$A$4:$A$363,A6,'18_Mo_hinh_60T'!$B$4:$B$363,"&gt;=25",'18_Mo_hinh_60T'!$B$4:$B$363,"&lt;=36")</x:f>
        <x:v>180.72985897537478</x:v>
      </x:c>
      <x:c r="I6" s="59" t="n">
        <x:f>SUMIFS('18_Mo_hinh_60T'!$M$4:$M$363,'18_Mo_hinh_60T'!$A$4:$A$363,A6,'18_Mo_hinh_60T'!$B$4:$B$363,"&gt;=25",'18_Mo_hinh_60T'!$B$4:$B$363,"&lt;=36")</x:f>
        <x:v>-180.72985897537478</x:v>
      </x:c>
      <x:c r="J6" s="59" t="n">
        <x:f>SUMIFS('18_Mo_hinh_60T'!$N$4:$N$363,'18_Mo_hinh_60T'!$A$4:$A$363,A6,'18_Mo_hinh_60T'!$B$4:$B$363,"&gt;=25",'18_Mo_hinh_60T'!$B$4:$B$363,"&lt;=36")</x:f>
        <x:v>0</x:v>
      </x:c>
      <x:c r="K6" s="59" t="n">
        <x:f>SUMIFS('18_Mo_hinh_60T'!$O$4:$O$363,'18_Mo_hinh_60T'!$A$4:$A$363,A6,'18_Mo_hinh_60T'!$B$4:$B$363,"&gt;=25",'18_Mo_hinh_60T'!$B$4:$B$363,"&lt;=36")</x:f>
        <x:v>-180.72985897537478</x:v>
      </x:c>
      <x:c r="L6" s="59" t="n">
        <x:f>SUMIFS('18_Mo_hinh_60T'!$F$4:$F$363,'18_Mo_hinh_60T'!$A$4:$A$363,A6,'18_Mo_hinh_60T'!$B$4:$B$363,"&gt;=25",'18_Mo_hinh_60T'!$B$4:$B$363,"&lt;=36")</x:f>
        <x:v>3919.9999999999986</x:v>
      </x:c>
      <x:c r="M6" s="59" t="n">
        <x:f>SUMIFS('18_Mo_hinh_60T'!$K$4:$K$363,'18_Mo_hinh_60T'!$A$4:$A$363,A6,'18_Mo_hinh_60T'!$B$4:$B$363,"&gt;=25",'18_Mo_hinh_60T'!$B$4:$B$363,"&lt;=36")</x:f>
        <x:v>1625.0000000000002</x:v>
      </x:c>
      <x:c r="N6" s="59" t="n">
        <x:f>SUMIFS('18_Mo_hinh_60T'!$Q$4:$Q$363,'18_Mo_hinh_60T'!$A$4:$A$363,A6,'18_Mo_hinh_60T'!$B$4:$B$363,"&gt;=25",'18_Mo_hinh_60T'!$B$4:$B$363,"&lt;=36")-SUMIFS('18_Mo_hinh_60T'!$R$4:$R$363,'18_Mo_hinh_60T'!$A$4:$A$363,A6,'18_Mo_hinh_60T'!$B$4:$B$363,"&gt;=25",'18_Mo_hinh_60T'!$B$4:$B$363,"&lt;=36")</x:f>
        <x:v>-2114.270141024625</x:v>
      </x:c>
    </x:row>
    <x:row r="7">
      <x:c r="A7" t="str">
        <x:v>DA01</x:v>
      </x:c>
      <x:c r="B7" t="n">
        <x:v>4</x:v>
      </x:c>
      <x:c r="C7" s="59" t="n">
        <x:f>SUMIFS('18_Mo_hinh_60T'!$G$4:$G$363,'18_Mo_hinh_60T'!$A$4:$A$363,A7,'18_Mo_hinh_60T'!$B$4:$B$363,"&gt;=37",'18_Mo_hinh_60T'!$B$4:$B$363,"&lt;=48")</x:f>
        <x:v>2722.222222222222</x:v>
      </x:c>
      <x:c r="D7" s="59" t="n">
        <x:f>SUMIFS('18_Mo_hinh_60T'!$H$4:$H$363,'18_Mo_hinh_60T'!$A$4:$A$363,A7,'18_Mo_hinh_60T'!$B$4:$B$363,"&gt;=37",'18_Mo_hinh_60T'!$B$4:$B$363,"&lt;=48")</x:f>
        <x:v>1851.1111111111109</x:v>
      </x:c>
      <x:c r="E7" s="59" t="n">
        <x:f>C7-D7</x:f>
        <x:v>871.1111111111113</x:v>
      </x:c>
      <x:c r="F7" s="59" t="n">
        <x:f>SUMIFS('18_Mo_hinh_60T'!$I$4:$I$363,'18_Mo_hinh_60T'!$A$4:$A$363,A7,'18_Mo_hinh_60T'!$B$4:$B$363,"&gt;=37",'18_Mo_hinh_60T'!$B$4:$B$363,"&lt;=48")</x:f>
        <x:v>95.27777777777779</x:v>
      </x:c>
      <x:c r="G7" s="59" t="n">
        <x:f>SUMIFS('18_Mo_hinh_60T'!$J$4:$J$363,'18_Mo_hinh_60T'!$A$4:$A$363,A7,'18_Mo_hinh_60T'!$B$4:$B$363,"&gt;=37",'18_Mo_hinh_60T'!$B$4:$B$363,"&lt;=48")</x:f>
        <x:v>54.44444444444444</x:v>
      </x:c>
      <x:c r="H7" s="59" t="n">
        <x:f>SUMIFS('18_Mo_hinh_60T'!$L$4:$L$363,'18_Mo_hinh_60T'!$A$4:$A$363,A7,'18_Mo_hinh_60T'!$B$4:$B$363,"&gt;=37",'18_Mo_hinh_60T'!$B$4:$B$363,"&lt;=48")</x:f>
        <x:v>14.601044440056645</x:v>
      </x:c>
      <x:c r="I7" s="59" t="n">
        <x:f>SUMIFS('18_Mo_hinh_60T'!$M$4:$M$363,'18_Mo_hinh_60T'!$A$4:$A$363,A7,'18_Mo_hinh_60T'!$B$4:$B$363,"&gt;=37",'18_Mo_hinh_60T'!$B$4:$B$363,"&lt;=48")</x:f>
        <x:v>706.7878444488325</x:v>
      </x:c>
      <x:c r="J7" s="59" t="n">
        <x:f>SUMIFS('18_Mo_hinh_60T'!$N$4:$N$363,'18_Mo_hinh_60T'!$A$4:$A$363,A7,'18_Mo_hinh_60T'!$B$4:$B$363,"&gt;=37",'18_Mo_hinh_60T'!$B$4:$B$363,"&lt;=48")</x:f>
        <x:v>144.27777777777786</x:v>
      </x:c>
      <x:c r="K7" s="59" t="n">
        <x:f>SUMIFS('18_Mo_hinh_60T'!$O$4:$O$363,'18_Mo_hinh_60T'!$A$4:$A$363,A7,'18_Mo_hinh_60T'!$B$4:$B$363,"&gt;=37",'18_Mo_hinh_60T'!$B$4:$B$363,"&lt;=48")</x:f>
        <x:v>562.5100666710548</x:v>
      </x:c>
      <x:c r="L7" s="59" t="n">
        <x:f>SUMIFS('18_Mo_hinh_60T'!$F$4:$F$363,'18_Mo_hinh_60T'!$A$4:$A$363,A7,'18_Mo_hinh_60T'!$B$4:$B$363,"&gt;=37",'18_Mo_hinh_60T'!$B$4:$B$363,"&lt;=48")</x:f>
        <x:v>3919.9999999999986</x:v>
      </x:c>
      <x:c r="M7" s="59" t="n">
        <x:f>SUMIFS('18_Mo_hinh_60T'!$K$4:$K$363,'18_Mo_hinh_60T'!$A$4:$A$363,A7,'18_Mo_hinh_60T'!$B$4:$B$363,"&gt;=37",'18_Mo_hinh_60T'!$B$4:$B$363,"&lt;=48")</x:f>
        <x:v>1625.0000000000002</x:v>
      </x:c>
      <x:c r="N7" s="59" t="n">
        <x:f>SUMIFS('18_Mo_hinh_60T'!$Q$4:$Q$363,'18_Mo_hinh_60T'!$A$4:$A$363,A7,'18_Mo_hinh_60T'!$B$4:$B$363,"&gt;=37",'18_Mo_hinh_60T'!$B$4:$B$363,"&lt;=48")-SUMIFS('18_Mo_hinh_60T'!$R$4:$R$363,'18_Mo_hinh_60T'!$A$4:$A$363,A7,'18_Mo_hinh_60T'!$B$4:$B$363,"&gt;=37",'18_Mo_hinh_60T'!$B$4:$B$363,"&lt;=48")</x:f>
        <x:v>-740.6361089753752</x:v>
      </x:c>
    </x:row>
    <x:row r="8">
      <x:c r="A8" t="str">
        <x:v>DA01</x:v>
      </x:c>
      <x:c r="B8" t="n">
        <x:v>5</x:v>
      </x:c>
      <x:c r="C8" s="59" t="n">
        <x:f>SUMIFS('18_Mo_hinh_60T'!$G$4:$G$363,'18_Mo_hinh_60T'!$A$4:$A$363,A8,'18_Mo_hinh_60T'!$B$4:$B$363,"&gt;=49",'18_Mo_hinh_60T'!$B$4:$B$363,"&lt;=60")</x:f>
        <x:v>6533.333333333333</x:v>
      </x:c>
      <x:c r="D8" s="59" t="n">
        <x:f>SUMIFS('18_Mo_hinh_60T'!$H$4:$H$363,'18_Mo_hinh_60T'!$A$4:$A$363,A8,'18_Mo_hinh_60T'!$B$4:$B$363,"&gt;=49",'18_Mo_hinh_60T'!$B$4:$B$363,"&lt;=60")</x:f>
        <x:v>4442.666666666666</x:v>
      </x:c>
      <x:c r="E8" s="59" t="n">
        <x:f>C8-D8</x:f>
        <x:v>2090.666666666667</x:v>
      </x:c>
      <x:c r="F8" s="59" t="n">
        <x:f>SUMIFS('18_Mo_hinh_60T'!$I$4:$I$363,'18_Mo_hinh_60T'!$A$4:$A$363,A8,'18_Mo_hinh_60T'!$B$4:$B$363,"&gt;=49",'18_Mo_hinh_60T'!$B$4:$B$363,"&lt;=60")</x:f>
        <x:v>228.66666666666663</x:v>
      </x:c>
      <x:c r="G8" s="59" t="n">
        <x:f>SUMIFS('18_Mo_hinh_60T'!$J$4:$J$363,'18_Mo_hinh_60T'!$A$4:$A$363,A8,'18_Mo_hinh_60T'!$B$4:$B$363,"&gt;=49",'18_Mo_hinh_60T'!$B$4:$B$363,"&lt;=60")</x:f>
        <x:v>130.66666666666666</x:v>
      </x:c>
      <x:c r="H8" s="59" t="n">
        <x:f>SUMIFS('18_Mo_hinh_60T'!$L$4:$L$363,'18_Mo_hinh_60T'!$A$4:$A$363,A8,'18_Mo_hinh_60T'!$B$4:$B$363,"&gt;=49",'18_Mo_hinh_60T'!$B$4:$B$363,"&lt;=60")</x:f>
        <x:v>0</x:v>
      </x:c>
      <x:c r="I8" s="59" t="n">
        <x:f>SUMIFS('18_Mo_hinh_60T'!$M$4:$M$363,'18_Mo_hinh_60T'!$A$4:$A$363,A8,'18_Mo_hinh_60T'!$B$4:$B$363,"&gt;=49",'18_Mo_hinh_60T'!$B$4:$B$363,"&lt;=60")</x:f>
        <x:v>1731.3333333333342</x:v>
      </x:c>
      <x:c r="J8" s="59" t="n">
        <x:f>SUMIFS('18_Mo_hinh_60T'!$N$4:$N$363,'18_Mo_hinh_60T'!$A$4:$A$363,A8,'18_Mo_hinh_60T'!$B$4:$B$363,"&gt;=49",'18_Mo_hinh_60T'!$B$4:$B$363,"&lt;=60")</x:f>
        <x:v>346.2666666666668</x:v>
      </x:c>
      <x:c r="K8" s="59" t="n">
        <x:f>SUMIFS('18_Mo_hinh_60T'!$O$4:$O$363,'18_Mo_hinh_60T'!$A$4:$A$363,A8,'18_Mo_hinh_60T'!$B$4:$B$363,"&gt;=49",'18_Mo_hinh_60T'!$B$4:$B$363,"&lt;=60")</x:f>
        <x:v>1385.0666666666673</x:v>
      </x:c>
      <x:c r="L8" s="59" t="n">
        <x:f>SUMIFS('18_Mo_hinh_60T'!$F$4:$F$363,'18_Mo_hinh_60T'!$A$4:$A$363,A8,'18_Mo_hinh_60T'!$B$4:$B$363,"&gt;=49",'18_Mo_hinh_60T'!$B$4:$B$363,"&lt;=60")</x:f>
        <x:v>1731.333333333333</x:v>
      </x:c>
      <x:c r="M8" s="59" t="n">
        <x:f>SUMIFS('18_Mo_hinh_60T'!$K$4:$K$363,'18_Mo_hinh_60T'!$A$4:$A$363,A8,'18_Mo_hinh_60T'!$B$4:$B$363,"&gt;=49",'18_Mo_hinh_60T'!$B$4:$B$363,"&lt;=60")</x:f>
        <x:v>0</x:v>
      </x:c>
      <x:c r="N8" s="59" t="n">
        <x:f>SUMIFS('18_Mo_hinh_60T'!$Q$4:$Q$363,'18_Mo_hinh_60T'!$A$4:$A$363,A8,'18_Mo_hinh_60T'!$B$4:$B$363,"&gt;=49",'18_Mo_hinh_60T'!$B$4:$B$363,"&lt;=60")-SUMIFS('18_Mo_hinh_60T'!$R$4:$R$363,'18_Mo_hinh_60T'!$A$4:$A$363,A8,'18_Mo_hinh_60T'!$B$4:$B$363,"&gt;=49",'18_Mo_hinh_60T'!$B$4:$B$363,"&lt;=60")</x:f>
        <x:v>0</x:v>
      </x:c>
    </x:row>
    <x:row r="9">
      <x:c r="A9" t="str">
        <x:v>DA02</x:v>
      </x:c>
      <x:c r="B9" t="n">
        <x:v>1</x:v>
      </x:c>
      <x:c r="C9" s="59" t="n">
        <x:f>SUMIFS('18_Mo_hinh_60T'!$G$4:$G$363,'18_Mo_hinh_60T'!$A$4:$A$363,A9,'18_Mo_hinh_60T'!$B$4:$B$363,"&gt;=1",'18_Mo_hinh_60T'!$B$4:$B$363,"&lt;=12")</x:f>
        <x:v>0</x:v>
      </x:c>
      <x:c r="D9" s="59" t="n">
        <x:f>SUMIFS('18_Mo_hinh_60T'!$H$4:$H$363,'18_Mo_hinh_60T'!$A$4:$A$363,A9,'18_Mo_hinh_60T'!$B$4:$B$363,"&gt;=1",'18_Mo_hinh_60T'!$B$4:$B$363,"&lt;=12")</x:f>
        <x:v>0</x:v>
      </x:c>
      <x:c r="E9" s="59" t="n">
        <x:f>C9-D9</x:f>
        <x:v>0</x:v>
      </x:c>
      <x:c r="F9" s="59" t="n">
        <x:f>SUMIFS('18_Mo_hinh_60T'!$I$4:$I$363,'18_Mo_hinh_60T'!$A$4:$A$363,A9,'18_Mo_hinh_60T'!$B$4:$B$363,"&gt;=1",'18_Mo_hinh_60T'!$B$4:$B$363,"&lt;=12")</x:f>
        <x:v>0</x:v>
      </x:c>
      <x:c r="G9" s="59" t="n">
        <x:f>SUMIFS('18_Mo_hinh_60T'!$J$4:$J$363,'18_Mo_hinh_60T'!$A$4:$A$363,A9,'18_Mo_hinh_60T'!$B$4:$B$363,"&gt;=1",'18_Mo_hinh_60T'!$B$4:$B$363,"&lt;=12")</x:f>
        <x:v>0</x:v>
      </x:c>
      <x:c r="H9" s="59" t="n">
        <x:f>SUMIFS('18_Mo_hinh_60T'!$L$4:$L$363,'18_Mo_hinh_60T'!$A$4:$A$363,A9,'18_Mo_hinh_60T'!$B$4:$B$363,"&gt;=1",'18_Mo_hinh_60T'!$B$4:$B$363,"&lt;=12")</x:f>
        <x:v>258.16080339154297</x:v>
      </x:c>
      <x:c r="I9" s="59" t="n">
        <x:f>SUMIFS('18_Mo_hinh_60T'!$M$4:$M$363,'18_Mo_hinh_60T'!$A$4:$A$363,A9,'18_Mo_hinh_60T'!$B$4:$B$363,"&gt;=1",'18_Mo_hinh_60T'!$B$4:$B$363,"&lt;=12")</x:f>
        <x:v>-258.16080339154297</x:v>
      </x:c>
      <x:c r="J9" s="59" t="n">
        <x:f>SUMIFS('18_Mo_hinh_60T'!$N$4:$N$363,'18_Mo_hinh_60T'!$A$4:$A$363,A9,'18_Mo_hinh_60T'!$B$4:$B$363,"&gt;=1",'18_Mo_hinh_60T'!$B$4:$B$363,"&lt;=12")</x:f>
        <x:v>0</x:v>
      </x:c>
      <x:c r="K9" s="59" t="n">
        <x:f>SUMIFS('18_Mo_hinh_60T'!$O$4:$O$363,'18_Mo_hinh_60T'!$A$4:$A$363,A9,'18_Mo_hinh_60T'!$B$4:$B$363,"&gt;=1",'18_Mo_hinh_60T'!$B$4:$B$363,"&lt;=12")</x:f>
        <x:v>-258.16080339154297</x:v>
      </x:c>
      <x:c r="L9" s="59" t="n">
        <x:f>SUMIFS('18_Mo_hinh_60T'!$F$4:$F$363,'18_Mo_hinh_60T'!$A$4:$A$363,A9,'18_Mo_hinh_60T'!$B$4:$B$363,"&gt;=1",'18_Mo_hinh_60T'!$B$4:$B$363,"&lt;=12")</x:f>
        <x:v>0</x:v>
      </x:c>
      <x:c r="M9" s="59" t="n">
        <x:f>SUMIFS('18_Mo_hinh_60T'!$K$4:$K$363,'18_Mo_hinh_60T'!$A$4:$A$363,A9,'18_Mo_hinh_60T'!$B$4:$B$363,"&gt;=1",'18_Mo_hinh_60T'!$B$4:$B$363,"&lt;=12")</x:f>
        <x:v>2057.1428571428564</x:v>
      </x:c>
      <x:c r="N9" s="59" t="n">
        <x:f>SUMIFS('18_Mo_hinh_60T'!$Q$4:$Q$363,'18_Mo_hinh_60T'!$A$4:$A$363,A9,'18_Mo_hinh_60T'!$B$4:$B$363,"&gt;=1",'18_Mo_hinh_60T'!$B$4:$B$363,"&lt;=12")-SUMIFS('18_Mo_hinh_60T'!$R$4:$R$363,'18_Mo_hinh_60T'!$A$4:$A$363,A9,'18_Mo_hinh_60T'!$B$4:$B$363,"&gt;=1",'18_Mo_hinh_60T'!$B$4:$B$363,"&lt;=12")</x:f>
        <x:v>1321.92</x:v>
      </x:c>
    </x:row>
    <x:row r="10">
      <x:c r="A10" t="str">
        <x:v>DA02</x:v>
      </x:c>
      <x:c r="B10" t="n">
        <x:v>2</x:v>
      </x:c>
      <x:c r="C10" s="59" t="n">
        <x:f>SUMIFS('18_Mo_hinh_60T'!$G$4:$G$363,'18_Mo_hinh_60T'!$A$4:$A$363,A10,'18_Mo_hinh_60T'!$B$4:$B$363,"&gt;=13",'18_Mo_hinh_60T'!$B$4:$B$363,"&lt;=24")</x:f>
        <x:v>0</x:v>
      </x:c>
      <x:c r="D10" s="59" t="n">
        <x:f>SUMIFS('18_Mo_hinh_60T'!$H$4:$H$363,'18_Mo_hinh_60T'!$A$4:$A$363,A10,'18_Mo_hinh_60T'!$B$4:$B$363,"&gt;=13",'18_Mo_hinh_60T'!$B$4:$B$363,"&lt;=24")</x:f>
        <x:v>0</x:v>
      </x:c>
      <x:c r="E10" s="59" t="n">
        <x:f>C10-D10</x:f>
        <x:v>0</x:v>
      </x:c>
      <x:c r="F10" s="59" t="n">
        <x:f>SUMIFS('18_Mo_hinh_60T'!$I$4:$I$363,'18_Mo_hinh_60T'!$A$4:$A$363,A10,'18_Mo_hinh_60T'!$B$4:$B$363,"&gt;=13",'18_Mo_hinh_60T'!$B$4:$B$363,"&lt;=24")</x:f>
        <x:v>0</x:v>
      </x:c>
      <x:c r="G10" s="59" t="n">
        <x:f>SUMIFS('18_Mo_hinh_60T'!$J$4:$J$363,'18_Mo_hinh_60T'!$A$4:$A$363,A10,'18_Mo_hinh_60T'!$B$4:$B$363,"&gt;=13",'18_Mo_hinh_60T'!$B$4:$B$363,"&lt;=24")</x:f>
        <x:v>0</x:v>
      </x:c>
      <x:c r="H10" s="59" t="n">
        <x:f>SUMIFS('18_Mo_hinh_60T'!$L$4:$L$363,'18_Mo_hinh_60T'!$A$4:$A$363,A10,'18_Mo_hinh_60T'!$B$4:$B$363,"&gt;=13",'18_Mo_hinh_60T'!$B$4:$B$363,"&lt;=24")</x:f>
        <x:v>251.90254172060202</x:v>
      </x:c>
      <x:c r="I10" s="59" t="n">
        <x:f>SUMIFS('18_Mo_hinh_60T'!$M$4:$M$363,'18_Mo_hinh_60T'!$A$4:$A$363,A10,'18_Mo_hinh_60T'!$B$4:$B$363,"&gt;=13",'18_Mo_hinh_60T'!$B$4:$B$363,"&lt;=24")</x:f>
        <x:v>-251.90254172060202</x:v>
      </x:c>
      <x:c r="J10" s="59" t="n">
        <x:f>SUMIFS('18_Mo_hinh_60T'!$N$4:$N$363,'18_Mo_hinh_60T'!$A$4:$A$363,A10,'18_Mo_hinh_60T'!$B$4:$B$363,"&gt;=13",'18_Mo_hinh_60T'!$B$4:$B$363,"&lt;=24")</x:f>
        <x:v>0</x:v>
      </x:c>
      <x:c r="K10" s="59" t="n">
        <x:f>SUMIFS('18_Mo_hinh_60T'!$O$4:$O$363,'18_Mo_hinh_60T'!$A$4:$A$363,A10,'18_Mo_hinh_60T'!$B$4:$B$363,"&gt;=13",'18_Mo_hinh_60T'!$B$4:$B$363,"&lt;=24")</x:f>
        <x:v>-251.90254172060202</x:v>
      </x:c>
      <x:c r="L10" s="59" t="n">
        <x:f>SUMIFS('18_Mo_hinh_60T'!$F$4:$F$363,'18_Mo_hinh_60T'!$A$4:$A$363,A10,'18_Mo_hinh_60T'!$B$4:$B$363,"&gt;=13",'18_Mo_hinh_60T'!$B$4:$B$363,"&lt;=24")</x:f>
        <x:v>3621.333333333334</x:v>
      </x:c>
      <x:c r="M10" s="59" t="n">
        <x:f>SUMIFS('18_Mo_hinh_60T'!$K$4:$K$363,'18_Mo_hinh_60T'!$A$4:$A$363,A10,'18_Mo_hinh_60T'!$B$4:$B$363,"&gt;=13",'18_Mo_hinh_60T'!$B$4:$B$363,"&lt;=24")</x:f>
        <x:v>2057.1428571428564</x:v>
      </x:c>
      <x:c r="N10" s="59" t="n">
        <x:f>SUMIFS('18_Mo_hinh_60T'!$Q$4:$Q$363,'18_Mo_hinh_60T'!$A$4:$A$363,A10,'18_Mo_hinh_60T'!$B$4:$B$363,"&gt;=13",'18_Mo_hinh_60T'!$B$4:$B$363,"&lt;=24")-SUMIFS('18_Mo_hinh_60T'!$R$4:$R$363,'18_Mo_hinh_60T'!$A$4:$A$363,A10,'18_Mo_hinh_60T'!$B$4:$B$363,"&gt;=13",'18_Mo_hinh_60T'!$B$4:$B$363,"&lt;=24")</x:f>
        <x:v>-1706.4450773270169</x:v>
      </x:c>
    </x:row>
    <x:row r="11">
      <x:c r="A11" t="str">
        <x:v>DA02</x:v>
      </x:c>
      <x:c r="B11" t="n">
        <x:v>3</x:v>
      </x:c>
      <x:c r="C11" s="59" t="n">
        <x:f>SUMIFS('18_Mo_hinh_60T'!$G$4:$G$363,'18_Mo_hinh_60T'!$A$4:$A$363,A11,'18_Mo_hinh_60T'!$B$4:$B$363,"&gt;=25",'18_Mo_hinh_60T'!$B$4:$B$363,"&lt;=36")</x:f>
        <x:v>2488.8888888888887</x:v>
      </x:c>
      <x:c r="D11" s="59" t="n">
        <x:f>SUMIFS('18_Mo_hinh_60T'!$H$4:$H$363,'18_Mo_hinh_60T'!$A$4:$A$363,A11,'18_Mo_hinh_60T'!$B$4:$B$363,"&gt;=25",'18_Mo_hinh_60T'!$B$4:$B$363,"&lt;=36")</x:f>
        <x:v>1642.6666666666663</x:v>
      </x:c>
      <x:c r="E11" s="59" t="n">
        <x:f>C11-D11</x:f>
        <x:v>846.2222222222224</x:v>
      </x:c>
      <x:c r="F11" s="59" t="n">
        <x:f>SUMIFS('18_Mo_hinh_60T'!$I$4:$I$363,'18_Mo_hinh_60T'!$A$4:$A$363,A11,'18_Mo_hinh_60T'!$B$4:$B$363,"&gt;=25",'18_Mo_hinh_60T'!$B$4:$B$363,"&lt;=36")</x:f>
        <x:v>87.11111111111111</x:v>
      </x:c>
      <x:c r="G11" s="59" t="n">
        <x:f>SUMIFS('18_Mo_hinh_60T'!$J$4:$J$363,'18_Mo_hinh_60T'!$A$4:$A$363,A11,'18_Mo_hinh_60T'!$B$4:$B$363,"&gt;=25",'18_Mo_hinh_60T'!$B$4:$B$363,"&lt;=36")</x:f>
        <x:v>49.77777777777777</x:v>
      </x:c>
      <x:c r="H11" s="59" t="n">
        <x:f>SUMIFS('18_Mo_hinh_60T'!$L$4:$L$363,'18_Mo_hinh_60T'!$A$4:$A$363,A11,'18_Mo_hinh_60T'!$B$4:$B$363,"&gt;=25",'18_Mo_hinh_60T'!$B$4:$B$363,"&lt;=36")</x:f>
        <x:v>54.38811337413111</x:v>
      </x:c>
      <x:c r="I11" s="59" t="n">
        <x:f>SUMIFS('18_Mo_hinh_60T'!$M$4:$M$363,'18_Mo_hinh_60T'!$A$4:$A$363,A11,'18_Mo_hinh_60T'!$B$4:$B$363,"&gt;=25",'18_Mo_hinh_60T'!$B$4:$B$363,"&lt;=36")</x:f>
        <x:v>654.9452199592024</x:v>
      </x:c>
      <x:c r="J11" s="59" t="n">
        <x:f>SUMIFS('18_Mo_hinh_60T'!$N$4:$N$363,'18_Mo_hinh_60T'!$A$4:$A$363,A11,'18_Mo_hinh_60T'!$B$4:$B$363,"&gt;=25",'18_Mo_hinh_60T'!$B$4:$B$363,"&lt;=36")</x:f>
        <x:v>141.8666666666667</x:v>
      </x:c>
      <x:c r="K11" s="59" t="n">
        <x:f>SUMIFS('18_Mo_hinh_60T'!$O$4:$O$363,'18_Mo_hinh_60T'!$A$4:$A$363,A11,'18_Mo_hinh_60T'!$B$4:$B$363,"&gt;=25",'18_Mo_hinh_60T'!$B$4:$B$363,"&lt;=36")</x:f>
        <x:v>513.0785532925357</x:v>
      </x:c>
      <x:c r="L11" s="59" t="n">
        <x:f>SUMIFS('18_Mo_hinh_60T'!$F$4:$F$363,'18_Mo_hinh_60T'!$A$4:$A$363,A11,'18_Mo_hinh_60T'!$B$4:$B$363,"&gt;=25",'18_Mo_hinh_60T'!$B$4:$B$363,"&lt;=36")</x:f>
        <x:v>4480</x:v>
      </x:c>
      <x:c r="M11" s="59" t="n">
        <x:f>SUMIFS('18_Mo_hinh_60T'!$K$4:$K$363,'18_Mo_hinh_60T'!$A$4:$A$363,A11,'18_Mo_hinh_60T'!$B$4:$B$363,"&gt;=25",'18_Mo_hinh_60T'!$B$4:$B$363,"&lt;=36")</x:f>
        <x:v>2057.1428571428564</x:v>
      </x:c>
      <x:c r="N11" s="59" t="n">
        <x:f>SUMIFS('18_Mo_hinh_60T'!$Q$4:$Q$363,'18_Mo_hinh_60T'!$A$4:$A$363,A11,'18_Mo_hinh_60T'!$B$4:$B$363,"&gt;=25",'18_Mo_hinh_60T'!$B$4:$B$363,"&lt;=36")-SUMIFS('18_Mo_hinh_60T'!$R$4:$R$363,'18_Mo_hinh_60T'!$A$4:$A$363,A11,'18_Mo_hinh_60T'!$B$4:$B$363,"&gt;=25",'18_Mo_hinh_60T'!$B$4:$B$363,"&lt;=36")</x:f>
        <x:v>-1533.5549226729831</x:v>
      </x:c>
    </x:row>
    <x:row r="12">
      <x:c r="A12" t="str">
        <x:v>DA02</x:v>
      </x:c>
      <x:c r="B12" t="n">
        <x:v>4</x:v>
      </x:c>
      <x:c r="C12" s="59" t="n">
        <x:f>SUMIFS('18_Mo_hinh_60T'!$G$4:$G$363,'18_Mo_hinh_60T'!$A$4:$A$363,A12,'18_Mo_hinh_60T'!$B$4:$B$363,"&gt;=37",'18_Mo_hinh_60T'!$B$4:$B$363,"&lt;=48")</x:f>
        <x:v>7466.666666666668</x:v>
      </x:c>
      <x:c r="D12" s="59" t="n">
        <x:f>SUMIFS('18_Mo_hinh_60T'!$H$4:$H$363,'18_Mo_hinh_60T'!$A$4:$A$363,A12,'18_Mo_hinh_60T'!$B$4:$B$363,"&gt;=37",'18_Mo_hinh_60T'!$B$4:$B$363,"&lt;=48")</x:f>
        <x:v>4928</x:v>
      </x:c>
      <x:c r="E12" s="59" t="n">
        <x:f>C12-D12</x:f>
        <x:v>2538.666666666668</x:v>
      </x:c>
      <x:c r="F12" s="59" t="n">
        <x:f>SUMIFS('18_Mo_hinh_60T'!$I$4:$I$363,'18_Mo_hinh_60T'!$A$4:$A$363,A12,'18_Mo_hinh_60T'!$B$4:$B$363,"&gt;=37",'18_Mo_hinh_60T'!$B$4:$B$363,"&lt;=48")</x:f>
        <x:v>261.3333333333333</x:v>
      </x:c>
      <x:c r="G12" s="59" t="n">
        <x:f>SUMIFS('18_Mo_hinh_60T'!$J$4:$J$363,'18_Mo_hinh_60T'!$A$4:$A$363,A12,'18_Mo_hinh_60T'!$B$4:$B$363,"&gt;=37",'18_Mo_hinh_60T'!$B$4:$B$363,"&lt;=48")</x:f>
        <x:v>149.33333333333331</x:v>
      </x:c>
      <x:c r="H12" s="59" t="n">
        <x:f>SUMIFS('18_Mo_hinh_60T'!$L$4:$L$363,'18_Mo_hinh_60T'!$A$4:$A$363,A12,'18_Mo_hinh_60T'!$B$4:$B$363,"&gt;=37",'18_Mo_hinh_60T'!$B$4:$B$363,"&lt;=48")</x:f>
        <x:v>0</x:v>
      </x:c>
      <x:c r="I12" s="59" t="n">
        <x:f>SUMIFS('18_Mo_hinh_60T'!$M$4:$M$363,'18_Mo_hinh_60T'!$A$4:$A$363,A12,'18_Mo_hinh_60T'!$B$4:$B$363,"&gt;=37",'18_Mo_hinh_60T'!$B$4:$B$363,"&lt;=48")</x:f>
        <x:v>2128.000000000001</x:v>
      </x:c>
      <x:c r="J12" s="59" t="n">
        <x:f>SUMIFS('18_Mo_hinh_60T'!$N$4:$N$363,'18_Mo_hinh_60T'!$A$4:$A$363,A12,'18_Mo_hinh_60T'!$B$4:$B$363,"&gt;=37",'18_Mo_hinh_60T'!$B$4:$B$363,"&lt;=48")</x:f>
        <x:v>425.6000000000002</x:v>
      </x:c>
      <x:c r="K12" s="59" t="n">
        <x:f>SUMIFS('18_Mo_hinh_60T'!$O$4:$O$363,'18_Mo_hinh_60T'!$A$4:$A$363,A12,'18_Mo_hinh_60T'!$B$4:$B$363,"&gt;=37",'18_Mo_hinh_60T'!$B$4:$B$363,"&lt;=48")</x:f>
        <x:v>1702.4000000000008</x:v>
      </x:c>
      <x:c r="L12" s="59" t="n">
        <x:f>SUMIFS('18_Mo_hinh_60T'!$F$4:$F$363,'18_Mo_hinh_60T'!$A$4:$A$363,A12,'18_Mo_hinh_60T'!$B$4:$B$363,"&gt;=37",'18_Mo_hinh_60T'!$B$4:$B$363,"&lt;=48")</x:f>
        <x:v>3098.666666666667</x:v>
      </x:c>
      <x:c r="M12" s="59" t="n">
        <x:f>SUMIFS('18_Mo_hinh_60T'!$K$4:$K$363,'18_Mo_hinh_60T'!$A$4:$A$363,A12,'18_Mo_hinh_60T'!$B$4:$B$363,"&gt;=37",'18_Mo_hinh_60T'!$B$4:$B$363,"&lt;=48")</x:f>
        <x:v>1028.5714285714284</x:v>
      </x:c>
      <x:c r="N12" s="59" t="n">
        <x:f>SUMIFS('18_Mo_hinh_60T'!$Q$4:$Q$363,'18_Mo_hinh_60T'!$A$4:$A$363,A12,'18_Mo_hinh_60T'!$B$4:$B$363,"&gt;=37",'18_Mo_hinh_60T'!$B$4:$B$363,"&lt;=48")-SUMIFS('18_Mo_hinh_60T'!$R$4:$R$363,'18_Mo_hinh_60T'!$A$4:$A$363,A12,'18_Mo_hinh_60T'!$B$4:$B$363,"&gt;=37",'18_Mo_hinh_60T'!$B$4:$B$363,"&lt;=48")</x:f>
        <x:v>0</x:v>
      </x:c>
    </x:row>
    <x:row r="13">
      <x:c r="A13" t="str">
        <x:v>DA02</x:v>
      </x:c>
      <x:c r="B13" t="n">
        <x:v>5</x:v>
      </x:c>
      <x:c r="C13" s="59" t="n">
        <x:f>SUMIFS('18_Mo_hinh_60T'!$G$4:$G$363,'18_Mo_hinh_60T'!$A$4:$A$363,A13,'18_Mo_hinh_60T'!$B$4:$B$363,"&gt;=49",'18_Mo_hinh_60T'!$B$4:$B$363,"&lt;=60")</x:f>
        <x:v>1244.4444444444443</x:v>
      </x:c>
      <x:c r="D13" s="59" t="n">
        <x:f>SUMIFS('18_Mo_hinh_60T'!$H$4:$H$363,'18_Mo_hinh_60T'!$A$4:$A$363,A13,'18_Mo_hinh_60T'!$B$4:$B$363,"&gt;=49",'18_Mo_hinh_60T'!$B$4:$B$363,"&lt;=60")</x:f>
        <x:v>821.3333333333331</x:v>
      </x:c>
      <x:c r="E13" s="59" t="n">
        <x:f>C13-D13</x:f>
        <x:v>423.1111111111112</x:v>
      </x:c>
      <x:c r="F13" s="59" t="n">
        <x:f>SUMIFS('18_Mo_hinh_60T'!$I$4:$I$363,'18_Mo_hinh_60T'!$A$4:$A$363,A13,'18_Mo_hinh_60T'!$B$4:$B$363,"&gt;=49",'18_Mo_hinh_60T'!$B$4:$B$363,"&lt;=60")</x:f>
        <x:v>43.55555555555556</x:v>
      </x:c>
      <x:c r="G13" s="59" t="n">
        <x:f>SUMIFS('18_Mo_hinh_60T'!$J$4:$J$363,'18_Mo_hinh_60T'!$A$4:$A$363,A13,'18_Mo_hinh_60T'!$B$4:$B$363,"&gt;=49",'18_Mo_hinh_60T'!$B$4:$B$363,"&lt;=60")</x:f>
        <x:v>24.888888888888886</x:v>
      </x:c>
      <x:c r="H13" s="59" t="n">
        <x:f>SUMIFS('18_Mo_hinh_60T'!$L$4:$L$363,'18_Mo_hinh_60T'!$A$4:$A$363,A13,'18_Mo_hinh_60T'!$B$4:$B$363,"&gt;=49",'18_Mo_hinh_60T'!$B$4:$B$363,"&lt;=60")</x:f>
        <x:v>0</x:v>
      </x:c>
      <x:c r="I13" s="59" t="n">
        <x:f>SUMIFS('18_Mo_hinh_60T'!$M$4:$M$363,'18_Mo_hinh_60T'!$A$4:$A$363,A13,'18_Mo_hinh_60T'!$B$4:$B$363,"&gt;=49",'18_Mo_hinh_60T'!$B$4:$B$363,"&lt;=60")</x:f>
        <x:v>354.66666666666674</x:v>
      </x:c>
      <x:c r="J13" s="59" t="n">
        <x:f>SUMIFS('18_Mo_hinh_60T'!$N$4:$N$363,'18_Mo_hinh_60T'!$A$4:$A$363,A13,'18_Mo_hinh_60T'!$B$4:$B$363,"&gt;=49",'18_Mo_hinh_60T'!$B$4:$B$363,"&lt;=60")</x:f>
        <x:v>70.93333333333335</x:v>
      </x:c>
      <x:c r="K13" s="59" t="n">
        <x:f>SUMIFS('18_Mo_hinh_60T'!$O$4:$O$363,'18_Mo_hinh_60T'!$A$4:$A$363,A13,'18_Mo_hinh_60T'!$B$4:$B$363,"&gt;=49",'18_Mo_hinh_60T'!$B$4:$B$363,"&lt;=60")</x:f>
        <x:v>283.7333333333334</x:v>
      </x:c>
      <x:c r="L13" s="59" t="n">
        <x:f>SUMIFS('18_Mo_hinh_60T'!$F$4:$F$363,'18_Mo_hinh_60T'!$A$4:$A$363,A13,'18_Mo_hinh_60T'!$B$4:$B$363,"&gt;=49",'18_Mo_hinh_60T'!$B$4:$B$363,"&lt;=60")</x:f>
        <x:v>0</x:v>
      </x:c>
      <x:c r="M13" s="59" t="n">
        <x:f>SUMIFS('18_Mo_hinh_60T'!$K$4:$K$363,'18_Mo_hinh_60T'!$A$4:$A$363,A13,'18_Mo_hinh_60T'!$B$4:$B$363,"&gt;=49",'18_Mo_hinh_60T'!$B$4:$B$363,"&lt;=60")</x:f>
        <x:v>0</x:v>
      </x:c>
      <x:c r="N13" s="59" t="n">
        <x:f>SUMIFS('18_Mo_hinh_60T'!$Q$4:$Q$363,'18_Mo_hinh_60T'!$A$4:$A$363,A13,'18_Mo_hinh_60T'!$B$4:$B$363,"&gt;=49",'18_Mo_hinh_60T'!$B$4:$B$363,"&lt;=60")-SUMIFS('18_Mo_hinh_60T'!$R$4:$R$363,'18_Mo_hinh_60T'!$A$4:$A$363,A13,'18_Mo_hinh_60T'!$B$4:$B$363,"&gt;=49",'18_Mo_hinh_60T'!$B$4:$B$363,"&lt;=60")</x:f>
        <x:v>0</x:v>
      </x:c>
    </x:row>
    <x:row r="14">
      <x:c r="A14" t="str">
        <x:v>DA03</x:v>
      </x:c>
      <x:c r="B14" t="n">
        <x:v>1</x:v>
      </x:c>
      <x:c r="C14" s="59" t="n">
        <x:f>SUMIFS('18_Mo_hinh_60T'!$G$4:$G$363,'18_Mo_hinh_60T'!$A$4:$A$363,A14,'18_Mo_hinh_60T'!$B$4:$B$363,"&gt;=1",'18_Mo_hinh_60T'!$B$4:$B$363,"&lt;=12")</x:f>
        <x:v>0</x:v>
      </x:c>
      <x:c r="D14" s="59" t="n">
        <x:f>SUMIFS('18_Mo_hinh_60T'!$H$4:$H$363,'18_Mo_hinh_60T'!$A$4:$A$363,A14,'18_Mo_hinh_60T'!$B$4:$B$363,"&gt;=1",'18_Mo_hinh_60T'!$B$4:$B$363,"&lt;=12")</x:f>
        <x:v>0</x:v>
      </x:c>
      <x:c r="E14" s="59" t="n">
        <x:f>C14-D14</x:f>
        <x:v>0</x:v>
      </x:c>
      <x:c r="F14" s="59" t="n">
        <x:f>SUMIFS('18_Mo_hinh_60T'!$I$4:$I$363,'18_Mo_hinh_60T'!$A$4:$A$363,A14,'18_Mo_hinh_60T'!$B$4:$B$363,"&gt;=1",'18_Mo_hinh_60T'!$B$4:$B$363,"&lt;=12")</x:f>
        <x:v>0</x:v>
      </x:c>
      <x:c r="G14" s="59" t="n">
        <x:f>SUMIFS('18_Mo_hinh_60T'!$J$4:$J$363,'18_Mo_hinh_60T'!$A$4:$A$363,A14,'18_Mo_hinh_60T'!$B$4:$B$363,"&gt;=1",'18_Mo_hinh_60T'!$B$4:$B$363,"&lt;=12")</x:f>
        <x:v>0</x:v>
      </x:c>
      <x:c r="H14" s="59" t="n">
        <x:f>SUMIFS('18_Mo_hinh_60T'!$L$4:$L$363,'18_Mo_hinh_60T'!$A$4:$A$363,A14,'18_Mo_hinh_60T'!$B$4:$B$363,"&gt;=1",'18_Mo_hinh_60T'!$B$4:$B$363,"&lt;=12")</x:f>
        <x:v>350.5073721522751</x:v>
      </x:c>
      <x:c r="I14" s="59" t="n">
        <x:f>SUMIFS('18_Mo_hinh_60T'!$M$4:$M$363,'18_Mo_hinh_60T'!$A$4:$A$363,A14,'18_Mo_hinh_60T'!$B$4:$B$363,"&gt;=1",'18_Mo_hinh_60T'!$B$4:$B$363,"&lt;=12")</x:f>
        <x:v>-350.5073721522751</x:v>
      </x:c>
      <x:c r="J14" s="59" t="n">
        <x:f>SUMIFS('18_Mo_hinh_60T'!$N$4:$N$363,'18_Mo_hinh_60T'!$A$4:$A$363,A14,'18_Mo_hinh_60T'!$B$4:$B$363,"&gt;=1",'18_Mo_hinh_60T'!$B$4:$B$363,"&lt;=12")</x:f>
        <x:v>0</x:v>
      </x:c>
      <x:c r="K14" s="59" t="n">
        <x:f>SUMIFS('18_Mo_hinh_60T'!$O$4:$O$363,'18_Mo_hinh_60T'!$A$4:$A$363,A14,'18_Mo_hinh_60T'!$B$4:$B$363,"&gt;=1",'18_Mo_hinh_60T'!$B$4:$B$363,"&lt;=12")</x:f>
        <x:v>-350.5073721522751</x:v>
      </x:c>
      <x:c r="L14" s="59" t="n">
        <x:f>SUMIFS('18_Mo_hinh_60T'!$F$4:$F$363,'18_Mo_hinh_60T'!$A$4:$A$363,A14,'18_Mo_hinh_60T'!$B$4:$B$363,"&gt;=1",'18_Mo_hinh_60T'!$B$4:$B$363,"&lt;=12")</x:f>
        <x:v>3090.24</x:v>
      </x:c>
      <x:c r="M14" s="59" t="n">
        <x:f>SUMIFS('18_Mo_hinh_60T'!$K$4:$K$363,'18_Mo_hinh_60T'!$A$4:$A$363,A14,'18_Mo_hinh_60T'!$B$4:$B$363,"&gt;=1",'18_Mo_hinh_60T'!$B$4:$B$363,"&lt;=12")</x:f>
        <x:v>3096.7999999999997</x:v>
      </x:c>
      <x:c r="N14" s="59" t="n">
        <x:f>SUMIFS('18_Mo_hinh_60T'!$Q$4:$Q$363,'18_Mo_hinh_60T'!$A$4:$A$363,A14,'18_Mo_hinh_60T'!$B$4:$B$363,"&gt;=1",'18_Mo_hinh_60T'!$B$4:$B$363,"&lt;=12")-SUMIFS('18_Mo_hinh_60T'!$R$4:$R$363,'18_Mo_hinh_60T'!$A$4:$A$363,A14,'18_Mo_hinh_60T'!$B$4:$B$363,"&gt;=1",'18_Mo_hinh_60T'!$B$4:$B$363,"&lt;=12")</x:f>
        <x:v>177.06737215227497</x:v>
      </x:c>
    </x:row>
    <x:row r="15">
      <x:c r="A15" t="str">
        <x:v>DA03</x:v>
      </x:c>
      <x:c r="B15" t="n">
        <x:v>2</x:v>
      </x:c>
      <x:c r="C15" s="59" t="n">
        <x:f>SUMIFS('18_Mo_hinh_60T'!$G$4:$G$363,'18_Mo_hinh_60T'!$A$4:$A$363,A15,'18_Mo_hinh_60T'!$B$4:$B$363,"&gt;=13",'18_Mo_hinh_60T'!$B$4:$B$363,"&lt;=24")</x:f>
        <x:v>2131.2</x:v>
      </x:c>
      <x:c r="D15" s="59" t="n">
        <x:f>SUMIFS('18_Mo_hinh_60T'!$H$4:$H$363,'18_Mo_hinh_60T'!$A$4:$A$363,A15,'18_Mo_hinh_60T'!$B$4:$B$363,"&gt;=13",'18_Mo_hinh_60T'!$B$4:$B$363,"&lt;=24")</x:f>
        <x:v>1491.8399999999997</x:v>
      </x:c>
      <x:c r="E15" s="59" t="n">
        <x:f>C15-D15</x:f>
        <x:v>639.3600000000001</x:v>
      </x:c>
      <x:c r="F15" s="59" t="n">
        <x:f>SUMIFS('18_Mo_hinh_60T'!$I$4:$I$363,'18_Mo_hinh_60T'!$A$4:$A$363,A15,'18_Mo_hinh_60T'!$B$4:$B$363,"&gt;=13",'18_Mo_hinh_60T'!$B$4:$B$363,"&lt;=24")</x:f>
        <x:v>74.592</x:v>
      </x:c>
      <x:c r="G15" s="59" t="n">
        <x:f>SUMIFS('18_Mo_hinh_60T'!$J$4:$J$363,'18_Mo_hinh_60T'!$A$4:$A$363,A15,'18_Mo_hinh_60T'!$B$4:$B$363,"&gt;=13",'18_Mo_hinh_60T'!$B$4:$B$363,"&lt;=24")</x:f>
        <x:v>46.886399999999995</x:v>
      </x:c>
      <x:c r="H15" s="59" t="n">
        <x:f>SUMIFS('18_Mo_hinh_60T'!$L$4:$L$363,'18_Mo_hinh_60T'!$A$4:$A$363,A15,'18_Mo_hinh_60T'!$B$4:$B$363,"&gt;=13",'18_Mo_hinh_60T'!$B$4:$B$363,"&lt;=24")</x:f>
        <x:v>292.4695891537056</x:v>
      </x:c>
      <x:c r="I15" s="59" t="n">
        <x:f>SUMIFS('18_Mo_hinh_60T'!$M$4:$M$363,'18_Mo_hinh_60T'!$A$4:$A$363,A15,'18_Mo_hinh_60T'!$B$4:$B$363,"&gt;=13",'18_Mo_hinh_60T'!$B$4:$B$363,"&lt;=24")</x:f>
        <x:v>225.4120108462945</x:v>
      </x:c>
      <x:c r="J15" s="59" t="n">
        <x:f>SUMIFS('18_Mo_hinh_60T'!$N$4:$N$363,'18_Mo_hinh_60T'!$A$4:$A$363,A15,'18_Mo_hinh_60T'!$B$4:$B$363,"&gt;=13",'18_Mo_hinh_60T'!$B$4:$B$363,"&lt;=24")</x:f>
        <x:v>85.59951646272549</x:v>
      </x:c>
      <x:c r="K15" s="59" t="n">
        <x:f>SUMIFS('18_Mo_hinh_60T'!$O$4:$O$363,'18_Mo_hinh_60T'!$A$4:$A$363,A15,'18_Mo_hinh_60T'!$B$4:$B$363,"&gt;=13",'18_Mo_hinh_60T'!$B$4:$B$363,"&lt;=24")</x:f>
        <x:v>139.81249438356903</x:v>
      </x:c>
      <x:c r="L15" s="59" t="n">
        <x:f>SUMIFS('18_Mo_hinh_60T'!$F$4:$F$363,'18_Mo_hinh_60T'!$A$4:$A$363,A15,'18_Mo_hinh_60T'!$B$4:$B$363,"&gt;=13",'18_Mo_hinh_60T'!$B$4:$B$363,"&lt;=24")</x:f>
        <x:v>4262.399999999999</x:v>
      </x:c>
      <x:c r="M15" s="59" t="n">
        <x:f>SUMIFS('18_Mo_hinh_60T'!$K$4:$K$363,'18_Mo_hinh_60T'!$A$4:$A$363,A15,'18_Mo_hinh_60T'!$B$4:$B$363,"&gt;=13",'18_Mo_hinh_60T'!$B$4:$B$363,"&lt;=24")</x:f>
        <x:v>3096.7999999999997</x:v>
      </x:c>
      <x:c r="N15" s="59" t="n">
        <x:f>SUMIFS('18_Mo_hinh_60T'!$Q$4:$Q$363,'18_Mo_hinh_60T'!$A$4:$A$363,A15,'18_Mo_hinh_60T'!$B$4:$B$363,"&gt;=13",'18_Mo_hinh_60T'!$B$4:$B$363,"&lt;=24")-SUMIFS('18_Mo_hinh_60T'!$R$4:$R$363,'18_Mo_hinh_60T'!$A$4:$A$363,A15,'18_Mo_hinh_60T'!$B$4:$B$363,"&gt;=13",'18_Mo_hinh_60T'!$B$4:$B$363,"&lt;=24")</x:f>
        <x:v>-666.0524943835686</x:v>
      </x:c>
    </x:row>
    <x:row r="16">
      <x:c r="A16" t="str">
        <x:v>DA03</x:v>
      </x:c>
      <x:c r="B16" t="n">
        <x:v>3</x:v>
      </x:c>
      <x:c r="C16" s="59" t="n">
        <x:f>SUMIFS('18_Mo_hinh_60T'!$G$4:$G$363,'18_Mo_hinh_60T'!$A$4:$A$363,A16,'18_Mo_hinh_60T'!$B$4:$B$363,"&gt;=25",'18_Mo_hinh_60T'!$B$4:$B$363,"&lt;=36")</x:f>
        <x:v>6393.600000000001</x:v>
      </x:c>
      <x:c r="D16" s="59" t="n">
        <x:f>SUMIFS('18_Mo_hinh_60T'!$H$4:$H$363,'18_Mo_hinh_60T'!$A$4:$A$363,A16,'18_Mo_hinh_60T'!$B$4:$B$363,"&gt;=25",'18_Mo_hinh_60T'!$B$4:$B$363,"&lt;=36")</x:f>
        <x:v>4475.5199999999995</x:v>
      </x:c>
      <x:c r="E16" s="59" t="n">
        <x:f>C16-D16</x:f>
        <x:v>1918.0800000000017</x:v>
      </x:c>
      <x:c r="F16" s="59" t="n">
        <x:f>SUMIFS('18_Mo_hinh_60T'!$I$4:$I$363,'18_Mo_hinh_60T'!$A$4:$A$363,A16,'18_Mo_hinh_60T'!$B$4:$B$363,"&gt;=25",'18_Mo_hinh_60T'!$B$4:$B$363,"&lt;=36")</x:f>
        <x:v>223.77599999999998</x:v>
      </x:c>
      <x:c r="G16" s="59" t="n">
        <x:f>SUMIFS('18_Mo_hinh_60T'!$J$4:$J$363,'18_Mo_hinh_60T'!$A$4:$A$363,A16,'18_Mo_hinh_60T'!$B$4:$B$363,"&gt;=25",'18_Mo_hinh_60T'!$B$4:$B$363,"&lt;=36")</x:f>
        <x:v>140.65919999999997</x:v>
      </x:c>
      <x:c r="H16" s="59" t="n">
        <x:f>SUMIFS('18_Mo_hinh_60T'!$L$4:$L$363,'18_Mo_hinh_60T'!$A$4:$A$363,A16,'18_Mo_hinh_60T'!$B$4:$B$363,"&gt;=25",'18_Mo_hinh_60T'!$B$4:$B$363,"&lt;=36")</x:f>
        <x:v>227.64194528625245</x:v>
      </x:c>
      <x:c r="I16" s="59" t="n">
        <x:f>SUMIFS('18_Mo_hinh_60T'!$M$4:$M$363,'18_Mo_hinh_60T'!$A$4:$A$363,A16,'18_Mo_hinh_60T'!$B$4:$B$363,"&gt;=25",'18_Mo_hinh_60T'!$B$4:$B$363,"&lt;=36")</x:f>
        <x:v>1326.002854713748</x:v>
      </x:c>
      <x:c r="J16" s="59" t="n">
        <x:f>SUMIFS('18_Mo_hinh_60T'!$N$4:$N$363,'18_Mo_hinh_60T'!$A$4:$A$363,A16,'18_Mo_hinh_60T'!$B$4:$B$363,"&gt;=25",'18_Mo_hinh_60T'!$B$4:$B$363,"&lt;=36")</x:f>
        <x:v>265.20057094274966</x:v>
      </x:c>
      <x:c r="K16" s="59" t="n">
        <x:f>SUMIFS('18_Mo_hinh_60T'!$O$4:$O$363,'18_Mo_hinh_60T'!$A$4:$A$363,A16,'18_Mo_hinh_60T'!$B$4:$B$363,"&gt;=25",'18_Mo_hinh_60T'!$B$4:$B$363,"&lt;=36")</x:f>
        <x:v>1060.8022837709987</x:v>
      </x:c>
      <x:c r="L16" s="59" t="n">
        <x:f>SUMIFS('18_Mo_hinh_60T'!$F$4:$F$363,'18_Mo_hinh_60T'!$A$4:$A$363,A16,'18_Mo_hinh_60T'!$B$4:$B$363,"&gt;=25",'18_Mo_hinh_60T'!$B$4:$B$363,"&lt;=36")</x:f>
        <x:v>3303.359999999999</x:v>
      </x:c>
      <x:c r="M16" s="59" t="n">
        <x:f>SUMIFS('18_Mo_hinh_60T'!$K$4:$K$363,'18_Mo_hinh_60T'!$A$4:$A$363,A16,'18_Mo_hinh_60T'!$B$4:$B$363,"&gt;=25",'18_Mo_hinh_60T'!$B$4:$B$363,"&lt;=36")</x:f>
        <x:v>1548.3999999999999</x:v>
      </x:c>
      <x:c r="N16" s="59" t="n">
        <x:f>SUMIFS('18_Mo_hinh_60T'!$Q$4:$Q$363,'18_Mo_hinh_60T'!$A$4:$A$363,A16,'18_Mo_hinh_60T'!$B$4:$B$363,"&gt;=25",'18_Mo_hinh_60T'!$B$4:$B$363,"&lt;=36")-SUMIFS('18_Mo_hinh_60T'!$R$4:$R$363,'18_Mo_hinh_60T'!$A$4:$A$363,A16,'18_Mo_hinh_60T'!$B$4:$B$363,"&gt;=25",'18_Mo_hinh_60T'!$B$4:$B$363,"&lt;=36")</x:f>
        <x:v>-897.6822837709977</x:v>
      </x:c>
    </x:row>
    <x:row r="17">
      <x:c r="A17" t="str">
        <x:v>DA03</x:v>
      </x:c>
      <x:c r="B17" t="n">
        <x:v>4</x:v>
      </x:c>
      <x:c r="C17" s="59" t="n">
        <x:f>SUMIFS('18_Mo_hinh_60T'!$G$4:$G$363,'18_Mo_hinh_60T'!$A$4:$A$363,A17,'18_Mo_hinh_60T'!$B$4:$B$363,"&gt;=37",'18_Mo_hinh_60T'!$B$4:$B$363,"&lt;=48")</x:f>
        <x:v>2131.2</x:v>
      </x:c>
      <x:c r="D17" s="59" t="n">
        <x:f>SUMIFS('18_Mo_hinh_60T'!$H$4:$H$363,'18_Mo_hinh_60T'!$A$4:$A$363,A17,'18_Mo_hinh_60T'!$B$4:$B$363,"&gt;=37",'18_Mo_hinh_60T'!$B$4:$B$363,"&lt;=48")</x:f>
        <x:v>1491.8399999999997</x:v>
      </x:c>
      <x:c r="E17" s="59" t="n">
        <x:f>C17-D17</x:f>
        <x:v>639.3600000000001</x:v>
      </x:c>
      <x:c r="F17" s="59" t="n">
        <x:f>SUMIFS('18_Mo_hinh_60T'!$I$4:$I$363,'18_Mo_hinh_60T'!$A$4:$A$363,A17,'18_Mo_hinh_60T'!$B$4:$B$363,"&gt;=37",'18_Mo_hinh_60T'!$B$4:$B$363,"&lt;=48")</x:f>
        <x:v>74.592</x:v>
      </x:c>
      <x:c r="G17" s="59" t="n">
        <x:f>SUMIFS('18_Mo_hinh_60T'!$J$4:$J$363,'18_Mo_hinh_60T'!$A$4:$A$363,A17,'18_Mo_hinh_60T'!$B$4:$B$363,"&gt;=37",'18_Mo_hinh_60T'!$B$4:$B$363,"&lt;=48")</x:f>
        <x:v>46.886399999999995</x:v>
      </x:c>
      <x:c r="H17" s="59" t="n">
        <x:f>SUMIFS('18_Mo_hinh_60T'!$L$4:$L$363,'18_Mo_hinh_60T'!$A$4:$A$363,A17,'18_Mo_hinh_60T'!$B$4:$B$363,"&gt;=37",'18_Mo_hinh_60T'!$B$4:$B$363,"&lt;=48")</x:f>
        <x:v>203.4596430520325</x:v>
      </x:c>
      <x:c r="I17" s="59" t="n">
        <x:f>SUMIFS('18_Mo_hinh_60T'!$M$4:$M$363,'18_Mo_hinh_60T'!$A$4:$A$363,A17,'18_Mo_hinh_60T'!$B$4:$B$363,"&gt;=37",'18_Mo_hinh_60T'!$B$4:$B$363,"&lt;=48")</x:f>
        <x:v>314.4219569479676</x:v>
      </x:c>
      <x:c r="J17" s="59" t="n">
        <x:f>SUMIFS('18_Mo_hinh_60T'!$N$4:$N$363,'18_Mo_hinh_60T'!$A$4:$A$363,A17,'18_Mo_hinh_60T'!$B$4:$B$363,"&gt;=37",'18_Mo_hinh_60T'!$B$4:$B$363,"&lt;=48")</x:f>
        <x:v>90.9978926282185</x:v>
      </x:c>
      <x:c r="K17" s="59" t="n">
        <x:f>SUMIFS('18_Mo_hinh_60T'!$O$4:$O$363,'18_Mo_hinh_60T'!$A$4:$A$363,A17,'18_Mo_hinh_60T'!$B$4:$B$363,"&gt;=37",'18_Mo_hinh_60T'!$B$4:$B$363,"&lt;=48")</x:f>
        <x:v>223.42406431974922</x:v>
      </x:c>
      <x:c r="L17" s="59" t="n">
        <x:f>SUMIFS('18_Mo_hinh_60T'!$F$4:$F$363,'18_Mo_hinh_60T'!$A$4:$A$363,A17,'18_Mo_hinh_60T'!$B$4:$B$363,"&gt;=37",'18_Mo_hinh_60T'!$B$4:$B$363,"&lt;=48")</x:f>
        <x:v>0</x:v>
      </x:c>
      <x:c r="M17" s="59" t="n">
        <x:f>SUMIFS('18_Mo_hinh_60T'!$K$4:$K$363,'18_Mo_hinh_60T'!$A$4:$A$363,A17,'18_Mo_hinh_60T'!$B$4:$B$363,"&gt;=37",'18_Mo_hinh_60T'!$B$4:$B$363,"&lt;=48")</x:f>
        <x:v>0</x:v>
      </x:c>
      <x:c r="N17" s="59" t="n">
        <x:f>SUMIFS('18_Mo_hinh_60T'!$Q$4:$Q$363,'18_Mo_hinh_60T'!$A$4:$A$363,A17,'18_Mo_hinh_60T'!$B$4:$B$363,"&gt;=37",'18_Mo_hinh_60T'!$B$4:$B$363,"&lt;=48")-SUMIFS('18_Mo_hinh_60T'!$R$4:$R$363,'18_Mo_hinh_60T'!$A$4:$A$363,A17,'18_Mo_hinh_60T'!$B$4:$B$363,"&gt;=37",'18_Mo_hinh_60T'!$B$4:$B$363,"&lt;=48")</x:f>
        <x:v>415.935935680251</x:v>
      </x:c>
    </x:row>
    <x:row r="18">
      <x:c r="A18" t="str">
        <x:v>DA03</x:v>
      </x:c>
      <x:c r="B18" t="n">
        <x:v>5</x:v>
      </x:c>
      <x:c r="C18" s="59" t="n">
        <x:f>SUMIFS('18_Mo_hinh_60T'!$G$4:$G$363,'18_Mo_hinh_60T'!$A$4:$A$363,A18,'18_Mo_hinh_60T'!$B$4:$B$363,"&gt;=49",'18_Mo_hinh_60T'!$B$4:$B$363,"&lt;=60")</x:f>
        <x:v>0</x:v>
      </x:c>
      <x:c r="D18" s="59" t="n">
        <x:f>SUMIFS('18_Mo_hinh_60T'!$H$4:$H$363,'18_Mo_hinh_60T'!$A$4:$A$363,A18,'18_Mo_hinh_60T'!$B$4:$B$363,"&gt;=49",'18_Mo_hinh_60T'!$B$4:$B$363,"&lt;=60")</x:f>
        <x:v>0</x:v>
      </x:c>
      <x:c r="E18" s="59" t="n">
        <x:f>C18-D18</x:f>
        <x:v>0</x:v>
      </x:c>
      <x:c r="F18" s="59" t="n">
        <x:f>SUMIFS('18_Mo_hinh_60T'!$I$4:$I$363,'18_Mo_hinh_60T'!$A$4:$A$363,A18,'18_Mo_hinh_60T'!$B$4:$B$363,"&gt;=49",'18_Mo_hinh_60T'!$B$4:$B$363,"&lt;=60")</x:f>
        <x:v>0</x:v>
      </x:c>
      <x:c r="G18" s="59" t="n">
        <x:f>SUMIFS('18_Mo_hinh_60T'!$J$4:$J$363,'18_Mo_hinh_60T'!$A$4:$A$363,A18,'18_Mo_hinh_60T'!$B$4:$B$363,"&gt;=49",'18_Mo_hinh_60T'!$B$4:$B$363,"&lt;=60")</x:f>
        <x:v>0</x:v>
      </x:c>
      <x:c r="H18" s="59" t="n">
        <x:f>SUMIFS('18_Mo_hinh_60T'!$L$4:$L$363,'18_Mo_hinh_60T'!$A$4:$A$363,A18,'18_Mo_hinh_60T'!$B$4:$B$363,"&gt;=49",'18_Mo_hinh_60T'!$B$4:$B$363,"&lt;=60")</x:f>
        <x:v>228.198335437792</x:v>
      </x:c>
      <x:c r="I18" s="59" t="n">
        <x:f>SUMIFS('18_Mo_hinh_60T'!$M$4:$M$363,'18_Mo_hinh_60T'!$A$4:$A$363,A18,'18_Mo_hinh_60T'!$B$4:$B$363,"&gt;=49",'18_Mo_hinh_60T'!$B$4:$B$363,"&lt;=60")</x:f>
        <x:v>-228.198335437792</x:v>
      </x:c>
      <x:c r="J18" s="59" t="n">
        <x:f>SUMIFS('18_Mo_hinh_60T'!$N$4:$N$363,'18_Mo_hinh_60T'!$A$4:$A$363,A18,'18_Mo_hinh_60T'!$B$4:$B$363,"&gt;=49",'18_Mo_hinh_60T'!$B$4:$B$363,"&lt;=60")</x:f>
        <x:v>0</x:v>
      </x:c>
      <x:c r="K18" s="59" t="n">
        <x:f>SUMIFS('18_Mo_hinh_60T'!$O$4:$O$363,'18_Mo_hinh_60T'!$A$4:$A$363,A18,'18_Mo_hinh_60T'!$B$4:$B$363,"&gt;=49",'18_Mo_hinh_60T'!$B$4:$B$363,"&lt;=60")</x:f>
        <x:v>-228.198335437792</x:v>
      </x:c>
      <x:c r="L18" s="59" t="n">
        <x:f>SUMIFS('18_Mo_hinh_60T'!$F$4:$F$363,'18_Mo_hinh_60T'!$A$4:$A$363,A18,'18_Mo_hinh_60T'!$B$4:$B$363,"&gt;=49",'18_Mo_hinh_60T'!$B$4:$B$363,"&lt;=60")</x:f>
        <x:v>0</x:v>
      </x:c>
      <x:c r="M18" s="59" t="n">
        <x:f>SUMIFS('18_Mo_hinh_60T'!$K$4:$K$363,'18_Mo_hinh_60T'!$A$4:$A$363,A18,'18_Mo_hinh_60T'!$B$4:$B$363,"&gt;=49",'18_Mo_hinh_60T'!$B$4:$B$363,"&lt;=60")</x:f>
        <x:v>0</x:v>
      </x:c>
      <x:c r="N18" s="59" t="n">
        <x:f>SUMIFS('18_Mo_hinh_60T'!$Q$4:$Q$363,'18_Mo_hinh_60T'!$A$4:$A$363,A18,'18_Mo_hinh_60T'!$B$4:$B$363,"&gt;=49",'18_Mo_hinh_60T'!$B$4:$B$363,"&lt;=60")-SUMIFS('18_Mo_hinh_60T'!$R$4:$R$363,'18_Mo_hinh_60T'!$A$4:$A$363,A18,'18_Mo_hinh_60T'!$B$4:$B$363,"&gt;=49",'18_Mo_hinh_60T'!$B$4:$B$363,"&lt;=60")</x:f>
        <x:v>228.198335437792</x:v>
      </x:c>
    </x:row>
    <x:row r="19">
      <x:c r="A19" t="str">
        <x:v>DA04</x:v>
      </x:c>
      <x:c r="B19" t="n">
        <x:v>1</x:v>
      </x:c>
      <x:c r="C19" s="59" t="n">
        <x:f>SUMIFS('18_Mo_hinh_60T'!$G$4:$G$363,'18_Mo_hinh_60T'!$A$4:$A$363,A19,'18_Mo_hinh_60T'!$B$4:$B$363,"&gt;=1",'18_Mo_hinh_60T'!$B$4:$B$363,"&lt;=12")</x:f>
        <x:v>1011.9999999999998</x:v>
      </x:c>
      <x:c r="D19" s="59" t="n">
        <x:f>SUMIFS('18_Mo_hinh_60T'!$H$4:$H$363,'18_Mo_hinh_60T'!$A$4:$A$363,A19,'18_Mo_hinh_60T'!$B$4:$B$363,"&gt;=1",'18_Mo_hinh_60T'!$B$4:$B$363,"&lt;=12")</x:f>
        <x:v>698.2799999999997</x:v>
      </x:c>
      <x:c r="E19" s="59" t="n">
        <x:f>C19-D19</x:f>
        <x:v>313.72</x:v>
      </x:c>
      <x:c r="F19" s="59" t="n">
        <x:f>SUMIFS('18_Mo_hinh_60T'!$I$4:$I$363,'18_Mo_hinh_60T'!$A$4:$A$363,A19,'18_Mo_hinh_60T'!$B$4:$B$363,"&gt;=1",'18_Mo_hinh_60T'!$B$4:$B$363,"&lt;=12")</x:f>
        <x:v>40.47999999999999</x:v>
      </x:c>
      <x:c r="G19" s="59" t="n">
        <x:f>SUMIFS('18_Mo_hinh_60T'!$J$4:$J$363,'18_Mo_hinh_60T'!$A$4:$A$363,A19,'18_Mo_hinh_60T'!$B$4:$B$363,"&gt;=1",'18_Mo_hinh_60T'!$B$4:$B$363,"&lt;=12")</x:f>
        <x:v>22.263999999999996</x:v>
      </x:c>
      <x:c r="H19" s="59" t="n">
        <x:f>SUMIFS('18_Mo_hinh_60T'!$L$4:$L$363,'18_Mo_hinh_60T'!$A$4:$A$363,A19,'18_Mo_hinh_60T'!$B$4:$B$363,"&gt;=1",'18_Mo_hinh_60T'!$B$4:$B$363,"&lt;=12")</x:f>
        <x:v>301.07202061849097</x:v>
      </x:c>
      <x:c r="I19" s="59" t="n">
        <x:f>SUMIFS('18_Mo_hinh_60T'!$M$4:$M$363,'18_Mo_hinh_60T'!$A$4:$A$363,A19,'18_Mo_hinh_60T'!$B$4:$B$363,"&gt;=1",'18_Mo_hinh_60T'!$B$4:$B$363,"&lt;=12")</x:f>
        <x:v>-50.09602061849098</x:v>
      </x:c>
      <x:c r="J19" s="59" t="n">
        <x:f>SUMIFS('18_Mo_hinh_60T'!$N$4:$N$363,'18_Mo_hinh_60T'!$A$4:$A$363,A19,'18_Mo_hinh_60T'!$B$4:$B$363,"&gt;=1",'18_Mo_hinh_60T'!$B$4:$B$363,"&lt;=12")</x:f>
        <x:v>34.018516719492425</x:v>
      </x:c>
      <x:c r="K19" s="59" t="n">
        <x:f>SUMIFS('18_Mo_hinh_60T'!$O$4:$O$363,'18_Mo_hinh_60T'!$A$4:$A$363,A19,'18_Mo_hinh_60T'!$B$4:$B$363,"&gt;=1",'18_Mo_hinh_60T'!$B$4:$B$363,"&lt;=12")</x:f>
        <x:v>-84.11453733798344</x:v>
      </x:c>
      <x:c r="L19" s="59" t="n">
        <x:f>SUMIFS('18_Mo_hinh_60T'!$F$4:$F$363,'18_Mo_hinh_60T'!$A$4:$A$363,A19,'18_Mo_hinh_60T'!$B$4:$B$363,"&gt;=1",'18_Mo_hinh_60T'!$B$4:$B$363,"&lt;=12")</x:f>
        <x:v>2960.1</x:v>
      </x:c>
      <x:c r="M19" s="59" t="n">
        <x:f>SUMIFS('18_Mo_hinh_60T'!$K$4:$K$363,'18_Mo_hinh_60T'!$A$4:$A$363,A19,'18_Mo_hinh_60T'!$B$4:$B$363,"&gt;=1",'18_Mo_hinh_60T'!$B$4:$B$363,"&lt;=12")</x:f>
        <x:v>3331.9999999999995</x:v>
      </x:c>
      <x:c r="N19" s="59" t="n">
        <x:f>SUMIFS('18_Mo_hinh_60T'!$Q$4:$Q$363,'18_Mo_hinh_60T'!$A$4:$A$363,A19,'18_Mo_hinh_60T'!$B$4:$B$363,"&gt;=1",'18_Mo_hinh_60T'!$B$4:$B$363,"&lt;=12")-SUMIFS('18_Mo_hinh_60T'!$R$4:$R$363,'18_Mo_hinh_60T'!$A$4:$A$363,A19,'18_Mo_hinh_60T'!$B$4:$B$363,"&gt;=1",'18_Mo_hinh_60T'!$B$4:$B$363,"&lt;=12")</x:f>
        <x:v>549.7345373379842</x:v>
      </x:c>
    </x:row>
    <x:row r="20">
      <x:c r="A20" t="str">
        <x:v>DA04</x:v>
      </x:c>
      <x:c r="B20" t="n">
        <x:v>2</x:v>
      </x:c>
      <x:c r="C20" s="59" t="n">
        <x:f>SUMIFS('18_Mo_hinh_60T'!$G$4:$G$363,'18_Mo_hinh_60T'!$A$4:$A$363,A20,'18_Mo_hinh_60T'!$B$4:$B$363,"&gt;=13",'18_Mo_hinh_60T'!$B$4:$B$363,"&lt;=24")</x:f>
        <x:v>4047.999999999998</x:v>
      </x:c>
      <x:c r="D20" s="59" t="n">
        <x:f>SUMIFS('18_Mo_hinh_60T'!$H$4:$H$363,'18_Mo_hinh_60T'!$A$4:$A$363,A20,'18_Mo_hinh_60T'!$B$4:$B$363,"&gt;=13",'18_Mo_hinh_60T'!$B$4:$B$363,"&lt;=24")</x:f>
        <x:v>2793.119999999999</x:v>
      </x:c>
      <x:c r="E20" s="59" t="n">
        <x:f>C20-D20</x:f>
        <x:v>1254.8799999999992</x:v>
      </x:c>
      <x:c r="F20" s="59" t="n">
        <x:f>SUMIFS('18_Mo_hinh_60T'!$I$4:$I$363,'18_Mo_hinh_60T'!$A$4:$A$363,A20,'18_Mo_hinh_60T'!$B$4:$B$363,"&gt;=13",'18_Mo_hinh_60T'!$B$4:$B$363,"&lt;=24")</x:f>
        <x:v>161.91999999999996</x:v>
      </x:c>
      <x:c r="G20" s="59" t="n">
        <x:f>SUMIFS('18_Mo_hinh_60T'!$J$4:$J$363,'18_Mo_hinh_60T'!$A$4:$A$363,A20,'18_Mo_hinh_60T'!$B$4:$B$363,"&gt;=13",'18_Mo_hinh_60T'!$B$4:$B$363,"&lt;=24")</x:f>
        <x:v>89.05599999999998</x:v>
      </x:c>
      <x:c r="H20" s="59" t="n">
        <x:f>SUMIFS('18_Mo_hinh_60T'!$L$4:$L$363,'18_Mo_hinh_60T'!$A$4:$A$363,A20,'18_Mo_hinh_60T'!$B$4:$B$363,"&gt;=13",'18_Mo_hinh_60T'!$B$4:$B$363,"&lt;=24")</x:f>
        <x:v>333.29971460904017</x:v>
      </x:c>
      <x:c r="I20" s="59" t="n">
        <x:f>SUMIFS('18_Mo_hinh_60T'!$M$4:$M$363,'18_Mo_hinh_60T'!$A$4:$A$363,A20,'18_Mo_hinh_60T'!$B$4:$B$363,"&gt;=13",'18_Mo_hinh_60T'!$B$4:$B$363,"&lt;=24")</x:f>
        <x:v>670.6042853909598</x:v>
      </x:c>
      <x:c r="J20" s="59" t="n">
        <x:f>SUMIFS('18_Mo_hinh_60T'!$N$4:$N$363,'18_Mo_hinh_60T'!$A$4:$A$363,A20,'18_Mo_hinh_60T'!$B$4:$B$363,"&gt;=13",'18_Mo_hinh_60T'!$B$4:$B$363,"&lt;=24")</x:f>
        <x:v>134.120857078192</x:v>
      </x:c>
      <x:c r="K20" s="59" t="n">
        <x:f>SUMIFS('18_Mo_hinh_60T'!$O$4:$O$363,'18_Mo_hinh_60T'!$A$4:$A$363,A20,'18_Mo_hinh_60T'!$B$4:$B$363,"&gt;=13",'18_Mo_hinh_60T'!$B$4:$B$363,"&lt;=24")</x:f>
        <x:v>536.4834283127677</x:v>
      </x:c>
      <x:c r="L20" s="59" t="n">
        <x:f>SUMIFS('18_Mo_hinh_60T'!$F$4:$F$363,'18_Mo_hinh_60T'!$A$4:$A$363,A20,'18_Mo_hinh_60T'!$B$4:$B$363,"&gt;=13",'18_Mo_hinh_60T'!$B$4:$B$363,"&lt;=24")</x:f>
        <x:v>3035.9999999999995</x:v>
      </x:c>
      <x:c r="M20" s="59" t="n">
        <x:f>SUMIFS('18_Mo_hinh_60T'!$K$4:$K$363,'18_Mo_hinh_60T'!$A$4:$A$363,A20,'18_Mo_hinh_60T'!$B$4:$B$363,"&gt;=13",'18_Mo_hinh_60T'!$B$4:$B$363,"&lt;=24")</x:f>
        <x:v>1666.0000000000002</x:v>
      </x:c>
      <x:c r="N20" s="59" t="n">
        <x:f>SUMIFS('18_Mo_hinh_60T'!$Q$4:$Q$363,'18_Mo_hinh_60T'!$A$4:$A$363,A20,'18_Mo_hinh_60T'!$B$4:$B$363,"&gt;=13",'18_Mo_hinh_60T'!$B$4:$B$363,"&lt;=24")-SUMIFS('18_Mo_hinh_60T'!$R$4:$R$363,'18_Mo_hinh_60T'!$A$4:$A$363,A20,'18_Mo_hinh_60T'!$B$4:$B$363,"&gt;=13",'18_Mo_hinh_60T'!$B$4:$B$363,"&lt;=24")</x:f>
        <x:v>-960.5547168234397</x:v>
      </x:c>
    </x:row>
    <x:row r="21">
      <x:c r="A21" t="str">
        <x:v>DA04</x:v>
      </x:c>
      <x:c r="B21" t="n">
        <x:v>3</x:v>
      </x:c>
      <x:c r="C21" s="59" t="n">
        <x:f>SUMIFS('18_Mo_hinh_60T'!$G$4:$G$363,'18_Mo_hinh_60T'!$A$4:$A$363,A21,'18_Mo_hinh_60T'!$B$4:$B$363,"&gt;=25",'18_Mo_hinh_60T'!$B$4:$B$363,"&lt;=36")</x:f>
        <x:v>1011.9999999999998</x:v>
      </x:c>
      <x:c r="D21" s="59" t="n">
        <x:f>SUMIFS('18_Mo_hinh_60T'!$H$4:$H$363,'18_Mo_hinh_60T'!$A$4:$A$363,A21,'18_Mo_hinh_60T'!$B$4:$B$363,"&gt;=25",'18_Mo_hinh_60T'!$B$4:$B$363,"&lt;=36")</x:f>
        <x:v>698.2799999999997</x:v>
      </x:c>
      <x:c r="E21" s="59" t="n">
        <x:f>C21-D21</x:f>
        <x:v>313.72</x:v>
      </x:c>
      <x:c r="F21" s="59" t="n">
        <x:f>SUMIFS('18_Mo_hinh_60T'!$I$4:$I$363,'18_Mo_hinh_60T'!$A$4:$A$363,A21,'18_Mo_hinh_60T'!$B$4:$B$363,"&gt;=25",'18_Mo_hinh_60T'!$B$4:$B$363,"&lt;=36")</x:f>
        <x:v>40.47999999999999</x:v>
      </x:c>
      <x:c r="G21" s="59" t="n">
        <x:f>SUMIFS('18_Mo_hinh_60T'!$J$4:$J$363,'18_Mo_hinh_60T'!$A$4:$A$363,A21,'18_Mo_hinh_60T'!$B$4:$B$363,"&gt;=25",'18_Mo_hinh_60T'!$B$4:$B$363,"&lt;=36")</x:f>
        <x:v>22.263999999999996</x:v>
      </x:c>
      <x:c r="H21" s="59" t="n">
        <x:f>SUMIFS('18_Mo_hinh_60T'!$L$4:$L$363,'18_Mo_hinh_60T'!$A$4:$A$363,A21,'18_Mo_hinh_60T'!$B$4:$B$363,"&gt;=25",'18_Mo_hinh_60T'!$B$4:$B$363,"&lt;=36")</x:f>
        <x:v>260.7234619034984</x:v>
      </x:c>
      <x:c r="I21" s="59" t="n">
        <x:f>SUMIFS('18_Mo_hinh_60T'!$M$4:$M$363,'18_Mo_hinh_60T'!$A$4:$A$363,A21,'18_Mo_hinh_60T'!$B$4:$B$363,"&gt;=25",'18_Mo_hinh_60T'!$B$4:$B$363,"&lt;=36")</x:f>
        <x:v>-9.74746190349844</x:v>
      </x:c>
      <x:c r="J21" s="59" t="n">
        <x:f>SUMIFS('18_Mo_hinh_60T'!$N$4:$N$363,'18_Mo_hinh_60T'!$A$4:$A$363,A21,'18_Mo_hinh_60T'!$B$4:$B$363,"&gt;=25",'18_Mo_hinh_60T'!$B$4:$B$363,"&lt;=36")</x:f>
        <x:v>37.76572993044073</x:v>
      </x:c>
      <x:c r="K21" s="59" t="n">
        <x:f>SUMIFS('18_Mo_hinh_60T'!$O$4:$O$363,'18_Mo_hinh_60T'!$A$4:$A$363,A21,'18_Mo_hinh_60T'!$B$4:$B$363,"&gt;=25",'18_Mo_hinh_60T'!$B$4:$B$363,"&lt;=36")</x:f>
        <x:v>-47.51319183393912</x:v>
      </x:c>
      <x:c r="L21" s="59" t="n">
        <x:f>SUMIFS('18_Mo_hinh_60T'!$F$4:$F$363,'18_Mo_hinh_60T'!$A$4:$A$363,A21,'18_Mo_hinh_60T'!$B$4:$B$363,"&gt;=25",'18_Mo_hinh_60T'!$B$4:$B$363,"&lt;=36")</x:f>
        <x:v>75.89999999999999</x:v>
      </x:c>
      <x:c r="M21" s="59" t="n">
        <x:f>SUMIFS('18_Mo_hinh_60T'!$K$4:$K$363,'18_Mo_hinh_60T'!$A$4:$A$363,A21,'18_Mo_hinh_60T'!$B$4:$B$363,"&gt;=25",'18_Mo_hinh_60T'!$B$4:$B$363,"&lt;=36")</x:f>
        <x:v>0</x:v>
      </x:c>
      <x:c r="N21" s="59" t="n">
        <x:f>SUMIFS('18_Mo_hinh_60T'!$Q$4:$Q$363,'18_Mo_hinh_60T'!$A$4:$A$363,A21,'18_Mo_hinh_60T'!$B$4:$B$363,"&gt;=25",'18_Mo_hinh_60T'!$B$4:$B$363,"&lt;=36")-SUMIFS('18_Mo_hinh_60T'!$R$4:$R$363,'18_Mo_hinh_60T'!$A$4:$A$363,A21,'18_Mo_hinh_60T'!$B$4:$B$363,"&gt;=25",'18_Mo_hinh_60T'!$B$4:$B$363,"&lt;=36")</x:f>
        <x:v>285.3331918339391</x:v>
      </x:c>
    </x:row>
    <x:row r="22">
      <x:c r="A22" t="str">
        <x:v>DA04</x:v>
      </x:c>
      <x:c r="B22" t="n">
        <x:v>4</x:v>
      </x:c>
      <x:c r="C22" s="59" t="n">
        <x:f>SUMIFS('18_Mo_hinh_60T'!$G$4:$G$363,'18_Mo_hinh_60T'!$A$4:$A$363,A22,'18_Mo_hinh_60T'!$B$4:$B$363,"&gt;=37",'18_Mo_hinh_60T'!$B$4:$B$363,"&lt;=48")</x:f>
        <x:v>0</x:v>
      </x:c>
      <x:c r="D22" s="59" t="n">
        <x:f>SUMIFS('18_Mo_hinh_60T'!$H$4:$H$363,'18_Mo_hinh_60T'!$A$4:$A$363,A22,'18_Mo_hinh_60T'!$B$4:$B$363,"&gt;=37",'18_Mo_hinh_60T'!$B$4:$B$363,"&lt;=48")</x:f>
        <x:v>0</x:v>
      </x:c>
      <x:c r="E22" s="59" t="n">
        <x:f>C22-D22</x:f>
        <x:v>0</x:v>
      </x:c>
      <x:c r="F22" s="59" t="n">
        <x:f>SUMIFS('18_Mo_hinh_60T'!$I$4:$I$363,'18_Mo_hinh_60T'!$A$4:$A$363,A22,'18_Mo_hinh_60T'!$B$4:$B$363,"&gt;=37",'18_Mo_hinh_60T'!$B$4:$B$363,"&lt;=48")</x:f>
        <x:v>0</x:v>
      </x:c>
      <x:c r="G22" s="59" t="n">
        <x:f>SUMIFS('18_Mo_hinh_60T'!$J$4:$J$363,'18_Mo_hinh_60T'!$A$4:$A$363,A22,'18_Mo_hinh_60T'!$B$4:$B$363,"&gt;=37",'18_Mo_hinh_60T'!$B$4:$B$363,"&lt;=48")</x:f>
        <x:v>0</x:v>
      </x:c>
      <x:c r="H22" s="59" t="n">
        <x:f>SUMIFS('18_Mo_hinh_60T'!$L$4:$L$363,'18_Mo_hinh_60T'!$A$4:$A$363,A22,'18_Mo_hinh_60T'!$B$4:$B$363,"&gt;=37",'18_Mo_hinh_60T'!$B$4:$B$363,"&lt;=48")</x:f>
        <x:v>287.67041390295435</x:v>
      </x:c>
      <x:c r="I22" s="59" t="n">
        <x:f>SUMIFS('18_Mo_hinh_60T'!$M$4:$M$363,'18_Mo_hinh_60T'!$A$4:$A$363,A22,'18_Mo_hinh_60T'!$B$4:$B$363,"&gt;=37",'18_Mo_hinh_60T'!$B$4:$B$363,"&lt;=48")</x:f>
        <x:v>-287.67041390295435</x:v>
      </x:c>
      <x:c r="J22" s="59" t="n">
        <x:f>SUMIFS('18_Mo_hinh_60T'!$N$4:$N$363,'18_Mo_hinh_60T'!$A$4:$A$363,A22,'18_Mo_hinh_60T'!$B$4:$B$363,"&gt;=37",'18_Mo_hinh_60T'!$B$4:$B$363,"&lt;=48")</x:f>
        <x:v>0</x:v>
      </x:c>
      <x:c r="K22" s="59" t="n">
        <x:f>SUMIFS('18_Mo_hinh_60T'!$O$4:$O$363,'18_Mo_hinh_60T'!$A$4:$A$363,A22,'18_Mo_hinh_60T'!$B$4:$B$363,"&gt;=37",'18_Mo_hinh_60T'!$B$4:$B$363,"&lt;=48")</x:f>
        <x:v>-287.67041390295435</x:v>
      </x:c>
      <x:c r="L22" s="59" t="n">
        <x:f>SUMIFS('18_Mo_hinh_60T'!$F$4:$F$363,'18_Mo_hinh_60T'!$A$4:$A$363,A22,'18_Mo_hinh_60T'!$B$4:$B$363,"&gt;=37",'18_Mo_hinh_60T'!$B$4:$B$363,"&lt;=48")</x:f>
        <x:v>0</x:v>
      </x:c>
      <x:c r="M22" s="59" t="n">
        <x:f>SUMIFS('18_Mo_hinh_60T'!$K$4:$K$363,'18_Mo_hinh_60T'!$A$4:$A$363,A22,'18_Mo_hinh_60T'!$B$4:$B$363,"&gt;=37",'18_Mo_hinh_60T'!$B$4:$B$363,"&lt;=48")</x:f>
        <x:v>0</x:v>
      </x:c>
      <x:c r="N22" s="59" t="n">
        <x:f>SUMIFS('18_Mo_hinh_60T'!$Q$4:$Q$363,'18_Mo_hinh_60T'!$A$4:$A$363,A22,'18_Mo_hinh_60T'!$B$4:$B$363,"&gt;=37",'18_Mo_hinh_60T'!$B$4:$B$363,"&lt;=48")-SUMIFS('18_Mo_hinh_60T'!$R$4:$R$363,'18_Mo_hinh_60T'!$A$4:$A$363,A22,'18_Mo_hinh_60T'!$B$4:$B$363,"&gt;=37",'18_Mo_hinh_60T'!$B$4:$B$363,"&lt;=48")</x:f>
        <x:v>287.67041390295435</x:v>
      </x:c>
    </x:row>
    <x:row r="23">
      <x:c r="A23" t="str">
        <x:v>DA04</x:v>
      </x:c>
      <x:c r="B23" t="n">
        <x:v>5</x:v>
      </x:c>
      <x:c r="C23" s="59" t="n">
        <x:f>SUMIFS('18_Mo_hinh_60T'!$G$4:$G$363,'18_Mo_hinh_60T'!$A$4:$A$363,A23,'18_Mo_hinh_60T'!$B$4:$B$363,"&gt;=49",'18_Mo_hinh_60T'!$B$4:$B$363,"&lt;=60")</x:f>
        <x:v>0</x:v>
      </x:c>
      <x:c r="D23" s="59" t="n">
        <x:f>SUMIFS('18_Mo_hinh_60T'!$H$4:$H$363,'18_Mo_hinh_60T'!$A$4:$A$363,A23,'18_Mo_hinh_60T'!$B$4:$B$363,"&gt;=49",'18_Mo_hinh_60T'!$B$4:$B$363,"&lt;=60")</x:f>
        <x:v>0</x:v>
      </x:c>
      <x:c r="E23" s="59" t="n">
        <x:f>C23-D23</x:f>
        <x:v>0</x:v>
      </x:c>
      <x:c r="F23" s="59" t="n">
        <x:f>SUMIFS('18_Mo_hinh_60T'!$I$4:$I$363,'18_Mo_hinh_60T'!$A$4:$A$363,A23,'18_Mo_hinh_60T'!$B$4:$B$363,"&gt;=49",'18_Mo_hinh_60T'!$B$4:$B$363,"&lt;=60")</x:f>
        <x:v>0</x:v>
      </x:c>
      <x:c r="G23" s="59" t="n">
        <x:f>SUMIFS('18_Mo_hinh_60T'!$J$4:$J$363,'18_Mo_hinh_60T'!$A$4:$A$363,A23,'18_Mo_hinh_60T'!$B$4:$B$363,"&gt;=49",'18_Mo_hinh_60T'!$B$4:$B$363,"&lt;=60")</x:f>
        <x:v>0</x:v>
      </x:c>
      <x:c r="H23" s="59" t="n">
        <x:f>SUMIFS('18_Mo_hinh_60T'!$L$4:$L$363,'18_Mo_hinh_60T'!$A$4:$A$363,A23,'18_Mo_hinh_60T'!$B$4:$B$363,"&gt;=49",'18_Mo_hinh_60T'!$B$4:$B$363,"&lt;=60")</x:f>
        <x:v>316.2210074944064</x:v>
      </x:c>
      <x:c r="I23" s="59" t="n">
        <x:f>SUMIFS('18_Mo_hinh_60T'!$M$4:$M$363,'18_Mo_hinh_60T'!$A$4:$A$363,A23,'18_Mo_hinh_60T'!$B$4:$B$363,"&gt;=49",'18_Mo_hinh_60T'!$B$4:$B$363,"&lt;=60")</x:f>
        <x:v>-316.2210074944064</x:v>
      </x:c>
      <x:c r="J23" s="59" t="n">
        <x:f>SUMIFS('18_Mo_hinh_60T'!$N$4:$N$363,'18_Mo_hinh_60T'!$A$4:$A$363,A23,'18_Mo_hinh_60T'!$B$4:$B$363,"&gt;=49",'18_Mo_hinh_60T'!$B$4:$B$363,"&lt;=60")</x:f>
        <x:v>0</x:v>
      </x:c>
      <x:c r="K23" s="59" t="n">
        <x:f>SUMIFS('18_Mo_hinh_60T'!$O$4:$O$363,'18_Mo_hinh_60T'!$A$4:$A$363,A23,'18_Mo_hinh_60T'!$B$4:$B$363,"&gt;=49",'18_Mo_hinh_60T'!$B$4:$B$363,"&lt;=60")</x:f>
        <x:v>-316.2210074944064</x:v>
      </x:c>
      <x:c r="L23" s="59" t="n">
        <x:f>SUMIFS('18_Mo_hinh_60T'!$F$4:$F$363,'18_Mo_hinh_60T'!$A$4:$A$363,A23,'18_Mo_hinh_60T'!$B$4:$B$363,"&gt;=49",'18_Mo_hinh_60T'!$B$4:$B$363,"&lt;=60")</x:f>
        <x:v>0</x:v>
      </x:c>
      <x:c r="M23" s="59" t="n">
        <x:f>SUMIFS('18_Mo_hinh_60T'!$K$4:$K$363,'18_Mo_hinh_60T'!$A$4:$A$363,A23,'18_Mo_hinh_60T'!$B$4:$B$363,"&gt;=49",'18_Mo_hinh_60T'!$B$4:$B$363,"&lt;=60")</x:f>
        <x:v>0</x:v>
      </x:c>
      <x:c r="N23" s="59" t="n">
        <x:f>SUMIFS('18_Mo_hinh_60T'!$Q$4:$Q$363,'18_Mo_hinh_60T'!$A$4:$A$363,A23,'18_Mo_hinh_60T'!$B$4:$B$363,"&gt;=49",'18_Mo_hinh_60T'!$B$4:$B$363,"&lt;=60")-SUMIFS('18_Mo_hinh_60T'!$R$4:$R$363,'18_Mo_hinh_60T'!$A$4:$A$363,A23,'18_Mo_hinh_60T'!$B$4:$B$363,"&gt;=49",'18_Mo_hinh_60T'!$B$4:$B$363,"&lt;=60")</x:f>
        <x:v>316.2210074944064</x:v>
      </x:c>
    </x:row>
    <x:row r="24">
      <x:c r="A24" t="str">
        <x:v>DA05</x:v>
      </x:c>
      <x:c r="B24" t="n">
        <x:v>1</x:v>
      </x:c>
      <x:c r="C24" s="59" t="n">
        <x:f>SUMIFS('18_Mo_hinh_60T'!$G$4:$G$363,'18_Mo_hinh_60T'!$A$4:$A$363,A24,'18_Mo_hinh_60T'!$B$4:$B$363,"&gt;=1",'18_Mo_hinh_60T'!$B$4:$B$363,"&lt;=12")</x:f>
        <x:v>845.9999999999999</x:v>
      </x:c>
      <x:c r="D24" s="59" t="n">
        <x:f>SUMIFS('18_Mo_hinh_60T'!$H$4:$H$363,'18_Mo_hinh_60T'!$A$4:$A$363,A24,'18_Mo_hinh_60T'!$B$4:$B$363,"&gt;=1",'18_Mo_hinh_60T'!$B$4:$B$363,"&lt;=12")</x:f>
        <x:v>600.6599999999996</x:v>
      </x:c>
      <x:c r="E24" s="59" t="n">
        <x:f>C24-D24</x:f>
        <x:v>245.34000000000026</x:v>
      </x:c>
      <x:c r="F24" s="59" t="n">
        <x:f>SUMIFS('18_Mo_hinh_60T'!$I$4:$I$363,'18_Mo_hinh_60T'!$A$4:$A$363,A24,'18_Mo_hinh_60T'!$B$4:$B$363,"&gt;=1",'18_Mo_hinh_60T'!$B$4:$B$363,"&lt;=12")</x:f>
        <x:v>21.14999999999999</x:v>
      </x:c>
      <x:c r="G24" s="59" t="n">
        <x:f>SUMIFS('18_Mo_hinh_60T'!$J$4:$J$363,'18_Mo_hinh_60T'!$A$4:$A$363,A24,'18_Mo_hinh_60T'!$B$4:$B$363,"&gt;=1",'18_Mo_hinh_60T'!$B$4:$B$363,"&lt;=12")</x:f>
        <x:v>15.227999999999996</x:v>
      </x:c>
      <x:c r="H24" s="59" t="n">
        <x:f>SUMIFS('18_Mo_hinh_60T'!$L$4:$L$363,'18_Mo_hinh_60T'!$A$4:$A$363,A24,'18_Mo_hinh_60T'!$B$4:$B$363,"&gt;=1",'18_Mo_hinh_60T'!$B$4:$B$363,"&lt;=12")</x:f>
        <x:v>249.18122825684782</x:v>
      </x:c>
      <x:c r="I24" s="59" t="n">
        <x:f>SUMIFS('18_Mo_hinh_60T'!$M$4:$M$363,'18_Mo_hinh_60T'!$A$4:$A$363,A24,'18_Mo_hinh_60T'!$B$4:$B$363,"&gt;=1",'18_Mo_hinh_60T'!$B$4:$B$363,"&lt;=12")</x:f>
        <x:v>-40.219228256847835</x:v>
      </x:c>
      <x:c r="J24" s="59" t="n">
        <x:f>SUMIFS('18_Mo_hinh_60T'!$N$4:$N$363,'18_Mo_hinh_60T'!$A$4:$A$363,A24,'18_Mo_hinh_60T'!$B$4:$B$363,"&gt;=1",'18_Mo_hinh_60T'!$B$4:$B$363,"&lt;=12")</x:f>
        <x:v>0</x:v>
      </x:c>
      <x:c r="K24" s="59" t="n">
        <x:f>SUMIFS('18_Mo_hinh_60T'!$O$4:$O$363,'18_Mo_hinh_60T'!$A$4:$A$363,A24,'18_Mo_hinh_60T'!$B$4:$B$363,"&gt;=1",'18_Mo_hinh_60T'!$B$4:$B$363,"&lt;=12")</x:f>
        <x:v>-40.219228256847835</x:v>
      </x:c>
      <x:c r="L24" s="59" t="n">
        <x:f>SUMIFS('18_Mo_hinh_60T'!$F$4:$F$363,'18_Mo_hinh_60T'!$A$4:$A$363,A24,'18_Mo_hinh_60T'!$B$4:$B$363,"&gt;=1",'18_Mo_hinh_60T'!$B$4:$B$363,"&lt;=12")</x:f>
        <x:v>824.8499999999999</x:v>
      </x:c>
      <x:c r="M24" s="59" t="n">
        <x:f>SUMIFS('18_Mo_hinh_60T'!$K$4:$K$363,'18_Mo_hinh_60T'!$A$4:$A$363,A24,'18_Mo_hinh_60T'!$B$4:$B$363,"&gt;=1",'18_Mo_hinh_60T'!$B$4:$B$363,"&lt;=12")</x:f>
        <x:v>1968.4999999999998</x:v>
      </x:c>
      <x:c r="N24" s="59" t="n">
        <x:f>SUMIFS('18_Mo_hinh_60T'!$Q$4:$Q$363,'18_Mo_hinh_60T'!$A$4:$A$363,A24,'18_Mo_hinh_60T'!$B$4:$B$363,"&gt;=1",'18_Mo_hinh_60T'!$B$4:$B$363,"&lt;=12")-SUMIFS('18_Mo_hinh_60T'!$R$4:$R$363,'18_Mo_hinh_60T'!$A$4:$A$363,A24,'18_Mo_hinh_60T'!$B$4:$B$363,"&gt;=1",'18_Mo_hinh_60T'!$B$4:$B$363,"&lt;=12")</x:f>
        <x:v>280.26778360843963</x:v>
      </x:c>
    </x:row>
    <x:row r="25">
      <x:c r="A25" t="str">
        <x:v>DA05</x:v>
      </x:c>
      <x:c r="B25" t="n">
        <x:v>2</x:v>
      </x:c>
      <x:c r="C25" s="59" t="n">
        <x:f>SUMIFS('18_Mo_hinh_60T'!$G$4:$G$363,'18_Mo_hinh_60T'!$A$4:$A$363,A25,'18_Mo_hinh_60T'!$B$4:$B$363,"&gt;=13",'18_Mo_hinh_60T'!$B$4:$B$363,"&lt;=24")</x:f>
        <x:v>0</x:v>
      </x:c>
      <x:c r="D25" s="59" t="n">
        <x:f>SUMIFS('18_Mo_hinh_60T'!$H$4:$H$363,'18_Mo_hinh_60T'!$A$4:$A$363,A25,'18_Mo_hinh_60T'!$B$4:$B$363,"&gt;=13",'18_Mo_hinh_60T'!$B$4:$B$363,"&lt;=24")</x:f>
        <x:v>0</x:v>
      </x:c>
      <x:c r="E25" s="59" t="n">
        <x:f>C25-D25</x:f>
        <x:v>0</x:v>
      </x:c>
      <x:c r="F25" s="59" t="n">
        <x:f>SUMIFS('18_Mo_hinh_60T'!$I$4:$I$363,'18_Mo_hinh_60T'!$A$4:$A$363,A25,'18_Mo_hinh_60T'!$B$4:$B$363,"&gt;=13",'18_Mo_hinh_60T'!$B$4:$B$363,"&lt;=24")</x:f>
        <x:v>0</x:v>
      </x:c>
      <x:c r="G25" s="59" t="n">
        <x:f>SUMIFS('18_Mo_hinh_60T'!$J$4:$J$363,'18_Mo_hinh_60T'!$A$4:$A$363,A25,'18_Mo_hinh_60T'!$B$4:$B$363,"&gt;=13",'18_Mo_hinh_60T'!$B$4:$B$363,"&lt;=24")</x:f>
        <x:v>0</x:v>
      </x:c>
      <x:c r="H25" s="59" t="n">
        <x:f>SUMIFS('18_Mo_hinh_60T'!$L$4:$L$363,'18_Mo_hinh_60T'!$A$4:$A$363,A25,'18_Mo_hinh_60T'!$B$4:$B$363,"&gt;=13",'18_Mo_hinh_60T'!$B$4:$B$363,"&lt;=24")</x:f>
        <x:v>247.42003129233825</x:v>
      </x:c>
      <x:c r="I25" s="59" t="n">
        <x:f>SUMIFS('18_Mo_hinh_60T'!$M$4:$M$363,'18_Mo_hinh_60T'!$A$4:$A$363,A25,'18_Mo_hinh_60T'!$B$4:$B$363,"&gt;=13",'18_Mo_hinh_60T'!$B$4:$B$363,"&lt;=24")</x:f>
        <x:v>-247.42003129233825</x:v>
      </x:c>
      <x:c r="J25" s="59" t="n">
        <x:f>SUMIFS('18_Mo_hinh_60T'!$N$4:$N$363,'18_Mo_hinh_60T'!$A$4:$A$363,A25,'18_Mo_hinh_60T'!$B$4:$B$363,"&gt;=13",'18_Mo_hinh_60T'!$B$4:$B$363,"&lt;=24")</x:f>
        <x:v>0</x:v>
      </x:c>
      <x:c r="K25" s="59" t="n">
        <x:f>SUMIFS('18_Mo_hinh_60T'!$O$4:$O$363,'18_Mo_hinh_60T'!$A$4:$A$363,A25,'18_Mo_hinh_60T'!$B$4:$B$363,"&gt;=13",'18_Mo_hinh_60T'!$B$4:$B$363,"&lt;=24")</x:f>
        <x:v>-247.42003129233825</x:v>
      </x:c>
      <x:c r="L25" s="59" t="n">
        <x:f>SUMIFS('18_Mo_hinh_60T'!$F$4:$F$363,'18_Mo_hinh_60T'!$A$4:$A$363,A25,'18_Mo_hinh_60T'!$B$4:$B$363,"&gt;=13",'18_Mo_hinh_60T'!$B$4:$B$363,"&lt;=24")</x:f>
        <x:v>21.14999999999999</x:v>
      </x:c>
      <x:c r="M25" s="59" t="n">
        <x:f>SUMIFS('18_Mo_hinh_60T'!$K$4:$K$363,'18_Mo_hinh_60T'!$A$4:$A$363,A25,'18_Mo_hinh_60T'!$B$4:$B$363,"&gt;=13",'18_Mo_hinh_60T'!$B$4:$B$363,"&lt;=24")</x:f>
        <x:v>0</x:v>
      </x:c>
      <x:c r="N25" s="59" t="n">
        <x:f>SUMIFS('18_Mo_hinh_60T'!$Q$4:$Q$363,'18_Mo_hinh_60T'!$A$4:$A$363,A25,'18_Mo_hinh_60T'!$B$4:$B$363,"&gt;=13",'18_Mo_hinh_60T'!$B$4:$B$363,"&lt;=24")-SUMIFS('18_Mo_hinh_60T'!$R$4:$R$363,'18_Mo_hinh_60T'!$A$4:$A$363,A25,'18_Mo_hinh_60T'!$B$4:$B$363,"&gt;=13",'18_Mo_hinh_60T'!$B$4:$B$363,"&lt;=24")</x:f>
        <x:v>226.27003129233827</x:v>
      </x:c>
    </x:row>
    <x:row r="26">
      <x:c r="A26" t="str">
        <x:v>DA05</x:v>
      </x:c>
      <x:c r="B26" t="n">
        <x:v>3</x:v>
      </x:c>
      <x:c r="C26" s="59" t="n">
        <x:f>SUMIFS('18_Mo_hinh_60T'!$G$4:$G$363,'18_Mo_hinh_60T'!$A$4:$A$363,A26,'18_Mo_hinh_60T'!$B$4:$B$363,"&gt;=25",'18_Mo_hinh_60T'!$B$4:$B$363,"&lt;=36")</x:f>
        <x:v>0</x:v>
      </x:c>
      <x:c r="D26" s="59" t="n">
        <x:f>SUMIFS('18_Mo_hinh_60T'!$H$4:$H$363,'18_Mo_hinh_60T'!$A$4:$A$363,A26,'18_Mo_hinh_60T'!$B$4:$B$363,"&gt;=25",'18_Mo_hinh_60T'!$B$4:$B$363,"&lt;=36")</x:f>
        <x:v>0</x:v>
      </x:c>
      <x:c r="E26" s="59" t="n">
        <x:f>C26-D26</x:f>
        <x:v>0</x:v>
      </x:c>
      <x:c r="F26" s="59" t="n">
        <x:f>SUMIFS('18_Mo_hinh_60T'!$I$4:$I$363,'18_Mo_hinh_60T'!$A$4:$A$363,A26,'18_Mo_hinh_60T'!$B$4:$B$363,"&gt;=25",'18_Mo_hinh_60T'!$B$4:$B$363,"&lt;=36")</x:f>
        <x:v>0</x:v>
      </x:c>
      <x:c r="G26" s="59" t="n">
        <x:f>SUMIFS('18_Mo_hinh_60T'!$J$4:$J$363,'18_Mo_hinh_60T'!$A$4:$A$363,A26,'18_Mo_hinh_60T'!$B$4:$B$363,"&gt;=25",'18_Mo_hinh_60T'!$B$4:$B$363,"&lt;=36")</x:f>
        <x:v>0</x:v>
      </x:c>
      <x:c r="H26" s="59" t="n">
        <x:f>SUMIFS('18_Mo_hinh_60T'!$L$4:$L$363,'18_Mo_hinh_60T'!$A$4:$A$363,A26,'18_Mo_hinh_60T'!$B$4:$B$363,"&gt;=25",'18_Mo_hinh_60T'!$B$4:$B$363,"&lt;=36")</x:f>
        <x:v>264.3440340355604</x:v>
      </x:c>
      <x:c r="I26" s="59" t="n">
        <x:f>SUMIFS('18_Mo_hinh_60T'!$M$4:$M$363,'18_Mo_hinh_60T'!$A$4:$A$363,A26,'18_Mo_hinh_60T'!$B$4:$B$363,"&gt;=25",'18_Mo_hinh_60T'!$B$4:$B$363,"&lt;=36")</x:f>
        <x:v>-264.3440340355604</x:v>
      </x:c>
      <x:c r="J26" s="59" t="n">
        <x:f>SUMIFS('18_Mo_hinh_60T'!$N$4:$N$363,'18_Mo_hinh_60T'!$A$4:$A$363,A26,'18_Mo_hinh_60T'!$B$4:$B$363,"&gt;=25",'18_Mo_hinh_60T'!$B$4:$B$363,"&lt;=36")</x:f>
        <x:v>0</x:v>
      </x:c>
      <x:c r="K26" s="59" t="n">
        <x:f>SUMIFS('18_Mo_hinh_60T'!$O$4:$O$363,'18_Mo_hinh_60T'!$A$4:$A$363,A26,'18_Mo_hinh_60T'!$B$4:$B$363,"&gt;=25",'18_Mo_hinh_60T'!$B$4:$B$363,"&lt;=36")</x:f>
        <x:v>-264.3440340355604</x:v>
      </x:c>
      <x:c r="L26" s="59" t="n">
        <x:f>SUMIFS('18_Mo_hinh_60T'!$F$4:$F$363,'18_Mo_hinh_60T'!$A$4:$A$363,A26,'18_Mo_hinh_60T'!$B$4:$B$363,"&gt;=25",'18_Mo_hinh_60T'!$B$4:$B$363,"&lt;=36")</x:f>
        <x:v>0</x:v>
      </x:c>
      <x:c r="M26" s="59" t="n">
        <x:f>SUMIFS('18_Mo_hinh_60T'!$K$4:$K$363,'18_Mo_hinh_60T'!$A$4:$A$363,A26,'18_Mo_hinh_60T'!$B$4:$B$363,"&gt;=25",'18_Mo_hinh_60T'!$B$4:$B$363,"&lt;=36")</x:f>
        <x:v>0</x:v>
      </x:c>
      <x:c r="N26" s="59" t="n">
        <x:f>SUMIFS('18_Mo_hinh_60T'!$Q$4:$Q$363,'18_Mo_hinh_60T'!$A$4:$A$363,A26,'18_Mo_hinh_60T'!$B$4:$B$363,"&gt;=25",'18_Mo_hinh_60T'!$B$4:$B$363,"&lt;=36")-SUMIFS('18_Mo_hinh_60T'!$R$4:$R$363,'18_Mo_hinh_60T'!$A$4:$A$363,A26,'18_Mo_hinh_60T'!$B$4:$B$363,"&gt;=25",'18_Mo_hinh_60T'!$B$4:$B$363,"&lt;=36")</x:f>
        <x:v>51.462185099220974</x:v>
      </x:c>
    </x:row>
    <x:row r="27">
      <x:c r="A27" t="str">
        <x:v>DA05</x:v>
      </x:c>
      <x:c r="B27" t="n">
        <x:v>4</x:v>
      </x:c>
      <x:c r="C27" s="59" t="n">
        <x:f>SUMIFS('18_Mo_hinh_60T'!$G$4:$G$363,'18_Mo_hinh_60T'!$A$4:$A$363,A27,'18_Mo_hinh_60T'!$B$4:$B$363,"&gt;=37",'18_Mo_hinh_60T'!$B$4:$B$363,"&lt;=48")</x:f>
        <x:v>0</x:v>
      </x:c>
      <x:c r="D27" s="59" t="n">
        <x:f>SUMIFS('18_Mo_hinh_60T'!$H$4:$H$363,'18_Mo_hinh_60T'!$A$4:$A$363,A27,'18_Mo_hinh_60T'!$B$4:$B$363,"&gt;=37",'18_Mo_hinh_60T'!$B$4:$B$363,"&lt;=48")</x:f>
        <x:v>0</x:v>
      </x:c>
      <x:c r="E27" s="59" t="n">
        <x:f>C27-D27</x:f>
        <x:v>0</x:v>
      </x:c>
      <x:c r="F27" s="59" t="n">
        <x:f>SUMIFS('18_Mo_hinh_60T'!$I$4:$I$363,'18_Mo_hinh_60T'!$A$4:$A$363,A27,'18_Mo_hinh_60T'!$B$4:$B$363,"&gt;=37",'18_Mo_hinh_60T'!$B$4:$B$363,"&lt;=48")</x:f>
        <x:v>0</x:v>
      </x:c>
      <x:c r="G27" s="59" t="n">
        <x:f>SUMIFS('18_Mo_hinh_60T'!$J$4:$J$363,'18_Mo_hinh_60T'!$A$4:$A$363,A27,'18_Mo_hinh_60T'!$B$4:$B$363,"&gt;=37",'18_Mo_hinh_60T'!$B$4:$B$363,"&lt;=48")</x:f>
        <x:v>0</x:v>
      </x:c>
      <x:c r="H27" s="59" t="n">
        <x:f>SUMIFS('18_Mo_hinh_60T'!$L$4:$L$363,'18_Mo_hinh_60T'!$A$4:$A$363,A27,'18_Mo_hinh_60T'!$B$4:$B$363,"&gt;=37",'18_Mo_hinh_60T'!$B$4:$B$363,"&lt;=48")</x:f>
        <x:v>265.05</x:v>
      </x:c>
      <x:c r="I27" s="59" t="n">
        <x:f>SUMIFS('18_Mo_hinh_60T'!$M$4:$M$363,'18_Mo_hinh_60T'!$A$4:$A$363,A27,'18_Mo_hinh_60T'!$B$4:$B$363,"&gt;=37",'18_Mo_hinh_60T'!$B$4:$B$363,"&lt;=48")</x:f>
        <x:v>-265.05</x:v>
      </x:c>
      <x:c r="J27" s="59" t="n">
        <x:f>SUMIFS('18_Mo_hinh_60T'!$N$4:$N$363,'18_Mo_hinh_60T'!$A$4:$A$363,A27,'18_Mo_hinh_60T'!$B$4:$B$363,"&gt;=37",'18_Mo_hinh_60T'!$B$4:$B$363,"&lt;=48")</x:f>
        <x:v>0</x:v>
      </x:c>
      <x:c r="K27" s="59" t="n">
        <x:f>SUMIFS('18_Mo_hinh_60T'!$O$4:$O$363,'18_Mo_hinh_60T'!$A$4:$A$363,A27,'18_Mo_hinh_60T'!$B$4:$B$363,"&gt;=37",'18_Mo_hinh_60T'!$B$4:$B$363,"&lt;=48")</x:f>
        <x:v>-265.05</x:v>
      </x:c>
      <x:c r="L27" s="59" t="n">
        <x:f>SUMIFS('18_Mo_hinh_60T'!$F$4:$F$363,'18_Mo_hinh_60T'!$A$4:$A$363,A27,'18_Mo_hinh_60T'!$B$4:$B$363,"&gt;=37",'18_Mo_hinh_60T'!$B$4:$B$363,"&lt;=48")</x:f>
        <x:v>0</x:v>
      </x:c>
      <x:c r="M27" s="59" t="n">
        <x:f>SUMIFS('18_Mo_hinh_60T'!$K$4:$K$363,'18_Mo_hinh_60T'!$A$4:$A$363,A27,'18_Mo_hinh_60T'!$B$4:$B$363,"&gt;=37",'18_Mo_hinh_60T'!$B$4:$B$363,"&lt;=48")</x:f>
        <x:v>0</x:v>
      </x:c>
      <x:c r="N27" s="59" t="n">
        <x:f>SUMIFS('18_Mo_hinh_60T'!$Q$4:$Q$363,'18_Mo_hinh_60T'!$A$4:$A$363,A27,'18_Mo_hinh_60T'!$B$4:$B$363,"&gt;=37",'18_Mo_hinh_60T'!$B$4:$B$363,"&lt;=48")-SUMIFS('18_Mo_hinh_60T'!$R$4:$R$363,'18_Mo_hinh_60T'!$A$4:$A$363,A27,'18_Mo_hinh_60T'!$B$4:$B$363,"&gt;=37",'18_Mo_hinh_60T'!$B$4:$B$363,"&lt;=48")</x:f>
        <x:v>0</x:v>
      </x:c>
    </x:row>
    <x:row r="28">
      <x:c r="A28" t="str">
        <x:v>DA05</x:v>
      </x:c>
      <x:c r="B28" t="n">
        <x:v>5</x:v>
      </x:c>
      <x:c r="C28" s="59" t="n">
        <x:f>SUMIFS('18_Mo_hinh_60T'!$G$4:$G$363,'18_Mo_hinh_60T'!$A$4:$A$363,A28,'18_Mo_hinh_60T'!$B$4:$B$363,"&gt;=49",'18_Mo_hinh_60T'!$B$4:$B$363,"&lt;=60")</x:f>
        <x:v>0</x:v>
      </x:c>
      <x:c r="D28" s="59" t="n">
        <x:f>SUMIFS('18_Mo_hinh_60T'!$H$4:$H$363,'18_Mo_hinh_60T'!$A$4:$A$363,A28,'18_Mo_hinh_60T'!$B$4:$B$363,"&gt;=49",'18_Mo_hinh_60T'!$B$4:$B$363,"&lt;=60")</x:f>
        <x:v>0</x:v>
      </x:c>
      <x:c r="E28" s="59" t="n">
        <x:f>C28-D28</x:f>
        <x:v>0</x:v>
      </x:c>
      <x:c r="F28" s="59" t="n">
        <x:f>SUMIFS('18_Mo_hinh_60T'!$I$4:$I$363,'18_Mo_hinh_60T'!$A$4:$A$363,A28,'18_Mo_hinh_60T'!$B$4:$B$363,"&gt;=49",'18_Mo_hinh_60T'!$B$4:$B$363,"&lt;=60")</x:f>
        <x:v>0</x:v>
      </x:c>
      <x:c r="G28" s="59" t="n">
        <x:f>SUMIFS('18_Mo_hinh_60T'!$J$4:$J$363,'18_Mo_hinh_60T'!$A$4:$A$363,A28,'18_Mo_hinh_60T'!$B$4:$B$363,"&gt;=49",'18_Mo_hinh_60T'!$B$4:$B$363,"&lt;=60")</x:f>
        <x:v>0</x:v>
      </x:c>
      <x:c r="H28" s="59" t="n">
        <x:f>SUMIFS('18_Mo_hinh_60T'!$L$4:$L$363,'18_Mo_hinh_60T'!$A$4:$A$363,A28,'18_Mo_hinh_60T'!$B$4:$B$363,"&gt;=49",'18_Mo_hinh_60T'!$B$4:$B$363,"&lt;=60")</x:f>
        <x:v>265.05</x:v>
      </x:c>
      <x:c r="I28" s="59" t="n">
        <x:f>SUMIFS('18_Mo_hinh_60T'!$M$4:$M$363,'18_Mo_hinh_60T'!$A$4:$A$363,A28,'18_Mo_hinh_60T'!$B$4:$B$363,"&gt;=49",'18_Mo_hinh_60T'!$B$4:$B$363,"&lt;=60")</x:f>
        <x:v>-265.05</x:v>
      </x:c>
      <x:c r="J28" s="59" t="n">
        <x:f>SUMIFS('18_Mo_hinh_60T'!$N$4:$N$363,'18_Mo_hinh_60T'!$A$4:$A$363,A28,'18_Mo_hinh_60T'!$B$4:$B$363,"&gt;=49",'18_Mo_hinh_60T'!$B$4:$B$363,"&lt;=60")</x:f>
        <x:v>0</x:v>
      </x:c>
      <x:c r="K28" s="59" t="n">
        <x:f>SUMIFS('18_Mo_hinh_60T'!$O$4:$O$363,'18_Mo_hinh_60T'!$A$4:$A$363,A28,'18_Mo_hinh_60T'!$B$4:$B$363,"&gt;=49",'18_Mo_hinh_60T'!$B$4:$B$363,"&lt;=60")</x:f>
        <x:v>-265.05</x:v>
      </x:c>
      <x:c r="L28" s="59" t="n">
        <x:f>SUMIFS('18_Mo_hinh_60T'!$F$4:$F$363,'18_Mo_hinh_60T'!$A$4:$A$363,A28,'18_Mo_hinh_60T'!$B$4:$B$363,"&gt;=49",'18_Mo_hinh_60T'!$B$4:$B$363,"&lt;=60")</x:f>
        <x:v>0</x:v>
      </x:c>
      <x:c r="M28" s="59" t="n">
        <x:f>SUMIFS('18_Mo_hinh_60T'!$K$4:$K$363,'18_Mo_hinh_60T'!$A$4:$A$363,A28,'18_Mo_hinh_60T'!$B$4:$B$363,"&gt;=49",'18_Mo_hinh_60T'!$B$4:$B$363,"&lt;=60")</x:f>
        <x:v>0</x:v>
      </x:c>
      <x:c r="N28" s="59" t="n">
        <x:f>SUMIFS('18_Mo_hinh_60T'!$Q$4:$Q$363,'18_Mo_hinh_60T'!$A$4:$A$363,A28,'18_Mo_hinh_60T'!$B$4:$B$363,"&gt;=49",'18_Mo_hinh_60T'!$B$4:$B$363,"&lt;=60")-SUMIFS('18_Mo_hinh_60T'!$R$4:$R$363,'18_Mo_hinh_60T'!$A$4:$A$363,A28,'18_Mo_hinh_60T'!$B$4:$B$363,"&gt;=49",'18_Mo_hinh_60T'!$B$4:$B$363,"&lt;=60")</x:f>
        <x:v>0</x:v>
      </x:c>
    </x:row>
    <x:row r="29">
      <x:c r="A29" t="str">
        <x:v>DA06</x:v>
      </x:c>
      <x:c r="B29" t="n">
        <x:v>1</x:v>
      </x:c>
      <x:c r="C29" s="59" t="n">
        <x:f>SUMIFS('18_Mo_hinh_60T'!$G$4:$G$363,'18_Mo_hinh_60T'!$A$4:$A$363,A29,'18_Mo_hinh_60T'!$B$4:$B$363,"&gt;=1",'18_Mo_hinh_60T'!$B$4:$B$363,"&lt;=12")</x:f>
        <x:v>0</x:v>
      </x:c>
      <x:c r="D29" s="59" t="n">
        <x:f>SUMIFS('18_Mo_hinh_60T'!$H$4:$H$363,'18_Mo_hinh_60T'!$A$4:$A$363,A29,'18_Mo_hinh_60T'!$B$4:$B$363,"&gt;=1",'18_Mo_hinh_60T'!$B$4:$B$363,"&lt;=12")</x:f>
        <x:v>0</x:v>
      </x:c>
      <x:c r="E29" s="59" t="n">
        <x:f>C29-D29</x:f>
        <x:v>0</x:v>
      </x:c>
      <x:c r="F29" s="59" t="n">
        <x:f>SUMIFS('18_Mo_hinh_60T'!$I$4:$I$363,'18_Mo_hinh_60T'!$A$4:$A$363,A29,'18_Mo_hinh_60T'!$B$4:$B$363,"&gt;=1",'18_Mo_hinh_60T'!$B$4:$B$363,"&lt;=12")</x:f>
        <x:v>0</x:v>
      </x:c>
      <x:c r="G29" s="59" t="n">
        <x:f>SUMIFS('18_Mo_hinh_60T'!$J$4:$J$363,'18_Mo_hinh_60T'!$A$4:$A$363,A29,'18_Mo_hinh_60T'!$B$4:$B$363,"&gt;=1",'18_Mo_hinh_60T'!$B$4:$B$363,"&lt;=12")</x:f>
        <x:v>0</x:v>
      </x:c>
      <x:c r="H29" s="59" t="n">
        <x:f>SUMIFS('18_Mo_hinh_60T'!$L$4:$L$363,'18_Mo_hinh_60T'!$A$4:$A$363,A29,'18_Mo_hinh_60T'!$B$4:$B$363,"&gt;=1",'18_Mo_hinh_60T'!$B$4:$B$363,"&lt;=12")</x:f>
        <x:v>85.39170391925742</x:v>
      </x:c>
      <x:c r="I29" s="59" t="n">
        <x:f>SUMIFS('18_Mo_hinh_60T'!$M$4:$M$363,'18_Mo_hinh_60T'!$A$4:$A$363,A29,'18_Mo_hinh_60T'!$B$4:$B$363,"&gt;=1",'18_Mo_hinh_60T'!$B$4:$B$363,"&lt;=12")</x:f>
        <x:v>-85.39170391925742</x:v>
      </x:c>
      <x:c r="J29" s="59" t="n">
        <x:f>SUMIFS('18_Mo_hinh_60T'!$N$4:$N$363,'18_Mo_hinh_60T'!$A$4:$A$363,A29,'18_Mo_hinh_60T'!$B$4:$B$363,"&gt;=1",'18_Mo_hinh_60T'!$B$4:$B$363,"&lt;=12")</x:f>
        <x:v>0</x:v>
      </x:c>
      <x:c r="K29" s="59" t="n">
        <x:f>SUMIFS('18_Mo_hinh_60T'!$O$4:$O$363,'18_Mo_hinh_60T'!$A$4:$A$363,A29,'18_Mo_hinh_60T'!$B$4:$B$363,"&gt;=1",'18_Mo_hinh_60T'!$B$4:$B$363,"&lt;=12")</x:f>
        <x:v>-85.39170391925742</x:v>
      </x:c>
      <x:c r="L29" s="59" t="n">
        <x:f>SUMIFS('18_Mo_hinh_60T'!$F$4:$F$363,'18_Mo_hinh_60T'!$A$4:$A$363,A29,'18_Mo_hinh_60T'!$B$4:$B$363,"&gt;=1",'18_Mo_hinh_60T'!$B$4:$B$363,"&lt;=12")</x:f>
        <x:v>0</x:v>
      </x:c>
      <x:c r="M29" s="59" t="n">
        <x:f>SUMIFS('18_Mo_hinh_60T'!$K$4:$K$363,'18_Mo_hinh_60T'!$A$4:$A$363,A29,'18_Mo_hinh_60T'!$B$4:$B$363,"&gt;=1",'18_Mo_hinh_60T'!$B$4:$B$363,"&lt;=12")</x:f>
        <x:v>1000.0000000000001</x:v>
      </x:c>
      <x:c r="N29" s="59" t="n">
        <x:f>SUMIFS('18_Mo_hinh_60T'!$Q$4:$Q$363,'18_Mo_hinh_60T'!$A$4:$A$363,A29,'18_Mo_hinh_60T'!$B$4:$B$363,"&gt;=1",'18_Mo_hinh_60T'!$B$4:$B$363,"&lt;=12")-SUMIFS('18_Mo_hinh_60T'!$R$4:$R$363,'18_Mo_hinh_60T'!$A$4:$A$363,A29,'18_Mo_hinh_60T'!$B$4:$B$363,"&gt;=1",'18_Mo_hinh_60T'!$B$4:$B$363,"&lt;=12")</x:f>
        <x:v>985.3917039192572</x:v>
      </x:c>
    </x:row>
    <x:row r="30">
      <x:c r="A30" t="str">
        <x:v>DA06</x:v>
      </x:c>
      <x:c r="B30" t="n">
        <x:v>2</x:v>
      </x:c>
      <x:c r="C30" s="59" t="n">
        <x:f>SUMIFS('18_Mo_hinh_60T'!$G$4:$G$363,'18_Mo_hinh_60T'!$A$4:$A$363,A30,'18_Mo_hinh_60T'!$B$4:$B$363,"&gt;=13",'18_Mo_hinh_60T'!$B$4:$B$363,"&lt;=24")</x:f>
        <x:v>0</x:v>
      </x:c>
      <x:c r="D30" s="59" t="n">
        <x:f>SUMIFS('18_Mo_hinh_60T'!$H$4:$H$363,'18_Mo_hinh_60T'!$A$4:$A$363,A30,'18_Mo_hinh_60T'!$B$4:$B$363,"&gt;=13",'18_Mo_hinh_60T'!$B$4:$B$363,"&lt;=24")</x:f>
        <x:v>0</x:v>
      </x:c>
      <x:c r="E30" s="59" t="n">
        <x:f>C30-D30</x:f>
        <x:v>0</x:v>
      </x:c>
      <x:c r="F30" s="59" t="n">
        <x:f>SUMIFS('18_Mo_hinh_60T'!$I$4:$I$363,'18_Mo_hinh_60T'!$A$4:$A$363,A30,'18_Mo_hinh_60T'!$B$4:$B$363,"&gt;=13",'18_Mo_hinh_60T'!$B$4:$B$363,"&lt;=24")</x:f>
        <x:v>0</x:v>
      </x:c>
      <x:c r="G30" s="59" t="n">
        <x:f>SUMIFS('18_Mo_hinh_60T'!$J$4:$J$363,'18_Mo_hinh_60T'!$A$4:$A$363,A30,'18_Mo_hinh_60T'!$B$4:$B$363,"&gt;=13",'18_Mo_hinh_60T'!$B$4:$B$363,"&lt;=24")</x:f>
        <x:v>0</x:v>
      </x:c>
      <x:c r="H30" s="59" t="n">
        <x:f>SUMIFS('18_Mo_hinh_60T'!$L$4:$L$363,'18_Mo_hinh_60T'!$A$4:$A$363,A30,'18_Mo_hinh_60T'!$B$4:$B$363,"&gt;=13",'18_Mo_hinh_60T'!$B$4:$B$363,"&lt;=24")</x:f>
        <x:v>178.21330268621972</x:v>
      </x:c>
      <x:c r="I30" s="59" t="n">
        <x:f>SUMIFS('18_Mo_hinh_60T'!$M$4:$M$363,'18_Mo_hinh_60T'!$A$4:$A$363,A30,'18_Mo_hinh_60T'!$B$4:$B$363,"&gt;=13",'18_Mo_hinh_60T'!$B$4:$B$363,"&lt;=24")</x:f>
        <x:v>-178.21330268621972</x:v>
      </x:c>
      <x:c r="J30" s="59" t="n">
        <x:f>SUMIFS('18_Mo_hinh_60T'!$N$4:$N$363,'18_Mo_hinh_60T'!$A$4:$A$363,A30,'18_Mo_hinh_60T'!$B$4:$B$363,"&gt;=13",'18_Mo_hinh_60T'!$B$4:$B$363,"&lt;=24")</x:f>
        <x:v>0</x:v>
      </x:c>
      <x:c r="K30" s="59" t="n">
        <x:f>SUMIFS('18_Mo_hinh_60T'!$O$4:$O$363,'18_Mo_hinh_60T'!$A$4:$A$363,A30,'18_Mo_hinh_60T'!$B$4:$B$363,"&gt;=13",'18_Mo_hinh_60T'!$B$4:$B$363,"&lt;=24")</x:f>
        <x:v>-178.21330268621972</x:v>
      </x:c>
      <x:c r="L30" s="59" t="n">
        <x:f>SUMIFS('18_Mo_hinh_60T'!$F$4:$F$363,'18_Mo_hinh_60T'!$A$4:$A$363,A30,'18_Mo_hinh_60T'!$B$4:$B$363,"&gt;=13",'18_Mo_hinh_60T'!$B$4:$B$363,"&lt;=24")</x:f>
        <x:v>0</x:v>
      </x:c>
      <x:c r="M30" s="59" t="n">
        <x:f>SUMIFS('18_Mo_hinh_60T'!$K$4:$K$363,'18_Mo_hinh_60T'!$A$4:$A$363,A30,'18_Mo_hinh_60T'!$B$4:$B$363,"&gt;=13",'18_Mo_hinh_60T'!$B$4:$B$363,"&lt;=24")</x:f>
        <x:v>1000.0000000000001</x:v>
      </x:c>
      <x:c r="N30" s="59" t="n">
        <x:f>SUMIFS('18_Mo_hinh_60T'!$Q$4:$Q$363,'18_Mo_hinh_60T'!$A$4:$A$363,A30,'18_Mo_hinh_60T'!$B$4:$B$363,"&gt;=13",'18_Mo_hinh_60T'!$B$4:$B$363,"&lt;=24")-SUMIFS('18_Mo_hinh_60T'!$R$4:$R$363,'18_Mo_hinh_60T'!$A$4:$A$363,A30,'18_Mo_hinh_60T'!$B$4:$B$363,"&gt;=13",'18_Mo_hinh_60T'!$B$4:$B$363,"&lt;=24")</x:f>
        <x:v>538.4207960807428</x:v>
      </x:c>
    </x:row>
    <x:row r="31">
      <x:c r="A31" t="str">
        <x:v>DA06</x:v>
      </x:c>
      <x:c r="B31" t="n">
        <x:v>3</x:v>
      </x:c>
      <x:c r="C31" s="59" t="n">
        <x:f>SUMIFS('18_Mo_hinh_60T'!$G$4:$G$363,'18_Mo_hinh_60T'!$A$4:$A$363,A31,'18_Mo_hinh_60T'!$B$4:$B$363,"&gt;=25",'18_Mo_hinh_60T'!$B$4:$B$363,"&lt;=36")</x:f>
        <x:v>0</x:v>
      </x:c>
      <x:c r="D31" s="59" t="n">
        <x:f>SUMIFS('18_Mo_hinh_60T'!$H$4:$H$363,'18_Mo_hinh_60T'!$A$4:$A$363,A31,'18_Mo_hinh_60T'!$B$4:$B$363,"&gt;=25",'18_Mo_hinh_60T'!$B$4:$B$363,"&lt;=36")</x:f>
        <x:v>0</x:v>
      </x:c>
      <x:c r="E31" s="59" t="n">
        <x:f>C31-D31</x:f>
        <x:v>0</x:v>
      </x:c>
      <x:c r="F31" s="59" t="n">
        <x:f>SUMIFS('18_Mo_hinh_60T'!$I$4:$I$363,'18_Mo_hinh_60T'!$A$4:$A$363,A31,'18_Mo_hinh_60T'!$B$4:$B$363,"&gt;=25",'18_Mo_hinh_60T'!$B$4:$B$363,"&lt;=36")</x:f>
        <x:v>0</x:v>
      </x:c>
      <x:c r="G31" s="59" t="n">
        <x:f>SUMIFS('18_Mo_hinh_60T'!$J$4:$J$363,'18_Mo_hinh_60T'!$A$4:$A$363,A31,'18_Mo_hinh_60T'!$B$4:$B$363,"&gt;=25",'18_Mo_hinh_60T'!$B$4:$B$363,"&lt;=36")</x:f>
        <x:v>0</x:v>
      </x:c>
      <x:c r="H31" s="59" t="n">
        <x:f>SUMIFS('18_Mo_hinh_60T'!$L$4:$L$363,'18_Mo_hinh_60T'!$A$4:$A$363,A31,'18_Mo_hinh_60T'!$B$4:$B$363,"&gt;=25",'18_Mo_hinh_60T'!$B$4:$B$363,"&lt;=36")</x:f>
        <x:v>187.38306463611667</x:v>
      </x:c>
      <x:c r="I31" s="59" t="n">
        <x:f>SUMIFS('18_Mo_hinh_60T'!$M$4:$M$363,'18_Mo_hinh_60T'!$A$4:$A$363,A31,'18_Mo_hinh_60T'!$B$4:$B$363,"&gt;=25",'18_Mo_hinh_60T'!$B$4:$B$363,"&lt;=36")</x:f>
        <x:v>-187.38306463611667</x:v>
      </x:c>
      <x:c r="J31" s="59" t="n">
        <x:f>SUMIFS('18_Mo_hinh_60T'!$N$4:$N$363,'18_Mo_hinh_60T'!$A$4:$A$363,A31,'18_Mo_hinh_60T'!$B$4:$B$363,"&gt;=25",'18_Mo_hinh_60T'!$B$4:$B$363,"&lt;=36")</x:f>
        <x:v>0</x:v>
      </x:c>
      <x:c r="K31" s="59" t="n">
        <x:f>SUMIFS('18_Mo_hinh_60T'!$O$4:$O$363,'18_Mo_hinh_60T'!$A$4:$A$363,A31,'18_Mo_hinh_60T'!$B$4:$B$363,"&gt;=25",'18_Mo_hinh_60T'!$B$4:$B$363,"&lt;=36")</x:f>
        <x:v>-187.38306463611667</x:v>
      </x:c>
      <x:c r="L31" s="59" t="n">
        <x:f>SUMIFS('18_Mo_hinh_60T'!$F$4:$F$363,'18_Mo_hinh_60T'!$A$4:$A$363,A31,'18_Mo_hinh_60T'!$B$4:$B$363,"&gt;=25",'18_Mo_hinh_60T'!$B$4:$B$363,"&lt;=36")</x:f>
        <x:v>888</x:v>
      </x:c>
      <x:c r="M31" s="59" t="n">
        <x:f>SUMIFS('18_Mo_hinh_60T'!$K$4:$K$363,'18_Mo_hinh_60T'!$A$4:$A$363,A31,'18_Mo_hinh_60T'!$B$4:$B$363,"&gt;=25",'18_Mo_hinh_60T'!$B$4:$B$363,"&lt;=36")</x:f>
        <x:v>1000.0000000000001</x:v>
      </x:c>
      <x:c r="N31" s="59" t="n">
        <x:f>SUMIFS('18_Mo_hinh_60T'!$Q$4:$Q$363,'18_Mo_hinh_60T'!$A$4:$A$363,A31,'18_Mo_hinh_60T'!$B$4:$B$363,"&gt;=25",'18_Mo_hinh_60T'!$B$4:$B$363,"&lt;=36")-SUMIFS('18_Mo_hinh_60T'!$R$4:$R$363,'18_Mo_hinh_60T'!$A$4:$A$363,A31,'18_Mo_hinh_60T'!$B$4:$B$363,"&gt;=25",'18_Mo_hinh_60T'!$B$4:$B$363,"&lt;=36")</x:f>
        <x:v>-495.53360203055</x:v>
      </x:c>
    </x:row>
    <x:row r="32">
      <x:c r="A32" t="str">
        <x:v>DA06</x:v>
      </x:c>
      <x:c r="B32" t="n">
        <x:v>4</x:v>
      </x:c>
      <x:c r="C32" s="59" t="n">
        <x:f>SUMIFS('18_Mo_hinh_60T'!$G$4:$G$363,'18_Mo_hinh_60T'!$A$4:$A$363,A32,'18_Mo_hinh_60T'!$B$4:$B$363,"&gt;=37",'18_Mo_hinh_60T'!$B$4:$B$363,"&lt;=48")</x:f>
        <x:v>0</x:v>
      </x:c>
      <x:c r="D32" s="59" t="n">
        <x:f>SUMIFS('18_Mo_hinh_60T'!$H$4:$H$363,'18_Mo_hinh_60T'!$A$4:$A$363,A32,'18_Mo_hinh_60T'!$B$4:$B$363,"&gt;=37",'18_Mo_hinh_60T'!$B$4:$B$363,"&lt;=48")</x:f>
        <x:v>0</x:v>
      </x:c>
      <x:c r="E32" s="59" t="n">
        <x:f>C32-D32</x:f>
        <x:v>0</x:v>
      </x:c>
      <x:c r="F32" s="59" t="n">
        <x:f>SUMIFS('18_Mo_hinh_60T'!$I$4:$I$363,'18_Mo_hinh_60T'!$A$4:$A$363,A32,'18_Mo_hinh_60T'!$B$4:$B$363,"&gt;=37",'18_Mo_hinh_60T'!$B$4:$B$363,"&lt;=48")</x:f>
        <x:v>0</x:v>
      </x:c>
      <x:c r="G32" s="59" t="n">
        <x:f>SUMIFS('18_Mo_hinh_60T'!$J$4:$J$363,'18_Mo_hinh_60T'!$A$4:$A$363,A32,'18_Mo_hinh_60T'!$B$4:$B$363,"&gt;=37",'18_Mo_hinh_60T'!$B$4:$B$363,"&lt;=48")</x:f>
        <x:v>0</x:v>
      </x:c>
      <x:c r="H32" s="59" t="n">
        <x:f>SUMIFS('18_Mo_hinh_60T'!$L$4:$L$363,'18_Mo_hinh_60T'!$A$4:$A$363,A32,'18_Mo_hinh_60T'!$B$4:$B$363,"&gt;=37",'18_Mo_hinh_60T'!$B$4:$B$363,"&lt;=48")</x:f>
        <x:v>68.72906633542985</x:v>
      </x:c>
      <x:c r="I32" s="59" t="n">
        <x:f>SUMIFS('18_Mo_hinh_60T'!$M$4:$M$363,'18_Mo_hinh_60T'!$A$4:$A$363,A32,'18_Mo_hinh_60T'!$B$4:$B$363,"&gt;=37",'18_Mo_hinh_60T'!$B$4:$B$363,"&lt;=48")</x:f>
        <x:v>-68.72906633542985</x:v>
      </x:c>
      <x:c r="J32" s="59" t="n">
        <x:f>SUMIFS('18_Mo_hinh_60T'!$N$4:$N$363,'18_Mo_hinh_60T'!$A$4:$A$363,A32,'18_Mo_hinh_60T'!$B$4:$B$363,"&gt;=37",'18_Mo_hinh_60T'!$B$4:$B$363,"&lt;=48")</x:f>
        <x:v>0</x:v>
      </x:c>
      <x:c r="K32" s="59" t="n">
        <x:f>SUMIFS('18_Mo_hinh_60T'!$O$4:$O$363,'18_Mo_hinh_60T'!$A$4:$A$363,A32,'18_Mo_hinh_60T'!$B$4:$B$363,"&gt;=37",'18_Mo_hinh_60T'!$B$4:$B$363,"&lt;=48")</x:f>
        <x:v>-68.72906633542985</x:v>
      </x:c>
      <x:c r="L32" s="59" t="n">
        <x:f>SUMIFS('18_Mo_hinh_60T'!$F$4:$F$363,'18_Mo_hinh_60T'!$A$4:$A$363,A32,'18_Mo_hinh_60T'!$B$4:$B$363,"&gt;=37",'18_Mo_hinh_60T'!$B$4:$B$363,"&lt;=48")</x:f>
        <x:v>2880</x:v>
      </x:c>
      <x:c r="M32" s="59" t="n">
        <x:f>SUMIFS('18_Mo_hinh_60T'!$K$4:$K$363,'18_Mo_hinh_60T'!$A$4:$A$363,A32,'18_Mo_hinh_60T'!$B$4:$B$363,"&gt;=37",'18_Mo_hinh_60T'!$B$4:$B$363,"&lt;=48")</x:f>
        <x:v>1000.0000000000001</x:v>
      </x:c>
      <x:c r="N32" s="59" t="n">
        <x:f>SUMIFS('18_Mo_hinh_60T'!$Q$4:$Q$363,'18_Mo_hinh_60T'!$A$4:$A$363,A32,'18_Mo_hinh_60T'!$B$4:$B$363,"&gt;=37",'18_Mo_hinh_60T'!$B$4:$B$363,"&lt;=48")-SUMIFS('18_Mo_hinh_60T'!$R$4:$R$363,'18_Mo_hinh_60T'!$A$4:$A$363,A32,'18_Mo_hinh_60T'!$B$4:$B$363,"&gt;=37",'18_Mo_hinh_60T'!$B$4:$B$363,"&lt;=48")</x:f>
        <x:v>-1529.46639796945</x:v>
      </x:c>
    </x:row>
    <x:row r="33">
      <x:c r="A33" t="str">
        <x:v>DA06</x:v>
      </x:c>
      <x:c r="B33" t="n">
        <x:v>5</x:v>
      </x:c>
      <x:c r="C33" s="59" t="n">
        <x:f>SUMIFS('18_Mo_hinh_60T'!$G$4:$G$363,'18_Mo_hinh_60T'!$A$4:$A$363,A33,'18_Mo_hinh_60T'!$B$4:$B$363,"&gt;=49",'18_Mo_hinh_60T'!$B$4:$B$363,"&lt;=60")</x:f>
        <x:v>3600</x:v>
      </x:c>
      <x:c r="D33" s="59" t="n">
        <x:f>SUMIFS('18_Mo_hinh_60T'!$H$4:$H$363,'18_Mo_hinh_60T'!$A$4:$A$363,A33,'18_Mo_hinh_60T'!$B$4:$B$363,"&gt;=49",'18_Mo_hinh_60T'!$B$4:$B$363,"&lt;=60")</x:f>
        <x:v>2411.9999999999995</x:v>
      </x:c>
      <x:c r="E33" s="59" t="n">
        <x:f>C33-D33</x:f>
        <x:v>1188.0000000000005</x:v>
      </x:c>
      <x:c r="F33" s="59" t="n">
        <x:f>SUMIFS('18_Mo_hinh_60T'!$I$4:$I$363,'18_Mo_hinh_60T'!$A$4:$A$363,A33,'18_Mo_hinh_60T'!$B$4:$B$363,"&gt;=49",'18_Mo_hinh_60T'!$B$4:$B$363,"&lt;=60")</x:f>
        <x:v>126.00000000000001</x:v>
      </x:c>
      <x:c r="G33" s="59" t="n">
        <x:f>SUMIFS('18_Mo_hinh_60T'!$J$4:$J$363,'18_Mo_hinh_60T'!$A$4:$A$363,A33,'18_Mo_hinh_60T'!$B$4:$B$363,"&gt;=49",'18_Mo_hinh_60T'!$B$4:$B$363,"&lt;=60")</x:f>
        <x:v>72</x:v>
      </x:c>
      <x:c r="H33" s="59" t="n">
        <x:f>SUMIFS('18_Mo_hinh_60T'!$L$4:$L$363,'18_Mo_hinh_60T'!$A$4:$A$363,A33,'18_Mo_hinh_60T'!$B$4:$B$363,"&gt;=49",'18_Mo_hinh_60T'!$B$4:$B$363,"&lt;=60")</x:f>
        <x:v>0</x:v>
      </x:c>
      <x:c r="I33" s="59" t="n">
        <x:f>SUMIFS('18_Mo_hinh_60T'!$M$4:$M$363,'18_Mo_hinh_60T'!$A$4:$A$363,A33,'18_Mo_hinh_60T'!$B$4:$B$363,"&gt;=49",'18_Mo_hinh_60T'!$B$4:$B$363,"&lt;=60")</x:f>
        <x:v>990.0000000000002</x:v>
      </x:c>
      <x:c r="J33" s="59" t="n">
        <x:f>SUMIFS('18_Mo_hinh_60T'!$N$4:$N$363,'18_Mo_hinh_60T'!$A$4:$A$363,A33,'18_Mo_hinh_60T'!$B$4:$B$363,"&gt;=49",'18_Mo_hinh_60T'!$B$4:$B$363,"&lt;=60")</x:f>
        <x:v>198.0000000000001</x:v>
      </x:c>
      <x:c r="K33" s="59" t="n">
        <x:f>SUMIFS('18_Mo_hinh_60T'!$O$4:$O$363,'18_Mo_hinh_60T'!$A$4:$A$363,A33,'18_Mo_hinh_60T'!$B$4:$B$363,"&gt;=49",'18_Mo_hinh_60T'!$B$4:$B$363,"&lt;=60")</x:f>
        <x:v>792.0000000000002</x:v>
      </x:c>
      <x:c r="L33" s="59" t="n">
        <x:f>SUMIFS('18_Mo_hinh_60T'!$F$4:$F$363,'18_Mo_hinh_60T'!$A$4:$A$363,A33,'18_Mo_hinh_60T'!$B$4:$B$363,"&gt;=49",'18_Mo_hinh_60T'!$B$4:$B$363,"&lt;=60")</x:f>
        <x:v>2880</x:v>
      </x:c>
      <x:c r="M33" s="59" t="n">
        <x:f>SUMIFS('18_Mo_hinh_60T'!$K$4:$K$363,'18_Mo_hinh_60T'!$A$4:$A$363,A33,'18_Mo_hinh_60T'!$B$4:$B$363,"&gt;=49",'18_Mo_hinh_60T'!$B$4:$B$363,"&lt;=60")</x:f>
        <x:v>499.99999999999994</x:v>
      </x:c>
      <x:c r="N33" s="59" t="n">
        <x:f>SUMIFS('18_Mo_hinh_60T'!$Q$4:$Q$363,'18_Mo_hinh_60T'!$A$4:$A$363,A33,'18_Mo_hinh_60T'!$B$4:$B$363,"&gt;=49",'18_Mo_hinh_60T'!$B$4:$B$363,"&lt;=60")-SUMIFS('18_Mo_hinh_60T'!$R$4:$R$363,'18_Mo_hinh_60T'!$A$4:$A$363,A33,'18_Mo_hinh_60T'!$B$4:$B$363,"&gt;=49",'18_Mo_hinh_60T'!$B$4:$B$363,"&lt;=60")</x:f>
        <x:v>0</x:v>
      </x:c>
    </x:row>
  </x:sheetData>
  <x:mergeCells>
    <x:mergeCell ref="A1:N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48" t="str">
        <x:v>20_Hop_nhat_cong_ty – Hợp nhất quản trị danh mục dự án 5 năm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</x:row>
    <x:row r="3">
      <x:c r="A3" s="53" t="str">
        <x:v>Năm mô hình</x:v>
      </x:c>
      <x:c r="B3" s="53" t="str">
        <x:v>Doanh thu</x:v>
      </x:c>
      <x:c r="C3" s="53" t="str">
        <x:v>Giá vốn</x:v>
      </x:c>
      <x:c r="D3" s="53" t="str">
        <x:v>LN gộp</x:v>
      </x:c>
      <x:c r="E3" s="53" t="str">
        <x:v>CP bán hàng</x:v>
      </x:c>
      <x:c r="F3" s="53" t="str">
        <x:v>CP QLDN</x:v>
      </x:c>
      <x:c r="G3" s="53" t="str">
        <x:v>Lãi vay</x:v>
      </x:c>
      <x:c r="H3" s="53" t="str">
        <x:v>LNTT</x:v>
      </x:c>
      <x:c r="I3" s="53" t="str">
        <x:v>Thuế TNDN</x:v>
      </x:c>
      <x:c r="J3" s="53" t="str">
        <x:v>LNST</x:v>
      </x:c>
      <x:c r="K3" s="53" t="str">
        <x:v>Thu khách hàng</x:v>
      </x:c>
      <x:c r="L3" s="53" t="str">
        <x:v>Chi đầu tư</x:v>
      </x:c>
      <x:c r="M3" s="53" t="str">
        <x:v>Vay ròng</x:v>
      </x:c>
      <x:c r="N3" s="53" t="str">
        <x:v>Biên LNST</x:v>
      </x:c>
    </x:row>
    <x:row r="4">
      <x:c r="A4" t="n">
        <x:v>1</x:v>
      </x:c>
      <x:c r="B4" s="59" t="n">
        <x:f>SUMIFS('19_BCTC_du_an_5N'!$C$4:$C$33,'19_BCTC_du_an_5N'!$B$4:$B$33,$A4)</x:f>
        <x:v>1857.9999999999995</x:v>
      </x:c>
      <x:c r="C4" s="59" t="n">
        <x:f>SUMIFS('19_BCTC_du_an_5N'!$D$4:$D$33,'19_BCTC_du_an_5N'!$B$4:$B$33,$A4)</x:f>
        <x:v>1298.9399999999994</x:v>
      </x:c>
      <x:c r="D4" s="59" t="n">
        <x:f>B4-C4</x:f>
        <x:v>559.0600000000002</x:v>
      </x:c>
      <x:c r="E4" s="59" t="n">
        <x:f>SUMIFS('19_BCTC_du_an_5N'!$F$4:$F$33,'19_BCTC_du_an_5N'!$B$4:$B$33,$A4)</x:f>
        <x:v>61.62999999999998</x:v>
      </x:c>
      <x:c r="F4" s="59" t="n">
        <x:f>SUMIFS('19_BCTC_du_an_5N'!$G$4:$G$33,'19_BCTC_du_an_5N'!$B$4:$B$33,$A4)</x:f>
        <x:v>37.49199999999999</x:v>
      </x:c>
      <x:c r="G4" s="59" t="n">
        <x:f>SUMIFS('19_BCTC_du_an_5N'!$H$4:$H$33,'19_BCTC_du_an_5N'!$B$4:$B$33,$A4)</x:f>
        <x:v>1396.8140394457419</x:v>
      </x:c>
      <x:c r="H4" s="59" t="n">
        <x:f>SUMIFS('19_BCTC_du_an_5N'!$I$4:$I$33,'19_BCTC_du_an_5N'!$B$4:$B$33,$A4)</x:f>
        <x:v>-936.8760394457419</x:v>
      </x:c>
      <x:c r="I4" s="59" t="n">
        <x:f>SUMIFS('19_BCTC_du_an_5N'!$J$4:$J$33,'19_BCTC_du_an_5N'!$B$4:$B$33,$A4)</x:f>
        <x:v>34.018516719492425</x:v>
      </x:c>
      <x:c r="J4" s="59" t="n">
        <x:f>SUMIFS('19_BCTC_du_an_5N'!$K$4:$K$33,'19_BCTC_du_an_5N'!$B$4:$B$33,$A4)</x:f>
        <x:v>-970.8945561652342</x:v>
      </x:c>
      <x:c r="K4" s="59" t="n">
        <x:f>SUMIFS('19_BCTC_du_an_5N'!$L$4:$L$33,'19_BCTC_du_an_5N'!$B$4:$B$33,$A4)</x:f>
        <x:v>6875.1900000000005</x:v>
      </x:c>
      <x:c r="L4" s="59" t="n">
        <x:f>SUMIFS('19_BCTC_du_an_5N'!$M$4:$M$33,'19_BCTC_du_an_5N'!$B$4:$B$33,$A4)</x:f>
        <x:v>13079.442857142856</x:v>
      </x:c>
      <x:c r="M4" s="59" t="n">
        <x:f>SUMIFS('19_BCTC_du_an_5N'!$N$4:$N$33,'19_BCTC_du_an_5N'!$B$4:$B$33,$A4)</x:f>
        <x:v>4971.882308125284</x:v>
      </x:c>
      <x:c r="N4" s="63" t="n">
        <x:f>IF(B4=0,0,J4/B4)</x:f>
        <x:v>-0.5225482003042167</x:v>
      </x:c>
    </x:row>
    <x:row r="5">
      <x:c r="A5" t="n">
        <x:v>2</x:v>
      </x:c>
      <x:c r="B5" s="59" t="n">
        <x:f>SUMIFS('19_BCTC_du_an_5N'!$C$4:$C$33,'19_BCTC_du_an_5N'!$B$4:$B$33,$A5)</x:f>
        <x:v>6179.199999999998</x:v>
      </x:c>
      <x:c r="C5" s="59" t="n">
        <x:f>SUMIFS('19_BCTC_du_an_5N'!$D$4:$D$33,'19_BCTC_du_an_5N'!$B$4:$B$33,$A5)</x:f>
        <x:v>4284.959999999999</x:v>
      </x:c>
      <x:c r="D5" s="59" t="n">
        <x:f>B5-C5</x:f>
        <x:v>1894.2399999999989</x:v>
      </x:c>
      <x:c r="E5" s="59" t="n">
        <x:f>SUMIFS('19_BCTC_du_an_5N'!$F$4:$F$33,'19_BCTC_du_an_5N'!$B$4:$B$33,$A5)</x:f>
        <x:v>236.51199999999994</x:v>
      </x:c>
      <x:c r="F5" s="59" t="n">
        <x:f>SUMIFS('19_BCTC_du_an_5N'!$G$4:$G$33,'19_BCTC_du_an_5N'!$B$4:$B$33,$A5)</x:f>
        <x:v>135.94239999999996</x:v>
      </x:c>
      <x:c r="G5" s="59" t="n">
        <x:f>SUMIFS('19_BCTC_du_an_5N'!$H$4:$H$33,'19_BCTC_du_an_5N'!$B$4:$B$33,$A5)</x:f>
        <x:v>1576.4954767786264</x:v>
      </x:c>
      <x:c r="H5" s="59" t="n">
        <x:f>SUMIFS('19_BCTC_du_an_5N'!$I$4:$I$33,'19_BCTC_du_an_5N'!$B$4:$B$33,$A5)</x:f>
        <x:v>-54.70987677862627</x:v>
      </x:c>
      <x:c r="I5" s="59" t="n">
        <x:f>SUMIFS('19_BCTC_du_an_5N'!$J$4:$J$33,'19_BCTC_du_an_5N'!$B$4:$B$33,$A5)</x:f>
        <x:v>219.72037354091748</x:v>
      </x:c>
      <x:c r="J5" s="59" t="n">
        <x:f>SUMIFS('19_BCTC_du_an_5N'!$K$4:$K$33,'19_BCTC_du_an_5N'!$B$4:$B$33,$A5)</x:f>
        <x:v>-274.4302503195438</x:v>
      </x:c>
      <x:c r="K5" s="59" t="n">
        <x:f>SUMIFS('19_BCTC_du_an_5N'!$L$4:$L$33,'19_BCTC_du_an_5N'!$B$4:$B$33,$A5)</x:f>
        <x:v>11169.55</x:v>
      </x:c>
      <x:c r="L5" s="59" t="n">
        <x:f>SUMIFS('19_BCTC_du_an_5N'!$M$4:$M$33,'19_BCTC_du_an_5N'!$B$4:$B$33,$A5)</x:f>
        <x:v>9444.942857142856</x:v>
      </x:c>
      <x:c r="M5" s="59" t="n">
        <x:f>SUMIFS('19_BCTC_du_an_5N'!$N$4:$N$33,'19_BCTC_du_an_5N'!$B$4:$B$33,$A5)</x:f>
        <x:v>-2285.0186222682714</x:v>
      </x:c>
      <x:c r="N5" s="63" t="n">
        <x:f>IF(B5=0,0,J5/B5)</x:f>
        <x:v>-0.04441193849034566</x:v>
      </x:c>
    </x:row>
    <x:row r="6">
      <x:c r="A6" t="n">
        <x:v>3</x:v>
      </x:c>
      <x:c r="B6" s="59" t="n">
        <x:f>SUMIFS('19_BCTC_du_an_5N'!$C$4:$C$33,'19_BCTC_du_an_5N'!$B$4:$B$33,$A6)</x:f>
        <x:v>9894.488888888889</x:v>
      </x:c>
      <x:c r="C6" s="59" t="n">
        <x:f>SUMIFS('19_BCTC_du_an_5N'!$D$4:$D$33,'19_BCTC_du_an_5N'!$B$4:$B$33,$A6)</x:f>
        <x:v>6816.466666666665</x:v>
      </x:c>
      <x:c r="D6" s="59" t="n">
        <x:f>B6-C6</x:f>
        <x:v>3078.0222222222237</x:v>
      </x:c>
      <x:c r="E6" s="59" t="n">
        <x:f>SUMIFS('19_BCTC_du_an_5N'!$F$4:$F$33,'19_BCTC_du_an_5N'!$B$4:$B$33,$A6)</x:f>
        <x:v>351.36711111111106</x:v>
      </x:c>
      <x:c r="F6" s="59" t="n">
        <x:f>SUMIFS('19_BCTC_du_an_5N'!$G$4:$G$33,'19_BCTC_du_an_5N'!$B$4:$B$33,$A6)</x:f>
        <x:v>212.70097777777772</x:v>
      </x:c>
      <x:c r="G6" s="59" t="n">
        <x:f>SUMIFS('19_BCTC_du_an_5N'!$H$4:$H$33,'19_BCTC_du_an_5N'!$B$4:$B$33,$A6)</x:f>
        <x:v>1175.2104782109338</x:v>
      </x:c>
      <x:c r="H6" s="59" t="n">
        <x:f>SUMIFS('19_BCTC_du_an_5N'!$I$4:$I$33,'19_BCTC_du_an_5N'!$B$4:$B$33,$A6)</x:f>
        <x:v>1338.7436551224005</x:v>
      </x:c>
      <x:c r="I6" s="59" t="n">
        <x:f>SUMIFS('19_BCTC_du_an_5N'!$J$4:$J$33,'19_BCTC_du_an_5N'!$B$4:$B$33,$A6)</x:f>
        <x:v>444.83296753985707</x:v>
      </x:c>
      <x:c r="J6" s="59" t="n">
        <x:f>SUMIFS('19_BCTC_du_an_5N'!$K$4:$K$33,'19_BCTC_du_an_5N'!$B$4:$B$33,$A6)</x:f>
        <x:v>893.9106875825437</x:v>
      </x:c>
      <x:c r="K6" s="59" t="n">
        <x:f>SUMIFS('19_BCTC_du_an_5N'!$L$4:$L$33,'19_BCTC_du_an_5N'!$B$4:$B$33,$A6)</x:f>
        <x:v>12667.259999999997</x:v>
      </x:c>
      <x:c r="L6" s="59" t="n">
        <x:f>SUMIFS('19_BCTC_du_an_5N'!$M$4:$M$33,'19_BCTC_du_an_5N'!$B$4:$B$33,$A6)</x:f>
        <x:v>6230.5428571428565</x:v>
      </x:c>
      <x:c r="M6" s="59" t="n">
        <x:f>SUMIFS('19_BCTC_du_an_5N'!$N$4:$N$33,'19_BCTC_du_an_5N'!$B$4:$B$33,$A6)</x:f>
        <x:v>-4704.245572565997</x:v>
      </x:c>
      <x:c r="N6" s="63" t="n">
        <x:f>IF(B6=0,0,J6/B6)</x:f>
        <x:v>0.09034430152186732</x:v>
      </x:c>
    </x:row>
    <x:row r="7">
      <x:c r="A7" t="n">
        <x:v>4</x:v>
      </x:c>
      <x:c r="B7" s="59" t="n">
        <x:f>SUMIFS('19_BCTC_du_an_5N'!$C$4:$C$33,'19_BCTC_du_an_5N'!$B$4:$B$33,$A7)</x:f>
        <x:v>12320.088888888891</x:v>
      </x:c>
      <x:c r="C7" s="59" t="n">
        <x:f>SUMIFS('19_BCTC_du_an_5N'!$D$4:$D$33,'19_BCTC_du_an_5N'!$B$4:$B$33,$A7)</x:f>
        <x:v>8270.951111111111</x:v>
      </x:c>
      <x:c r="D7" s="59" t="n">
        <x:f>B7-C7</x:f>
        <x:v>4049.13777777778</x:v>
      </x:c>
      <x:c r="E7" s="59" t="n">
        <x:f>SUMIFS('19_BCTC_du_an_5N'!$F$4:$F$33,'19_BCTC_du_an_5N'!$B$4:$B$33,$A7)</x:f>
        <x:v>431.20311111111107</x:v>
      </x:c>
      <x:c r="F7" s="59" t="n">
        <x:f>SUMIFS('19_BCTC_du_an_5N'!$G$4:$G$33,'19_BCTC_du_an_5N'!$B$4:$B$33,$A7)</x:f>
        <x:v>250.66417777777775</x:v>
      </x:c>
      <x:c r="G7" s="59" t="n">
        <x:f>SUMIFS('19_BCTC_du_an_5N'!$H$4:$H$33,'19_BCTC_du_an_5N'!$B$4:$B$33,$A7)</x:f>
        <x:v>839.5101677304734</x:v>
      </x:c>
      <x:c r="H7" s="59" t="n">
        <x:f>SUMIFS('19_BCTC_du_an_5N'!$I$4:$I$33,'19_BCTC_du_an_5N'!$B$4:$B$33,$A7)</x:f>
        <x:v>2527.7603211584164</x:v>
      </x:c>
      <x:c r="I7" s="59" t="n">
        <x:f>SUMIFS('19_BCTC_du_an_5N'!$J$4:$J$33,'19_BCTC_du_an_5N'!$B$4:$B$33,$A7)</x:f>
        <x:v>660.8756704059965</x:v>
      </x:c>
      <x:c r="J7" s="59" t="n">
        <x:f>SUMIFS('19_BCTC_du_an_5N'!$K$4:$K$33,'19_BCTC_du_an_5N'!$B$4:$B$33,$A7)</x:f>
        <x:v>1866.8846507524204</x:v>
      </x:c>
      <x:c r="K7" s="59" t="n">
        <x:f>SUMIFS('19_BCTC_du_an_5N'!$L$4:$L$33,'19_BCTC_du_an_5N'!$B$4:$B$33,$A7)</x:f>
        <x:v>9898.666666666666</x:v>
      </x:c>
      <x:c r="L7" s="59" t="n">
        <x:f>SUMIFS('19_BCTC_du_an_5N'!$M$4:$M$33,'19_BCTC_du_an_5N'!$B$4:$B$33,$A7)</x:f>
        <x:v>3653.5714285714284</x:v>
      </x:c>
      <x:c r="M7" s="59" t="n">
        <x:f>SUMIFS('19_BCTC_du_an_5N'!$N$4:$N$33,'19_BCTC_du_an_5N'!$B$4:$B$33,$A7)</x:f>
        <x:v>-1566.49615736162</x:v>
      </x:c>
      <x:c r="N7" s="63" t="n">
        <x:f>IF(B7=0,0,J7/B7)</x:f>
        <x:v>0.1515317517259235</x:v>
      </x:c>
    </x:row>
    <x:row r="8">
      <x:c r="A8" t="n">
        <x:v>5</x:v>
      </x:c>
      <x:c r="B8" s="59" t="n">
        <x:f>SUMIFS('19_BCTC_du_an_5N'!$C$4:$C$33,'19_BCTC_du_an_5N'!$B$4:$B$33,$A8)</x:f>
        <x:v>11377.777777777777</x:v>
      </x:c>
      <x:c r="C8" s="59" t="n">
        <x:f>SUMIFS('19_BCTC_du_an_5N'!$D$4:$D$33,'19_BCTC_du_an_5N'!$B$4:$B$33,$A8)</x:f>
        <x:v>7675.999999999998</x:v>
      </x:c>
      <x:c r="D8" s="59" t="n">
        <x:f>B8-C8</x:f>
        <x:v>3701.777777777779</x:v>
      </x:c>
      <x:c r="E8" s="59" t="n">
        <x:f>SUMIFS('19_BCTC_du_an_5N'!$F$4:$F$33,'19_BCTC_du_an_5N'!$B$4:$B$33,$A8)</x:f>
        <x:v>398.2222222222222</x:v>
      </x:c>
      <x:c r="F8" s="59" t="n">
        <x:f>SUMIFS('19_BCTC_du_an_5N'!$G$4:$G$33,'19_BCTC_du_an_5N'!$B$4:$B$33,$A8)</x:f>
        <x:v>227.55555555555554</x:v>
      </x:c>
      <x:c r="G8" s="59" t="n">
        <x:f>SUMIFS('19_BCTC_du_an_5N'!$H$4:$H$33,'19_BCTC_du_an_5N'!$B$4:$B$33,$A8)</x:f>
        <x:v>809.4693429321985</x:v>
      </x:c>
      <x:c r="H8" s="59" t="n">
        <x:f>SUMIFS('19_BCTC_du_an_5N'!$I$4:$I$33,'19_BCTC_du_an_5N'!$B$4:$B$33,$A8)</x:f>
        <x:v>2266.530657067803</x:v>
      </x:c>
      <x:c r="I8" s="59" t="n">
        <x:f>SUMIFS('19_BCTC_du_an_5N'!$J$4:$J$33,'19_BCTC_du_an_5N'!$B$4:$B$33,$A8)</x:f>
        <x:v>615.2000000000003</x:v>
      </x:c>
      <x:c r="J8" s="59" t="n">
        <x:f>SUMIFS('19_BCTC_du_an_5N'!$K$4:$K$33,'19_BCTC_du_an_5N'!$B$4:$B$33,$A8)</x:f>
        <x:v>1651.3306570678026</x:v>
      </x:c>
      <x:c r="K8" s="59" t="n">
        <x:f>SUMIFS('19_BCTC_du_an_5N'!$L$4:$L$33,'19_BCTC_du_an_5N'!$B$4:$B$33,$A8)</x:f>
        <x:v>4611.333333333333</x:v>
      </x:c>
      <x:c r="L8" s="59" t="n">
        <x:f>SUMIFS('19_BCTC_du_an_5N'!$M$4:$M$33,'19_BCTC_du_an_5N'!$B$4:$B$33,$A8)</x:f>
        <x:v>499.99999999999994</x:v>
      </x:c>
      <x:c r="M8" s="59" t="n">
        <x:f>SUMIFS('19_BCTC_du_an_5N'!$N$4:$N$33,'19_BCTC_du_an_5N'!$B$4:$B$33,$A8)</x:f>
        <x:v>544.4193429321984</x:v>
      </x:c>
      <x:c r="N8" s="63" t="n">
        <x:f>IF(B8=0,0,J8/B8)</x:f>
        <x:v>0.14513648353134984</x:v>
      </x:c>
    </x:row>
  </x:sheetData>
  <x:mergeCells>
    <x:mergeCell ref="A1:N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48" t="str">
        <x:v>21_Truyen_dan_tac_dong – Truyền dẫn chậm pháp lý sang tài chính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</x:row>
    <x:row r="3">
      <x:c r="A3" s="53" t="str">
        <x:v>Mã dự án</x:v>
      </x:c>
      <x:c r="B3" s="53" t="str">
        <x:v>Tên dự án</x:v>
      </x:c>
      <x:c r="C3" s="53" t="str">
        <x:v>Chậm pháp lý (ngày)</x:v>
      </x:c>
      <x:c r="D3" s="53" t="str">
        <x:v>Dịch mở bán (tháng)</x:v>
      </x:c>
      <x:c r="E3" s="53" t="str">
        <x:v>Doanh thu kỳ vọng</x:v>
      </x:c>
      <x:c r="F3" s="53" t="str">
        <x:v>Doanh thu bị dịch 12T (proxy)</x:v>
      </x:c>
      <x:c r="G3" s="53" t="str">
        <x:v>Dư nợ đầu kỳ</x:v>
      </x:c>
      <x:c r="H3" s="53" t="str">
        <x:v>Lãi vay tăng thêm (proxy)</x:v>
      </x:c>
      <x:c r="I3" s="53" t="str">
        <x:v>Funding gap proxy</x:v>
      </x:c>
      <x:c r="J3" s="53" t="str">
        <x:v>IRR cơ sở (proxy)</x:v>
      </x:c>
      <x:c r="K3" s="53" t="str">
        <x:v>IRR sau chậm (proxy)</x:v>
      </x:c>
      <x:c r="L3" s="53" t="str">
        <x:v>Mức ảnh hưởng</x:v>
      </x:c>
    </x:row>
    <x:row r="4">
      <x:c r="A4" t="str">
        <x:v>DA01</x:v>
      </x:c>
      <x:c r="B4" t="str">
        <x:v>Khu đô thị Tây Hà Nội</x:v>
      </x:c>
      <x:c r="C4" s="59" t="n">
        <x:f>'17_Gia_dinh_mo_hinh'!E4</x:f>
        <x:v>180</x:v>
      </x:c>
      <x:c r="D4" s="59" t="n">
        <x:f>ROUNDUP(C4/30,0)</x:f>
        <x:v>6</x:v>
      </x:c>
      <x:c r="E4" s="59" t="n">
        <x:f>'17_Gia_dinh_mo_hinh'!L4</x:f>
        <x:v>9800</x:v>
      </x:c>
      <x:c r="F4" s="59" t="n">
        <x:f>E4*MIN(12,D4)/'17_Gia_dinh_mo_hinh'!G4</x:f>
        <x:v>1960</x:v>
      </x:c>
      <x:c r="G4" s="59" t="n">
        <x:f>'17_Gia_dinh_mo_hinh'!U4</x:f>
        <x:v>914.0625</x:v>
      </x:c>
      <x:c r="H4" s="59" t="n">
        <x:f>G4*'17_Gia_dinh_mo_hinh'!Q4/12*D4</x:f>
        <x:v>43.41796875</x:v>
      </x:c>
      <x:c r="I4" s="59" t="n">
        <x:f>MAX(0,H4+F4*0.20)</x:f>
        <x:v>435.41796875</x:v>
      </x:c>
      <x:c r="J4" s="63" t="n">
        <x:f>MAX(0.08,0.22-0.002*D4)</x:f>
        <x:v>0.208</x:v>
      </x:c>
      <x:c r="K4" s="63" t="n">
        <x:f>MAX(0.05,J4-0.0015*D4)</x:f>
        <x:v>0.19899999999999998</x:v>
      </x:c>
      <x:c r="L4" t="str">
        <x:f>IF(D4&gt;=6,"Rất cao",IF(D4&gt;=3,"Cao",IF(D4&gt;=1,"Trung bình","Thấp")))</x:f>
        <x:v>Rất cao</x:v>
      </x:c>
    </x:row>
    <x:row r="5">
      <x:c r="A5" t="str">
        <x:v>DA02</x:v>
      </x:c>
      <x:c r="B5" t="str">
        <x:v>Khu nhà ở Đông Anh</x:v>
      </x:c>
      <x:c r="C5" s="59" t="n">
        <x:f>'17_Gia_dinh_mo_hinh'!E5</x:f>
        <x:v>90</x:v>
      </x:c>
      <x:c r="D5" s="59" t="n">
        <x:f>ROUNDUP(C5/30,0)</x:f>
        <x:v>3</x:v>
      </x:c>
      <x:c r="E5" s="59" t="n">
        <x:f>'17_Gia_dinh_mo_hinh'!L5</x:f>
        <x:v>11200</x:v>
      </x:c>
      <x:c r="F5" s="59" t="n">
        <x:f>E5*MIN(12,D5)/'17_Gia_dinh_mo_hinh'!G5</x:f>
        <x:v>1120</x:v>
      </x:c>
      <x:c r="G5" s="59" t="n">
        <x:f>'17_Gia_dinh_mo_hinh'!U5</x:f>
        <x:v>1918.08</x:v>
      </x:c>
      <x:c r="H5" s="59" t="n">
        <x:f>G5*'17_Gia_dinh_mo_hinh'!Q5/12*D5</x:f>
        <x:v>45.5544</x:v>
      </x:c>
      <x:c r="I5" s="59" t="n">
        <x:f>MAX(0,H5+F5*0.20)</x:f>
        <x:v>269.5544</x:v>
      </x:c>
      <x:c r="J5" s="63" t="n">
        <x:f>MAX(0.08,0.22-0.002*D5)</x:f>
        <x:v>0.214</x:v>
      </x:c>
      <x:c r="K5" s="63" t="n">
        <x:f>MAX(0.05,J5-0.0015*D5)</x:f>
        <x:v>0.2095</x:v>
      </x:c>
      <x:c r="L5" t="str">
        <x:f>IF(D5&gt;=6,"Rất cao",IF(D5&gt;=3,"Cao",IF(D5&gt;=1,"Trung bình","Thấp")))</x:f>
        <x:v>Cao</x:v>
      </x:c>
    </x:row>
    <x:row r="6">
      <x:c r="A6" t="str">
        <x:v>DA03</x:v>
      </x:c>
      <x:c r="B6" t="str">
        <x:v>Khu đô thị Hưng Yên</x:v>
      </x:c>
      <x:c r="C6" s="59" t="n">
        <x:f>'17_Gia_dinh_mo_hinh'!E6</x:f>
        <x:v>30</x:v>
      </x:c>
      <x:c r="D6" s="59" t="n">
        <x:f>ROUNDUP(C6/30,0)</x:f>
        <x:v>1</x:v>
      </x:c>
      <x:c r="E6" s="59" t="n">
        <x:f>'17_Gia_dinh_mo_hinh'!L6</x:f>
        <x:v>14800</x:v>
      </x:c>
      <x:c r="F6" s="59" t="n">
        <x:f>E6*MIN(12,D6)/'17_Gia_dinh_mo_hinh'!G6</x:f>
        <x:v>493.3333333333333</x:v>
      </x:c>
      <x:c r="G6" s="59" t="n">
        <x:f>'17_Gia_dinh_mo_hinh'!U6</x:f>
        <x:v>3270.015</x:v>
      </x:c>
      <x:c r="H6" s="59" t="n">
        <x:f>G6*'17_Gia_dinh_mo_hinh'!Q6/12*D6</x:f>
        <x:v>25.88761875</x:v>
      </x:c>
      <x:c r="I6" s="59" t="n">
        <x:f>MAX(0,H6+F6*0.20)</x:f>
        <x:v>124.55428541666667</x:v>
      </x:c>
      <x:c r="J6" s="63" t="n">
        <x:f>MAX(0.08,0.22-0.002*D6)</x:f>
        <x:v>0.218</x:v>
      </x:c>
      <x:c r="K6" s="63" t="n">
        <x:f>MAX(0.05,J6-0.0015*D6)</x:f>
        <x:v>0.2165</x:v>
      </x:c>
      <x:c r="L6" t="str">
        <x:f>IF(D6&gt;=6,"Rất cao",IF(D6&gt;=3,"Cao",IF(D6&gt;=1,"Trung bình","Thấp")))</x:f>
        <x:v>Trung bình</x:v>
      </x:c>
    </x:row>
    <x:row r="7">
      <x:c r="A7" t="str">
        <x:v>DA04</x:v>
      </x:c>
      <x:c r="B7" t="str">
        <x:v>Tổ hợp Hải Phòng</x:v>
      </x:c>
      <x:c r="C7" s="59" t="n">
        <x:f>'17_Gia_dinh_mo_hinh'!E7</x:f>
        <x:v>0</x:v>
      </x:c>
      <x:c r="D7" s="59" t="n">
        <x:f>ROUNDUP(C7/30,0)</x:f>
        <x:v>0</x:v>
      </x:c>
      <x:c r="E7" s="59" t="n">
        <x:f>'17_Gia_dinh_mo_hinh'!L7</x:f>
        <x:v>13200</x:v>
      </x:c>
      <x:c r="F7" s="59" t="n">
        <x:f>E7*MIN(12,D7)/'17_Gia_dinh_mo_hinh'!G7</x:f>
        <x:v>0</x:v>
      </x:c>
      <x:c r="G7" s="59" t="n">
        <x:f>'17_Gia_dinh_mo_hinh'!U7</x:f>
        <x:v>3024</x:v>
      </x:c>
      <x:c r="H7" s="59" t="n">
        <x:f>G7*'17_Gia_dinh_mo_hinh'!Q7/12*D7</x:f>
        <x:v>0</x:v>
      </x:c>
      <x:c r="I7" s="59" t="n">
        <x:f>MAX(0,H7+F7*0.20)</x:f>
        <x:v>0</x:v>
      </x:c>
      <x:c r="J7" s="63" t="n">
        <x:f>MAX(0.08,0.22-0.002*D7)</x:f>
        <x:v>0.22</x:v>
      </x:c>
      <x:c r="K7" s="63" t="n">
        <x:f>MAX(0.05,J7-0.0015*D7)</x:f>
        <x:v>0.22</x:v>
      </x:c>
      <x:c r="L7" t="str">
        <x:f>IF(D7&gt;=6,"Rất cao",IF(D7&gt;=3,"Cao",IF(D7&gt;=1,"Trung bình","Thấp")))</x:f>
        <x:v>Thấp</x:v>
      </x:c>
    </x:row>
    <x:row r="8">
      <x:c r="A8" t="str">
        <x:v>DA05</x:v>
      </x:c>
      <x:c r="B8" t="str">
        <x:v>Khu nghỉ dưỡng Quảng Ninh</x:v>
      </x:c>
      <x:c r="C8" s="59" t="n">
        <x:f>'17_Gia_dinh_mo_hinh'!E8</x:f>
        <x:v>0</x:v>
      </x:c>
      <x:c r="D8" s="59" t="n">
        <x:f>ROUNDUP(C8/30,0)</x:f>
        <x:v>0</x:v>
      </x:c>
      <x:c r="E8" s="59" t="n">
        <x:f>'17_Gia_dinh_mo_hinh'!L8</x:f>
        <x:v>9400</x:v>
      </x:c>
      <x:c r="F8" s="59" t="n">
        <x:f>E8*MIN(12,D8)/'17_Gia_dinh_mo_hinh'!G8</x:f>
        <x:v>0</x:v>
      </x:c>
      <x:c r="G8" s="59" t="n">
        <x:f>'17_Gia_dinh_mo_hinh'!U8</x:f>
        <x:v>2232</x:v>
      </x:c>
      <x:c r="H8" s="59" t="n">
        <x:f>G8*'17_Gia_dinh_mo_hinh'!Q8/12*D8</x:f>
        <x:v>0</x:v>
      </x:c>
      <x:c r="I8" s="59" t="n">
        <x:f>MAX(0,H8+F8*0.20)</x:f>
        <x:v>0</x:v>
      </x:c>
      <x:c r="J8" s="63" t="n">
        <x:f>MAX(0.08,0.22-0.002*D8)</x:f>
        <x:v>0.22</x:v>
      </x:c>
      <x:c r="K8" s="63" t="n">
        <x:f>MAX(0.05,J8-0.0015*D8)</x:f>
        <x:v>0.22</x:v>
      </x:c>
      <x:c r="L8" t="str">
        <x:f>IF(D8&gt;=6,"Rất cao",IF(D8&gt;=3,"Cao",IF(D8&gt;=1,"Trung bình","Thấp")))</x:f>
        <x:v>Thấp</x:v>
      </x:c>
    </x:row>
    <x:row r="9">
      <x:c r="A9" t="str">
        <x:v>DA06</x:v>
      </x:c>
      <x:c r="B9" t="str">
        <x:v>Dự án M&amp;A Đà Nẵng</x:v>
      </x:c>
      <x:c r="C9" s="59" t="n">
        <x:f>'17_Gia_dinh_mo_hinh'!E9</x:f>
        <x:v>270</x:v>
      </x:c>
      <x:c r="D9" s="59" t="n">
        <x:f>ROUNDUP(C9/30,0)</x:f>
        <x:v>9</x:v>
      </x:c>
      <x:c r="E9" s="59" t="n">
        <x:f>'17_Gia_dinh_mo_hinh'!L9</x:f>
        <x:v>7200</x:v>
      </x:c>
      <x:c r="F9" s="59" t="n">
        <x:f>E9*MIN(12,D9)/'17_Gia_dinh_mo_hinh'!G9</x:f>
        <x:v>2160</x:v>
      </x:c>
      <x:c r="G9" s="59" t="n">
        <x:f>'17_Gia_dinh_mo_hinh'!U9</x:f>
        <x:v>501.1875</x:v>
      </x:c>
      <x:c r="H9" s="59" t="n">
        <x:f>G9*'17_Gia_dinh_mo_hinh'!Q9/12*D9</x:f>
        <x:v>35.70960937500001</x:v>
      </x:c>
      <x:c r="I9" s="59" t="n">
        <x:f>MAX(0,H9+F9*0.20)</x:f>
        <x:v>467.709609375</x:v>
      </x:c>
      <x:c r="J9" s="63" t="n">
        <x:f>MAX(0.08,0.22-0.002*D9)</x:f>
        <x:v>0.202</x:v>
      </x:c>
      <x:c r="K9" s="63" t="n">
        <x:f>MAX(0.05,J9-0.0015*D9)</x:f>
        <x:v>0.1885</x:v>
      </x:c>
      <x:c r="L9" t="str">
        <x:f>IF(D9&gt;=6,"Rất cao",IF(D9&gt;=3,"Cao",IF(D9&gt;=1,"Trung bình","Thấp")))</x:f>
        <x:v>Rất cao</x:v>
      </x:c>
    </x:row>
  </x:sheetData>
  <x:mergeCells>
    <x:mergeCell ref="A1:L1"/>
  </x:mergeCells>
  <x:conditionalFormatting sqref="L4:L9">
    <x:cfRule type="expression" dxfId="1" priority="1">
      <x:formula>L4="Rất cao"</x:formula>
    </x:cfRule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48" t="str">
        <x:v>22 – Chỉ tiêu điều hành hợp nhất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</x:row>
    <x:row r="3">
      <x:c r="A3" s="53" t="str">
        <x:v>Mã dự án</x:v>
      </x:c>
      <x:c r="B3" s="53" t="str">
        <x:v>Tên dự án</x:v>
      </x:c>
      <x:c r="C3" s="53" t="str">
        <x:v>Giai đoạn</x:v>
      </x:c>
      <x:c r="D3" s="53" t="str">
        <x:v>Điểm sức khỏe</x:v>
      </x:c>
      <x:c r="E3" s="53" t="str">
        <x:v>Chậm PL (ngày)</x:v>
      </x:c>
      <x:c r="F3" s="53" t="str">
        <x:v>Doanh thu KH</x:v>
      </x:c>
      <x:c r="G3" s="53" t="str">
        <x:v>TMĐT</x:v>
      </x:c>
      <x:c r="H3" s="53" t="str">
        <x:v>Dư nợ đầu kỳ</x:v>
      </x:c>
      <x:c r="I3" s="53" t="str">
        <x:v>Hạn mức vay</x:v>
      </x:c>
      <x:c r="J3" s="53" t="str">
        <x:v>Funding gap proxy</x:v>
      </x:c>
      <x:c r="K3" s="53" t="str">
        <x:v>IRR sau chậm</x:v>
      </x:c>
      <x:c r="L3" s="53" t="str">
        <x:v>Mức cảnh báo</x:v>
      </x:c>
      <x:c r="M3" s="53" t="str">
        <x:v>Ưu tiên điều hành</x:v>
      </x:c>
    </x:row>
    <x:row r="4">
      <x:c r="A4" t="str">
        <x:f>'01_Danh_muc_du_an'!A4</x:f>
        <x:v>DA01</x:v>
      </x:c>
      <x:c r="B4" t="str">
        <x:f>'01_Danh_muc_du_an'!B4</x:f>
        <x:v>Khu đô thị Tây Hà Nội</x:v>
      </x:c>
      <x:c r="C4" t="str">
        <x:f>'01_Danh_muc_du_an'!D4</x:f>
        <x:v>Chuẩn bị đầu tư</x:v>
      </x:c>
      <x:c r="D4" s="64" t="n">
        <x:f>'16_Suc_khoe_du_an'!I4</x:f>
        <x:v>60.45</x:v>
      </x:c>
      <x:c r="E4" s="59" t="n">
        <x:f>'21_Truyen_dan_tac_dong'!C4</x:f>
        <x:v>180</x:v>
      </x:c>
      <x:c r="F4" s="59" t="n">
        <x:f>'17_Gia_dinh_mo_hinh'!L4</x:f>
        <x:v>9800</x:v>
      </x:c>
      <x:c r="G4" s="59" t="n">
        <x:f>'17_Gia_dinh_mo_hinh'!K4</x:f>
        <x:v>6500</x:v>
      </x:c>
      <x:c r="H4" s="59" t="n">
        <x:f>'17_Gia_dinh_mo_hinh'!U4</x:f>
        <x:v>914.0625</x:v>
      </x:c>
      <x:c r="I4" s="59" t="n">
        <x:f>'17_Gia_dinh_mo_hinh'!R4</x:f>
        <x:v>2925</x:v>
      </x:c>
      <x:c r="J4" s="59" t="n">
        <x:f>'21_Truyen_dan_tac_dong'!I4</x:f>
        <x:v>435.41796875</x:v>
      </x:c>
      <x:c r="K4" s="63" t="n">
        <x:f>'21_Truyen_dan_tac_dong'!K4</x:f>
        <x:v>0.19899999999999998</x:v>
      </x:c>
      <x:c r="L4" t="str">
        <x:f>'01_Danh_muc_du_an'!M4</x:f>
        <x:v>Rất cao</x:v>
      </x:c>
      <x:c r="M4" t="str">
        <x:f>IF(OR(L4="Rất cao",J4&gt;0,D4&lt;65),"1 - Khẩn cấp",IF(OR(L4="Cao",D4&lt;75),"2 - Cao","3 - Theo dõi"))</x:f>
        <x:v>1 - Khẩn cấp</x:v>
      </x:c>
    </x:row>
    <x:row r="5">
      <x:c r="A5" t="str">
        <x:f>'01_Danh_muc_du_an'!A5</x:f>
        <x:v>DA02</x:v>
      </x:c>
      <x:c r="B5" t="str">
        <x:f>'01_Danh_muc_du_an'!B5</x:f>
        <x:v>Khu nhà ở Đông Anh</x:v>
      </x:c>
      <x:c r="C5" t="str">
        <x:f>'01_Danh_muc_du_an'!D5</x:f>
        <x:v>Hoàn thiện pháp lý</x:v>
      </x:c>
      <x:c r="D5" s="64" t="n">
        <x:f>'16_Suc_khoe_du_an'!I5</x:f>
        <x:v>71.2</x:v>
      </x:c>
      <x:c r="E5" s="59" t="n">
        <x:f>'21_Truyen_dan_tac_dong'!C5</x:f>
        <x:v>90</x:v>
      </x:c>
      <x:c r="F5" s="59" t="n">
        <x:f>'17_Gia_dinh_mo_hinh'!L5</x:f>
        <x:v>11200</x:v>
      </x:c>
      <x:c r="G5" s="59" t="n">
        <x:f>'17_Gia_dinh_mo_hinh'!K5</x:f>
        <x:v>7200</x:v>
      </x:c>
      <x:c r="H5" s="59" t="n">
        <x:f>'17_Gia_dinh_mo_hinh'!U5</x:f>
        <x:v>1918.08</x:v>
      </x:c>
      <x:c r="I5" s="59" t="n">
        <x:f>'17_Gia_dinh_mo_hinh'!R5</x:f>
        <x:v>3240</x:v>
      </x:c>
      <x:c r="J5" s="59" t="n">
        <x:f>'21_Truyen_dan_tac_dong'!I5</x:f>
        <x:v>269.5544</x:v>
      </x:c>
      <x:c r="K5" s="63" t="n">
        <x:f>'21_Truyen_dan_tac_dong'!K5</x:f>
        <x:v>0.2095</x:v>
      </x:c>
      <x:c r="L5" t="str">
        <x:f>'01_Danh_muc_du_an'!M5</x:f>
        <x:v>Rất cao</x:v>
      </x:c>
      <x:c r="M5" t="str">
        <x:f>IF(OR(L5="Rất cao",J5&gt;0,D5&lt;65),"1 - Khẩn cấp",IF(OR(L5="Cao",D5&lt;75),"2 - Cao","3 - Theo dõi"))</x:f>
        <x:v>1 - Khẩn cấp</x:v>
      </x:c>
    </x:row>
    <x:row r="6">
      <x:c r="A6" t="str">
        <x:f>'01_Danh_muc_du_an'!A6</x:f>
        <x:v>DA03</x:v>
      </x:c>
      <x:c r="B6" t="str">
        <x:f>'01_Danh_muc_du_an'!B6</x:f>
        <x:v>Khu đô thị Hưng Yên</x:v>
      </x:c>
      <x:c r="C6" t="str">
        <x:f>'01_Danh_muc_du_an'!D6</x:f>
        <x:v>Thi công</x:v>
      </x:c>
      <x:c r="D6" s="64" t="n">
        <x:f>'16_Suc_khoe_du_an'!I6</x:f>
        <x:v>63.7</x:v>
      </x:c>
      <x:c r="E6" s="59" t="n">
        <x:f>'21_Truyen_dan_tac_dong'!C6</x:f>
        <x:v>30</x:v>
      </x:c>
      <x:c r="F6" s="59" t="n">
        <x:f>'17_Gia_dinh_mo_hinh'!L6</x:f>
        <x:v>14800</x:v>
      </x:c>
      <x:c r="G6" s="59" t="n">
        <x:f>'17_Gia_dinh_mo_hinh'!K6</x:f>
        <x:v>9800</x:v>
      </x:c>
      <x:c r="H6" s="59" t="n">
        <x:f>'17_Gia_dinh_mo_hinh'!U6</x:f>
        <x:v>3270.015</x:v>
      </x:c>
      <x:c r="I6" s="59" t="n">
        <x:f>'17_Gia_dinh_mo_hinh'!R6</x:f>
        <x:v>4410</x:v>
      </x:c>
      <x:c r="J6" s="59" t="n">
        <x:f>'21_Truyen_dan_tac_dong'!I6</x:f>
        <x:v>124.55428541666667</x:v>
      </x:c>
      <x:c r="K6" s="63" t="n">
        <x:f>'21_Truyen_dan_tac_dong'!K6</x:f>
        <x:v>0.2165</x:v>
      </x:c>
      <x:c r="L6" t="str">
        <x:f>'01_Danh_muc_du_an'!M6</x:f>
        <x:v>Cao</x:v>
      </x:c>
      <x:c r="M6" t="str">
        <x:f>IF(OR(L6="Rất cao",J6&gt;0,D6&lt;65),"1 - Khẩn cấp",IF(OR(L6="Cao",D6&lt;75),"2 - Cao","3 - Theo dõi"))</x:f>
        <x:v>1 - Khẩn cấp</x:v>
      </x:c>
    </x:row>
    <x:row r="7">
      <x:c r="A7" t="str">
        <x:f>'01_Danh_muc_du_an'!A7</x:f>
        <x:v>DA04</x:v>
      </x:c>
      <x:c r="B7" t="str">
        <x:f>'01_Danh_muc_du_an'!B7</x:f>
        <x:v>Tổ hợp Hải Phòng</x:v>
      </x:c>
      <x:c r="C7" t="str">
        <x:f>'01_Danh_muc_du_an'!D7</x:f>
        <x:v>Mở bán</x:v>
      </x:c>
      <x:c r="D7" s="64" t="n">
        <x:f>'16_Suc_khoe_du_an'!I7</x:f>
        <x:v>78.74999999999999</x:v>
      </x:c>
      <x:c r="E7" s="59" t="n">
        <x:f>'21_Truyen_dan_tac_dong'!C7</x:f>
        <x:v>0</x:v>
      </x:c>
      <x:c r="F7" s="59" t="n">
        <x:f>'17_Gia_dinh_mo_hinh'!L7</x:f>
        <x:v>13200</x:v>
      </x:c>
      <x:c r="G7" s="59" t="n">
        <x:f>'17_Gia_dinh_mo_hinh'!K7</x:f>
        <x:v>8400</x:v>
      </x:c>
      <x:c r="H7" s="59" t="n">
        <x:f>'17_Gia_dinh_mo_hinh'!U7</x:f>
        <x:v>3024</x:v>
      </x:c>
      <x:c r="I7" s="59" t="n">
        <x:f>'17_Gia_dinh_mo_hinh'!R7</x:f>
        <x:v>3780</x:v>
      </x:c>
      <x:c r="J7" s="59" t="n">
        <x:f>'21_Truyen_dan_tac_dong'!I7</x:f>
        <x:v>0</x:v>
      </x:c>
      <x:c r="K7" s="63" t="n">
        <x:f>'21_Truyen_dan_tac_dong'!K7</x:f>
        <x:v>0.22</x:v>
      </x:c>
      <x:c r="L7" t="str">
        <x:f>'01_Danh_muc_du_an'!M7</x:f>
        <x:v>Cao</x:v>
      </x:c>
      <x:c r="M7" t="str">
        <x:f>IF(OR(L7="Rất cao",J7&gt;0,D7&lt;65),"1 - Khẩn cấp",IF(OR(L7="Cao",D7&lt;75),"2 - Cao","3 - Theo dõi"))</x:f>
        <x:v>2 - Cao</x:v>
      </x:c>
    </x:row>
    <x:row r="8">
      <x:c r="A8" t="str">
        <x:f>'01_Danh_muc_du_an'!A8</x:f>
        <x:v>DA05</x:v>
      </x:c>
      <x:c r="B8" t="str">
        <x:f>'01_Danh_muc_du_an'!B8</x:f>
        <x:v>Khu nghỉ dưỡng Quảng Ninh</x:v>
      </x:c>
      <x:c r="C8" t="str">
        <x:f>'01_Danh_muc_du_an'!D8</x:f>
        <x:v>Bàn giao</x:v>
      </x:c>
      <x:c r="D8" s="64" t="n">
        <x:f>'16_Suc_khoe_du_an'!I8</x:f>
        <x:v>90.10000000000001</x:v>
      </x:c>
      <x:c r="E8" s="59" t="n">
        <x:f>'21_Truyen_dan_tac_dong'!C8</x:f>
        <x:v>0</x:v>
      </x:c>
      <x:c r="F8" s="59" t="n">
        <x:f>'17_Gia_dinh_mo_hinh'!L8</x:f>
        <x:v>9400</x:v>
      </x:c>
      <x:c r="G8" s="59" t="n">
        <x:f>'17_Gia_dinh_mo_hinh'!K8</x:f>
        <x:v>6200</x:v>
      </x:c>
      <x:c r="H8" s="59" t="n">
        <x:f>'17_Gia_dinh_mo_hinh'!U8</x:f>
        <x:v>2232</x:v>
      </x:c>
      <x:c r="I8" s="59" t="n">
        <x:f>'17_Gia_dinh_mo_hinh'!R8</x:f>
        <x:v>2790</x:v>
      </x:c>
      <x:c r="J8" s="59" t="n">
        <x:f>'21_Truyen_dan_tac_dong'!I8</x:f>
        <x:v>0</x:v>
      </x:c>
      <x:c r="K8" s="63" t="n">
        <x:f>'21_Truyen_dan_tac_dong'!K8</x:f>
        <x:v>0.22</x:v>
      </x:c>
      <x:c r="L8" t="str">
        <x:f>'01_Danh_muc_du_an'!M8</x:f>
        <x:v>Trung bình</x:v>
      </x:c>
      <x:c r="M8" t="str">
        <x:f>IF(OR(L8="Rất cao",J8&gt;0,D8&lt;65),"1 - Khẩn cấp",IF(OR(L8="Cao",D8&lt;75),"2 - Cao","3 - Theo dõi"))</x:f>
        <x:v>3 - Theo dõi</x:v>
      </x:c>
    </x:row>
    <x:row r="9">
      <x:c r="A9" t="str">
        <x:f>'01_Danh_muc_du_an'!A9</x:f>
        <x:v>DA06</x:v>
      </x:c>
      <x:c r="B9" t="str">
        <x:f>'01_Danh_muc_du_an'!B9</x:f>
        <x:v>Dự án M&amp;A Đà Nẵng</x:v>
      </x:c>
      <x:c r="C9" t="str">
        <x:f>'01_Danh_muc_du_an'!D9</x:f>
        <x:v>M&amp;A/Đánh giá</x:v>
      </x:c>
      <x:c r="D9" s="64" t="n">
        <x:f>'16_Suc_khoe_du_an'!I9</x:f>
        <x:v>57.95</x:v>
      </x:c>
      <x:c r="E9" s="59" t="n">
        <x:f>'21_Truyen_dan_tac_dong'!C9</x:f>
        <x:v>270</x:v>
      </x:c>
      <x:c r="F9" s="59" t="n">
        <x:f>'17_Gia_dinh_mo_hinh'!L9</x:f>
        <x:v>7200</x:v>
      </x:c>
      <x:c r="G9" s="59" t="n">
        <x:f>'17_Gia_dinh_mo_hinh'!K9</x:f>
        <x:v>4500</x:v>
      </x:c>
      <x:c r="H9" s="59" t="n">
        <x:f>'17_Gia_dinh_mo_hinh'!U9</x:f>
        <x:v>501.1875</x:v>
      </x:c>
      <x:c r="I9" s="59" t="n">
        <x:f>'17_Gia_dinh_mo_hinh'!R9</x:f>
        <x:v>2025</x:v>
      </x:c>
      <x:c r="J9" s="59" t="n">
        <x:f>'21_Truyen_dan_tac_dong'!I9</x:f>
        <x:v>467.709609375</x:v>
      </x:c>
      <x:c r="K9" s="63" t="n">
        <x:f>'21_Truyen_dan_tac_dong'!K9</x:f>
        <x:v>0.1885</x:v>
      </x:c>
      <x:c r="L9" t="str">
        <x:f>'01_Danh_muc_du_an'!M9</x:f>
        <x:v>Rất cao</x:v>
      </x:c>
      <x:c r="M9" t="str">
        <x:f>IF(OR(L9="Rất cao",J9&gt;0,D9&lt;65),"1 - Khẩn cấp",IF(OR(L9="Cao",D9&lt;75),"2 - Cao","3 - Theo dõi"))</x:f>
        <x:v>1 - Khẩn cấp</x:v>
      </x:c>
    </x:row>
  </x:sheetData>
  <x:mergeCells>
    <x:mergeCell ref="A1:M1"/>
  </x:mergeCells>
  <x:conditionalFormatting sqref="M4:M9">
    <x:cfRule type="expression" dxfId="2" priority="1">
      <x:formula>M4="1 - Khẩn cấp"</x:formula>
    </x:cfRule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4" hidden="0" customWidth="1"/>
  </x:cols>
  <x:sheetData>
    <x:row r="1">
      <x:c r="A1" s="81" t="str">
        <x:v>23_BCTC_Chi_tiet – Dữ liệu BCTC kế hoạch theo dự án, 5 năm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  <x:c r="AA1" s="81"/>
      <x:c r="AB1" s="81"/>
      <x:c r="AC1" s="81"/>
      <x:c r="AD1" s="81"/>
      <x:c r="AE1" s="81"/>
      <x:c r="AF1" s="81"/>
      <x:c r="AG1" s="81"/>
      <x:c r="AH1" s="81"/>
      <x:c r="AI1" s="81"/>
    </x:row>
    <x:row r="3">
      <x:c r="A3" s="77" t="str">
        <x:v>Mã dự án</x:v>
      </x:c>
      <x:c r="B3" s="77" t="str">
        <x:v>Năm mô hình</x:v>
      </x:c>
      <x:c r="C3" s="77" t="str">
        <x:v>Doanh thu</x:v>
      </x:c>
      <x:c r="D3" s="77" t="str">
        <x:v>Giá vốn</x:v>
      </x:c>
      <x:c r="E3" s="77" t="str">
        <x:v>LN gộp</x:v>
      </x:c>
      <x:c r="F3" s="77" t="str">
        <x:v>DT tài chính</x:v>
      </x:c>
      <x:c r="G3" s="77" t="str">
        <x:v>CP tài chính</x:v>
      </x:c>
      <x:c r="H3" s="77" t="str">
        <x:v>Trong đó: lãi vay</x:v>
      </x:c>
      <x:c r="I3" s="77" t="str">
        <x:v>CP bán hàng</x:v>
      </x:c>
      <x:c r="J3" s="77" t="str">
        <x:v>CP QLDN</x:v>
      </x:c>
      <x:c r="K3" s="77" t="str">
        <x:v>LNTT</x:v>
      </x:c>
      <x:c r="L3" s="77" t="str">
        <x:v>Thuế TNDN</x:v>
      </x:c>
      <x:c r="M3" s="77" t="str">
        <x:v>LNST</x:v>
      </x:c>
      <x:c r="N3" s="77" t="str">
        <x:v>Tiền</x:v>
      </x:c>
      <x:c r="O3" s="77" t="str">
        <x:v>Phải thu KH</x:v>
      </x:c>
      <x:c r="P3" s="77" t="str">
        <x:v>Hàng tồn kho/BĐS dở dang</x:v>
      </x:c>
      <x:c r="Q3" s="77" t="str">
        <x:v>TSNH khác</x:v>
      </x:c>
      <x:c r="R3" s="77" t="str">
        <x:v>TSCĐ &amp; BĐSĐT thuần</x:v>
      </x:c>
      <x:c r="S3" s="77" t="str">
        <x:v>TSDH khác</x:v>
      </x:c>
      <x:c r="T3" s="77" t="str">
        <x:v>Tổng tài sản</x:v>
      </x:c>
      <x:c r="U3" s="77" t="str">
        <x:v>Phải trả người bán</x:v>
      </x:c>
      <x:c r="V3" s="77" t="str">
        <x:v>Người mua trả tiền trước</x:v>
      </x:c>
      <x:c r="W3" s="77" t="str">
        <x:v>Thuế phải nộp</x:v>
      </x:c>
      <x:c r="X3" s="77" t="str">
        <x:v>Phải trả khác</x:v>
      </x:c>
      <x:c r="Y3" s="77" t="str">
        <x:v>Vay ngắn hạn</x:v>
      </x:c>
      <x:c r="Z3" s="77" t="str">
        <x:v>Vay dài hạn</x:v>
      </x:c>
      <x:c r="AA3" s="77" t="str">
        <x:v>Tổng nợ</x:v>
      </x:c>
      <x:c r="AB3" s="77" t="str">
        <x:v>Vốn góp</x:v>
      </x:c>
      <x:c r="AC3" s="77" t="str">
        <x:v>LNST chưa phân phối</x:v>
      </x:c>
      <x:c r="AD3" s="77" t="str">
        <x:v>Vốn CSH</x:v>
      </x:c>
      <x:c r="AE3" s="77" t="str">
        <x:v>Tổng nguồn vốn</x:v>
      </x:c>
      <x:c r="AF3" s="77" t="str">
        <x:v>CFO</x:v>
      </x:c>
      <x:c r="AG3" s="77" t="str">
        <x:v>CFI</x:v>
      </x:c>
      <x:c r="AH3" s="77" t="str">
        <x:v>CFF</x:v>
      </x:c>
      <x:c r="AI3" s="77" t="str">
        <x:v>LCT thuần</x:v>
      </x:c>
    </x:row>
    <x:row r="4">
      <x:c r="A4" t="str">
        <x:v>DA01</x:v>
      </x:c>
      <x:c r="B4" t="n">
        <x:v>1</x:v>
      </x:c>
      <x:c r="C4" s="59" t="n">
        <x:f>'19_BCTC_du_an_5N'!C4</x:f>
        <x:v>0</x:v>
      </x:c>
      <x:c r="D4" s="59" t="n">
        <x:f>'19_BCTC_du_an_5N'!D4</x:f>
        <x:v>0</x:v>
      </x:c>
      <x:c r="E4" s="59" t="n">
        <x:f>C4-D4</x:f>
        <x:v>0</x:v>
      </x:c>
      <x:c r="F4" s="59" t="n">
        <x:f>0</x:f>
        <x:v>0</x:v>
      </x:c>
      <x:c r="G4" s="59" t="n">
        <x:f>'19_BCTC_du_an_5N'!H4</x:f>
        <x:v>152.5009111073275</x:v>
      </x:c>
      <x:c r="H4" s="59" t="n">
        <x:f>'19_BCTC_du_an_5N'!H4</x:f>
        <x:v>152.5009111073275</x:v>
      </x:c>
      <x:c r="I4" s="59" t="n">
        <x:f>'19_BCTC_du_an_5N'!F4</x:f>
        <x:v>0</x:v>
      </x:c>
      <x:c r="J4" s="59" t="n">
        <x:f>'19_BCTC_du_an_5N'!G4</x:f>
        <x:v>0</x:v>
      </x:c>
      <x:c r="K4" s="59" t="n">
        <x:f>'19_BCTC_du_an_5N'!I4</x:f>
        <x:v>-152.5009111073275</x:v>
      </x:c>
      <x:c r="L4" s="59" t="n">
        <x:f>'19_BCTC_du_an_5N'!J4</x:f>
        <x:v>0</x:v>
      </x:c>
      <x:c r="M4" s="59" t="n">
        <x:f>'19_BCTC_du_an_5N'!K4</x:f>
        <x:v>-152.5009111073275</x:v>
      </x:c>
      <x:c r="N4" s="59" t="n">
        <x:f>'18_Mo_hinh_60T'!T15</x:f>
        <x:v>0</x:v>
      </x:c>
      <x:c r="O4" s="59" t="n">
        <x:f>'19_BCTC_du_an_5N'!C4*'17_Gia_dinh_mo_hinh'!$W$4/365</x:f>
        <x:v>0</x:v>
      </x:c>
      <x:c r="P4" s="59" t="n">
        <x:f>MAX('17_Gia_dinh_mo_hinh'!$K$4*'17_Gia_dinh_mo_hinh'!$Y$4,'17_Gia_dinh_mo_hinh'!$K$4*MAX(0,1-B4/5)*0.50)</x:f>
        <x:v>2600</x:v>
      </x:c>
      <x:c r="Q4" s="59" t="n">
        <x:f>'19_BCTC_du_an_5N'!C4*'17_Gia_dinh_mo_hinh'!$AC$4</x:f>
        <x:v>0</x:v>
      </x:c>
      <x:c r="R4" s="59" t="n">
        <x:f>MAX(0,'17_Gia_dinh_mo_hinh'!$Z$4+SUMIFS('19_BCTC_du_an_5N'!$M$4:$M$33,'19_BCTC_du_an_5N'!$A$4:$A$33,A4,'19_BCTC_du_an_5N'!$B$4:$B$33,"&lt;="&amp;B4)*0.08-'17_Gia_dinh_mo_hinh'!$Z$4*'17_Gia_dinh_mo_hinh'!$AA$4*B4)</x:f>
        <x:v>244.00000000000003</x:v>
      </x:c>
      <x:c r="S4" s="59" t="n">
        <x:f>0.03*'17_Gia_dinh_mo_hinh'!$K$4</x:f>
        <x:v>195</x:v>
      </x:c>
      <x:c r="T4" s="59" t="n">
        <x:f>SUM(N4:S4)</x:f>
        <x:v>3039</x:v>
      </x:c>
      <x:c r="U4" s="59" t="n">
        <x:f>'19_BCTC_du_an_5N'!D4*'17_Gia_dinh_mo_hinh'!$X$4/365</x:f>
        <x:v>0</x:v>
      </x:c>
      <x:c r="V4" s="59" t="n">
        <x:f>MAX(0,'19_BCTC_du_an_5N'!L4-'19_BCTC_du_an_5N'!C4)</x:f>
        <x:v>0</x:v>
      </x:c>
      <x:c r="W4" s="59" t="n">
        <x:f>0.25*'19_BCTC_du_an_5N'!J4</x:f>
        <x:v>0</x:v>
      </x:c>
      <x:c r="X4" s="59" t="n">
        <x:f>'19_BCTC_du_an_5N'!C4*'17_Gia_dinh_mo_hinh'!$AD$4</x:f>
        <x:v>0</x:v>
      </x:c>
      <x:c r="Y4" s="59" t="n">
        <x:f>0.35*'18_Mo_hinh_60T'!S15</x:f>
        <x:v>900.0471938875645</x:v>
      </x:c>
      <x:c r="Z4" s="59" t="n">
        <x:f>0.65*'18_Mo_hinh_60T'!S15</x:f>
        <x:v>1671.516217219763</x:v>
      </x:c>
      <x:c r="AA4" s="59" t="n">
        <x:f>SUM(U4:Z4)</x:f>
        <x:v>2571.5634111073273</x:v>
      </x:c>
      <x:c r="AB4" s="59" t="n">
        <x:f>'17_Gia_dinh_mo_hinh'!$AB$4</x:f>
        <x:v>1900</x:v>
      </x:c>
      <x:c r="AC4" s="59" t="n">
        <x:f>'19_BCTC_du_an_5N'!K4</x:f>
        <x:v>-152.5009111073275</x:v>
      </x:c>
      <x:c r="AD4" s="59" t="n">
        <x:f>T4-AA4</x:f>
        <x:v>467.4365888926727</x:v>
      </x:c>
      <x:c r="AE4" s="59" t="n">
        <x:f>T4</x:f>
        <x:v>3039</x:v>
      </x:c>
      <x:c r="AF4" s="59" t="n">
        <x:f>'19_BCTC_du_an_5N'!L4-'19_BCTC_du_an_5N'!F4-'19_BCTC_du_an_5N'!G4-'19_BCTC_du_an_5N'!J4-'19_BCTC_du_an_5N'!H4-0.15*'19_BCTC_du_an_5N'!M4</x:f>
        <x:v>-396.2509111073275</x:v>
      </x:c>
      <x:c r="AG4" s="59" t="n">
        <x:f>-0.85*'19_BCTC_du_an_5N'!M4</x:f>
        <x:v>-1381.2500000000002</x:v>
      </x:c>
      <x:c r="AH4" s="59" t="n">
        <x:f>'19_BCTC_du_an_5N'!N4-MAX(0,'19_BCTC_du_an_5N'!K4)*'17_Gia_dinh_mo_hinh'!$AE$4</x:f>
        <x:v>1657.5009111073275</x:v>
      </x:c>
      <x:c r="AI4" s="59" t="n">
        <x:f>SUM(AF4:AH4)</x:f>
        <x:v>-120.00000000000023</x:v>
      </x:c>
    </x:row>
    <x:row r="5">
      <x:c r="A5" t="str">
        <x:v>DA01</x:v>
      </x:c>
      <x:c r="B5" t="n">
        <x:v>2</x:v>
      </x:c>
      <x:c r="C5" s="59" t="n">
        <x:f>'19_BCTC_du_an_5N'!C5</x:f>
        <x:v>0</x:v>
      </x:c>
      <x:c r="D5" s="59" t="n">
        <x:f>'19_BCTC_du_an_5N'!D5</x:f>
        <x:v>0</x:v>
      </x:c>
      <x:c r="E5" s="59" t="n">
        <x:f>C5-D5</x:f>
        <x:v>0</x:v>
      </x:c>
      <x:c r="F5" s="59" t="n">
        <x:f>0</x:f>
        <x:v>0</x:v>
      </x:c>
      <x:c r="G5" s="59" t="n">
        <x:f>'19_BCTC_du_an_5N'!H5</x:f>
        <x:v>273.19029731672055</x:v>
      </x:c>
      <x:c r="H5" s="59" t="n">
        <x:f>'19_BCTC_du_an_5N'!H5</x:f>
        <x:v>273.19029731672055</x:v>
      </x:c>
      <x:c r="I5" s="59" t="n">
        <x:f>'19_BCTC_du_an_5N'!F5</x:f>
        <x:v>0</x:v>
      </x:c>
      <x:c r="J5" s="59" t="n">
        <x:f>'19_BCTC_du_an_5N'!G5</x:f>
        <x:v>0</x:v>
      </x:c>
      <x:c r="K5" s="59" t="n">
        <x:f>'19_BCTC_du_an_5N'!I5</x:f>
        <x:v>-273.19029731672055</x:v>
      </x:c>
      <x:c r="L5" s="59" t="n">
        <x:f>'19_BCTC_du_an_5N'!J5</x:f>
        <x:v>0</x:v>
      </x:c>
      <x:c r="M5" s="59" t="n">
        <x:f>'19_BCTC_du_an_5N'!K5</x:f>
        <x:v>-273.19029731672055</x:v>
      </x:c>
      <x:c r="N5" s="59" t="n">
        <x:f>'18_Mo_hinh_60T'!T27</x:f>
        <x:v>0</x:v>
      </x:c>
      <x:c r="O5" s="59" t="n">
        <x:f>'19_BCTC_du_an_5N'!C5*'17_Gia_dinh_mo_hinh'!$W$4/365</x:f>
        <x:v>0</x:v>
      </x:c>
      <x:c r="P5" s="59" t="n">
        <x:f>MAX('17_Gia_dinh_mo_hinh'!$K$4*'17_Gia_dinh_mo_hinh'!$Y$4,'17_Gia_dinh_mo_hinh'!$K$4*MAX(0,1-B5/5)*0.50)</x:f>
        <x:v>1950</x:v>
      </x:c>
      <x:c r="Q5" s="59" t="n">
        <x:f>'19_BCTC_du_an_5N'!C5*'17_Gia_dinh_mo_hinh'!$AC$4</x:f>
        <x:v>0</x:v>
      </x:c>
      <x:c r="R5" s="59" t="n">
        <x:f>MAX(0,'17_Gia_dinh_mo_hinh'!$Z$4+SUMIFS('19_BCTC_du_an_5N'!$M$4:$M$33,'19_BCTC_du_an_5N'!$A$4:$A$33,A5,'19_BCTC_du_an_5N'!$B$4:$B$33,"&lt;="&amp;B5)*0.08-'17_Gia_dinh_mo_hinh'!$Z$4*'17_Gia_dinh_mo_hinh'!$AA$4*B5)</x:f>
        <x:v>368.00000000000006</x:v>
      </x:c>
      <x:c r="S5" s="59" t="n">
        <x:f>0.03*'17_Gia_dinh_mo_hinh'!$K$4</x:f>
        <x:v>195</x:v>
      </x:c>
      <x:c r="T5" s="59" t="n">
        <x:f>SUM(N5:S5)</x:f>
        <x:v>2513</x:v>
      </x:c>
      <x:c r="U5" s="59" t="n">
        <x:f>'19_BCTC_du_an_5N'!D5*'17_Gia_dinh_mo_hinh'!$X$4/365</x:f>
        <x:v>0</x:v>
      </x:c>
      <x:c r="V5" s="59" t="n">
        <x:f>MAX(0,'19_BCTC_du_an_5N'!L5-'19_BCTC_du_an_5N'!C5)</x:f>
        <x:v>228.66666666666666</x:v>
      </x:c>
      <x:c r="W5" s="59" t="n">
        <x:f>0.25*'19_BCTC_du_an_5N'!J5</x:f>
        <x:v>0</x:v>
      </x:c>
      <x:c r="X5" s="59" t="n">
        <x:f>'19_BCTC_du_an_5N'!C5*'17_Gia_dinh_mo_hinh'!$AD$4</x:f>
        <x:v>0</x:v>
      </x:c>
      <x:c r="Y5" s="59" t="n">
        <x:f>0.35*'18_Mo_hinh_60T'!S27</x:f>
        <x:v>999.2171874999999</x:v>
      </x:c>
      <x:c r="Z5" s="59" t="n">
        <x:f>0.65*'18_Mo_hinh_60T'!S27</x:f>
        <x:v>1855.6890625</x:v>
      </x:c>
      <x:c r="AA5" s="59" t="n">
        <x:f>SUM(U5:Z5)</x:f>
        <x:v>3083.572916666667</x:v>
      </x:c>
      <x:c r="AB5" s="59" t="n">
        <x:f>'17_Gia_dinh_mo_hinh'!$AB$4</x:f>
        <x:v>1900</x:v>
      </x:c>
      <x:c r="AC5" s="59" t="n">
        <x:f>AC4+'19_BCTC_du_an_5N'!K5-MAX(0,'19_BCTC_du_an_5N'!K5)*'17_Gia_dinh_mo_hinh'!$AE$4</x:f>
        <x:v>-425.69120842404806</x:v>
      </x:c>
      <x:c r="AD5" s="59" t="n">
        <x:f>T5-AA5</x:f>
        <x:v>-570.572916666667</x:v>
      </x:c>
      <x:c r="AE5" s="59" t="n">
        <x:f>T5</x:f>
        <x:v>2513</x:v>
      </x:c>
      <x:c r="AF5" s="59" t="n">
        <x:f>'19_BCTC_du_an_5N'!L5-'19_BCTC_du_an_5N'!F5-'19_BCTC_du_an_5N'!G5-'19_BCTC_du_an_5N'!J5-'19_BCTC_du_an_5N'!H5-0.15*'19_BCTC_du_an_5N'!M5</x:f>
        <x:v>-288.2736306500539</x:v>
      </x:c>
      <x:c r="AG5" s="59" t="n">
        <x:f>-0.85*'19_BCTC_du_an_5N'!M5</x:f>
        <x:v>-1381.2500000000002</x:v>
      </x:c>
      <x:c r="AH5" s="59" t="n">
        <x:f>'19_BCTC_du_an_5N'!N5-MAX(0,'19_BCTC_du_an_5N'!K5)*'17_Gia_dinh_mo_hinh'!$AE$4</x:f>
        <x:v>283.34283889267283</x:v>
      </x:c>
      <x:c r="AI5" s="59" t="n">
        <x:f>SUM(AF5:AH5)</x:f>
        <x:v>-1386.1807917573815</x:v>
      </x:c>
    </x:row>
    <x:row r="6">
      <x:c r="A6" t="str">
        <x:v>DA01</x:v>
      </x:c>
      <x:c r="B6" t="n">
        <x:v>3</x:v>
      </x:c>
      <x:c r="C6" s="59" t="n">
        <x:f>'19_BCTC_du_an_5N'!C6</x:f>
        <x:v>0</x:v>
      </x:c>
      <x:c r="D6" s="59" t="n">
        <x:f>'19_BCTC_du_an_5N'!D6</x:f>
        <x:v>0</x:v>
      </x:c>
      <x:c r="E6" s="59" t="n">
        <x:f>C6-D6</x:f>
        <x:v>0</x:v>
      </x:c>
      <x:c r="F6" s="59" t="n">
        <x:f>0</x:f>
        <x:v>0</x:v>
      </x:c>
      <x:c r="G6" s="59" t="n">
        <x:f>'19_BCTC_du_an_5N'!H6</x:f>
        <x:v>180.72985897537478</x:v>
      </x:c>
      <x:c r="H6" s="59" t="n">
        <x:f>'19_BCTC_du_an_5N'!H6</x:f>
        <x:v>180.72985897537478</x:v>
      </x:c>
      <x:c r="I6" s="59" t="n">
        <x:f>'19_BCTC_du_an_5N'!F6</x:f>
        <x:v>0</x:v>
      </x:c>
      <x:c r="J6" s="59" t="n">
        <x:f>'19_BCTC_du_an_5N'!G6</x:f>
        <x:v>0</x:v>
      </x:c>
      <x:c r="K6" s="59" t="n">
        <x:f>'19_BCTC_du_an_5N'!I6</x:f>
        <x:v>-180.72985897537478</x:v>
      </x:c>
      <x:c r="L6" s="59" t="n">
        <x:f>'19_BCTC_du_an_5N'!J6</x:f>
        <x:v>0</x:v>
      </x:c>
      <x:c r="M6" s="59" t="n">
        <x:f>'19_BCTC_du_an_5N'!K6</x:f>
        <x:v>-180.72985897537478</x:v>
      </x:c>
      <x:c r="N6" s="59" t="n">
        <x:f>'18_Mo_hinh_60T'!T39</x:f>
        <x:v>0</x:v>
      </x:c>
      <x:c r="O6" s="59" t="n">
        <x:f>'19_BCTC_du_an_5N'!C6*'17_Gia_dinh_mo_hinh'!$W$4/365</x:f>
        <x:v>0</x:v>
      </x:c>
      <x:c r="P6" s="59" t="n">
        <x:f>MAX('17_Gia_dinh_mo_hinh'!$K$4*'17_Gia_dinh_mo_hinh'!$Y$4,'17_Gia_dinh_mo_hinh'!$K$4*MAX(0,1-B6/5)*0.50)</x:f>
        <x:v>1300</x:v>
      </x:c>
      <x:c r="Q6" s="59" t="n">
        <x:f>'19_BCTC_du_an_5N'!C6*'17_Gia_dinh_mo_hinh'!$AC$4</x:f>
        <x:v>0</x:v>
      </x:c>
      <x:c r="R6" s="59" t="n">
        <x:f>MAX(0,'17_Gia_dinh_mo_hinh'!$Z$4+SUMIFS('19_BCTC_du_an_5N'!$M$4:$M$33,'19_BCTC_du_an_5N'!$A$4:$A$33,A6,'19_BCTC_du_an_5N'!$B$4:$B$33,"&lt;="&amp;B6)*0.08-'17_Gia_dinh_mo_hinh'!$Z$4*'17_Gia_dinh_mo_hinh'!$AA$4*B6)</x:f>
        <x:v>492.00000000000006</x:v>
      </x:c>
      <x:c r="S6" s="59" t="n">
        <x:f>0.03*'17_Gia_dinh_mo_hinh'!$K$4</x:f>
        <x:v>195</x:v>
      </x:c>
      <x:c r="T6" s="59" t="n">
        <x:f>SUM(N6:S6)</x:f>
        <x:v>1987</x:v>
      </x:c>
      <x:c r="U6" s="59" t="n">
        <x:f>'19_BCTC_du_an_5N'!D6*'17_Gia_dinh_mo_hinh'!$X$4/365</x:f>
        <x:v>0</x:v>
      </x:c>
      <x:c r="V6" s="59" t="n">
        <x:f>MAX(0,'19_BCTC_du_an_5N'!L6-'19_BCTC_du_an_5N'!C6)</x:f>
        <x:v>3919.9999999999986</x:v>
      </x:c>
      <x:c r="W6" s="59" t="n">
        <x:f>0.25*'19_BCTC_du_an_5N'!J6</x:f>
        <x:v>0</x:v>
      </x:c>
      <x:c r="X6" s="59" t="n">
        <x:f>'19_BCTC_du_an_5N'!C6*'17_Gia_dinh_mo_hinh'!$AD$4</x:f>
        <x:v>0</x:v>
      </x:c>
      <x:c r="Y6" s="59" t="n">
        <x:f>0.35*'18_Mo_hinh_60T'!S39</x:f>
        <x:v>259.2226381413813</x:v>
      </x:c>
      <x:c r="Z6" s="59" t="n">
        <x:f>0.65*'18_Mo_hinh_60T'!S39</x:f>
        <x:v>481.4134708339939</x:v>
      </x:c>
      <x:c r="AA6" s="59" t="n">
        <x:f>SUM(U6:Z6)</x:f>
        <x:v>4660.636108975375</x:v>
      </x:c>
      <x:c r="AB6" s="59" t="n">
        <x:f>'17_Gia_dinh_mo_hinh'!$AB$4</x:f>
        <x:v>1900</x:v>
      </x:c>
      <x:c r="AC6" s="59" t="n">
        <x:f>AC5+'19_BCTC_du_an_5N'!K6-MAX(0,'19_BCTC_du_an_5N'!K6)*'17_Gia_dinh_mo_hinh'!$AE$4</x:f>
        <x:v>-606.4210673994228</x:v>
      </x:c>
      <x:c r="AD6" s="59" t="n">
        <x:f>T6-AA6</x:f>
        <x:v>-2673.6361089753746</x:v>
      </x:c>
      <x:c r="AE6" s="59" t="n">
        <x:f>T6</x:f>
        <x:v>1987</x:v>
      </x:c>
      <x:c r="AF6" s="59" t="n">
        <x:f>'19_BCTC_du_an_5N'!L6-'19_BCTC_du_an_5N'!F6-'19_BCTC_du_an_5N'!G6-'19_BCTC_du_an_5N'!J6-'19_BCTC_du_an_5N'!H6-0.15*'19_BCTC_du_an_5N'!M6</x:f>
        <x:v>3495.5201410246236</x:v>
      </x:c>
      <x:c r="AG6" s="59" t="n">
        <x:f>-0.85*'19_BCTC_du_an_5N'!M6</x:f>
        <x:v>-1381.2500000000002</x:v>
      </x:c>
      <x:c r="AH6" s="59" t="n">
        <x:f>'19_BCTC_du_an_5N'!N6-MAX(0,'19_BCTC_du_an_5N'!K6)*'17_Gia_dinh_mo_hinh'!$AE$4</x:f>
        <x:v>-2114.270141024625</x:v>
      </x:c>
      <x:c r="AI6" s="59" t="n">
        <x:f>SUM(AF6:AH6)</x:f>
        <x:v>-1.3642420526593924e-12</x:v>
      </x:c>
    </x:row>
    <x:row r="7">
      <x:c r="A7" t="str">
        <x:v>DA01</x:v>
      </x:c>
      <x:c r="B7" t="n">
        <x:v>4</x:v>
      </x:c>
      <x:c r="C7" s="59" t="n">
        <x:f>'19_BCTC_du_an_5N'!C7</x:f>
        <x:v>2722.222222222222</x:v>
      </x:c>
      <x:c r="D7" s="59" t="n">
        <x:f>'19_BCTC_du_an_5N'!D7</x:f>
        <x:v>1851.1111111111109</x:v>
      </x:c>
      <x:c r="E7" s="59" t="n">
        <x:f>C7-D7</x:f>
        <x:v>871.1111111111113</x:v>
      </x:c>
      <x:c r="F7" s="59" t="n">
        <x:f>0</x:f>
        <x:v>0</x:v>
      </x:c>
      <x:c r="G7" s="59" t="n">
        <x:f>'19_BCTC_du_an_5N'!H7</x:f>
        <x:v>14.601044440056645</x:v>
      </x:c>
      <x:c r="H7" s="59" t="n">
        <x:f>'19_BCTC_du_an_5N'!H7</x:f>
        <x:v>14.601044440056645</x:v>
      </x:c>
      <x:c r="I7" s="59" t="n">
        <x:f>'19_BCTC_du_an_5N'!F7</x:f>
        <x:v>95.27777777777779</x:v>
      </x:c>
      <x:c r="J7" s="59" t="n">
        <x:f>'19_BCTC_du_an_5N'!G7</x:f>
        <x:v>54.44444444444444</x:v>
      </x:c>
      <x:c r="K7" s="59" t="n">
        <x:f>'19_BCTC_du_an_5N'!I7</x:f>
        <x:v>706.7878444488325</x:v>
      </x:c>
      <x:c r="L7" s="59" t="n">
        <x:f>'19_BCTC_du_an_5N'!J7</x:f>
        <x:v>144.27777777777786</x:v>
      </x:c>
      <x:c r="M7" s="59" t="n">
        <x:f>'19_BCTC_du_an_5N'!K7</x:f>
        <x:v>562.5100666710548</x:v>
      </x:c>
      <x:c r="N7" s="59" t="n">
        <x:f>'18_Mo_hinh_60T'!T51</x:f>
        <x:v>1245.7628465845673</x:v>
      </x:c>
      <x:c r="O7" s="59" t="n">
        <x:f>'19_BCTC_du_an_5N'!C7*'17_Gia_dinh_mo_hinh'!$W$4/365</x:f>
        <x:v>335.6164383561644</x:v>
      </x:c>
      <x:c r="P7" s="59" t="n">
        <x:f>MAX('17_Gia_dinh_mo_hinh'!$K$4*'17_Gia_dinh_mo_hinh'!$Y$4,'17_Gia_dinh_mo_hinh'!$K$4*MAX(0,1-B7/5)*0.50)</x:f>
        <x:v>650</x:v>
      </x:c>
      <x:c r="Q7" s="59" t="n">
        <x:f>'19_BCTC_du_an_5N'!C7*'17_Gia_dinh_mo_hinh'!$AC$4</x:f>
        <x:v>81.66666666666666</x:v>
      </x:c>
      <x:c r="R7" s="59" t="n">
        <x:f>MAX(0,'17_Gia_dinh_mo_hinh'!$Z$4+SUMIFS('19_BCTC_du_an_5N'!$M$4:$M$33,'19_BCTC_du_an_5N'!$A$4:$A$33,A7,'19_BCTC_du_an_5N'!$B$4:$B$33,"&lt;="&amp;B7)*0.08-'17_Gia_dinh_mo_hinh'!$Z$4*'17_Gia_dinh_mo_hinh'!$AA$4*B7)</x:f>
        <x:v>616.0000000000001</x:v>
      </x:c>
      <x:c r="S7" s="59" t="n">
        <x:f>0.03*'17_Gia_dinh_mo_hinh'!$K$4</x:f>
        <x:v>195</x:v>
      </x:c>
      <x:c r="T7" s="59" t="n">
        <x:f>SUM(N7:S7)</x:f>
        <x:v>3124.0459516073984</x:v>
      </x:c>
      <x:c r="U7" s="59" t="n">
        <x:f>'19_BCTC_du_an_5N'!D7*'17_Gia_dinh_mo_hinh'!$X$4/365</x:f>
        <x:v>304.2922374429223</x:v>
      </x:c>
      <x:c r="V7" s="59" t="n">
        <x:f>MAX(0,'19_BCTC_du_an_5N'!L7-'19_BCTC_du_an_5N'!C7)</x:f>
        <x:v>1197.7777777777765</x:v>
      </x:c>
      <x:c r="W7" s="59" t="n">
        <x:f>0.25*'19_BCTC_du_an_5N'!J7</x:f>
        <x:v>36.069444444444464</x:v>
      </x:c>
      <x:c r="X7" s="59" t="n">
        <x:f>'19_BCTC_du_an_5N'!C7*'17_Gia_dinh_mo_hinh'!$AD$4</x:f>
        <x:v>108.88888888888889</x:v>
      </x:c>
      <x:c r="Y7" s="59" t="n">
        <x:f>0.35*'18_Mo_hinh_60T'!S51</x:f>
        <x:v>0</x:v>
      </x:c>
      <x:c r="Z7" s="59" t="n">
        <x:f>0.65*'18_Mo_hinh_60T'!S51</x:f>
        <x:v>0</x:v>
      </x:c>
      <x:c r="AA7" s="59" t="n">
        <x:f>SUM(U7:Z7)</x:f>
        <x:v>1647.0283485540322</x:v>
      </x:c>
      <x:c r="AB7" s="59" t="n">
        <x:f>'17_Gia_dinh_mo_hinh'!$AB$4</x:f>
        <x:v>1900</x:v>
      </x:c>
      <x:c r="AC7" s="59" t="n">
        <x:f>AC6+'19_BCTC_du_an_5N'!K7-MAX(0,'19_BCTC_du_an_5N'!K7)*'17_Gia_dinh_mo_hinh'!$AE$4</x:f>
        <x:v>-43.91100072836798</x:v>
      </x:c>
      <x:c r="AD7" s="59" t="n">
        <x:f>T7-AA7</x:f>
        <x:v>1477.0176030533662</x:v>
      </x:c>
      <x:c r="AE7" s="59" t="n">
        <x:f>T7</x:f>
        <x:v>3124.0459516073984</x:v>
      </x:c>
      <x:c r="AF7" s="59" t="n">
        <x:f>'19_BCTC_du_an_5N'!L7-'19_BCTC_du_an_5N'!F7-'19_BCTC_du_an_5N'!G7-'19_BCTC_du_an_5N'!J7-'19_BCTC_du_an_5N'!H7-0.15*'19_BCTC_du_an_5N'!M7</x:f>
        <x:v>3367.648955559942</x:v>
      </x:c>
      <x:c r="AG7" s="59" t="n">
        <x:f>-0.85*'19_BCTC_du_an_5N'!M7</x:f>
        <x:v>-1381.2500000000002</x:v>
      </x:c>
      <x:c r="AH7" s="59" t="n">
        <x:f>'19_BCTC_du_an_5N'!N7-MAX(0,'19_BCTC_du_an_5N'!K7)*'17_Gia_dinh_mo_hinh'!$AE$4</x:f>
        <x:v>-740.6361089753752</x:v>
      </x:c>
      <x:c r="AI7" s="59" t="n">
        <x:f>SUM(AF7:AH7)</x:f>
        <x:v>1245.7628465845664</x:v>
      </x:c>
    </x:row>
    <x:row r="8">
      <x:c r="A8" t="str">
        <x:v>DA01</x:v>
      </x:c>
      <x:c r="B8" t="n">
        <x:v>5</x:v>
      </x:c>
      <x:c r="C8" s="59" t="n">
        <x:f>'19_BCTC_du_an_5N'!C8</x:f>
        <x:v>6533.333333333333</x:v>
      </x:c>
      <x:c r="D8" s="59" t="n">
        <x:f>'19_BCTC_du_an_5N'!D8</x:f>
        <x:v>4442.666666666666</x:v>
      </x:c>
      <x:c r="E8" s="59" t="n">
        <x:f>C8-D8</x:f>
        <x:v>2090.666666666667</x:v>
      </x:c>
      <x:c r="F8" s="59" t="n">
        <x:f>0</x:f>
        <x:v>0</x:v>
      </x:c>
      <x:c r="G8" s="59" t="n">
        <x:f>'19_BCTC_du_an_5N'!H8</x:f>
        <x:v>0</x:v>
      </x:c>
      <x:c r="H8" s="59" t="n">
        <x:f>'19_BCTC_du_an_5N'!H8</x:f>
        <x:v>0</x:v>
      </x:c>
      <x:c r="I8" s="59" t="n">
        <x:f>'19_BCTC_du_an_5N'!F8</x:f>
        <x:v>228.66666666666663</x:v>
      </x:c>
      <x:c r="J8" s="59" t="n">
        <x:f>'19_BCTC_du_an_5N'!G8</x:f>
        <x:v>130.66666666666666</x:v>
      </x:c>
      <x:c r="K8" s="59" t="n">
        <x:f>'19_BCTC_du_an_5N'!I8</x:f>
        <x:v>1731.3333333333342</x:v>
      </x:c>
      <x:c r="L8" s="59" t="n">
        <x:f>'19_BCTC_du_an_5N'!J8</x:f>
        <x:v>346.2666666666668</x:v>
      </x:c>
      <x:c r="M8" s="59" t="n">
        <x:f>'19_BCTC_du_an_5N'!K8</x:f>
        <x:v>1385.0666666666673</x:v>
      </x:c>
      <x:c r="N8" s="59" t="n">
        <x:f>'18_Mo_hinh_60T'!T63</x:f>
        <x:v>2271.4961799178996</x:v>
      </x:c>
      <x:c r="O8" s="59" t="n">
        <x:f>'19_BCTC_du_an_5N'!C8*'17_Gia_dinh_mo_hinh'!$W$4/365</x:f>
        <x:v>805.4794520547945</x:v>
      </x:c>
      <x:c r="P8" s="59" t="n">
        <x:f>MAX('17_Gia_dinh_mo_hinh'!$K$4*'17_Gia_dinh_mo_hinh'!$Y$4,'17_Gia_dinh_mo_hinh'!$K$4*MAX(0,1-B8/5)*0.50)</x:f>
        <x:v>650</x:v>
      </x:c>
      <x:c r="Q8" s="59" t="n">
        <x:f>'19_BCTC_du_an_5N'!C8*'17_Gia_dinh_mo_hinh'!$AC$4</x:f>
        <x:v>195.99999999999997</x:v>
      </x:c>
      <x:c r="R8" s="59" t="n">
        <x:f>MAX(0,'17_Gia_dinh_mo_hinh'!$Z$4+SUMIFS('19_BCTC_du_an_5N'!$M$4:$M$33,'19_BCTC_du_an_5N'!$A$4:$A$33,A8,'19_BCTC_du_an_5N'!$B$4:$B$33,"&lt;="&amp;B8)*0.08-'17_Gia_dinh_mo_hinh'!$Z$4*'17_Gia_dinh_mo_hinh'!$AA$4*B8)</x:f>
        <x:v>610.0000000000001</x:v>
      </x:c>
      <x:c r="S8" s="59" t="n">
        <x:f>0.03*'17_Gia_dinh_mo_hinh'!$K$4</x:f>
        <x:v>195</x:v>
      </x:c>
      <x:c r="T8" s="59" t="n">
        <x:f>SUM(N8:S8)</x:f>
        <x:v>4727.975631972694</x:v>
      </x:c>
      <x:c r="U8" s="59" t="n">
        <x:f>'19_BCTC_du_an_5N'!D8*'17_Gia_dinh_mo_hinh'!$X$4/365</x:f>
        <x:v>730.3013698630135</x:v>
      </x:c>
      <x:c r="V8" s="59" t="n">
        <x:f>MAX(0,'19_BCTC_du_an_5N'!L8-'19_BCTC_du_an_5N'!C8)</x:f>
        <x:v>0</x:v>
      </x:c>
      <x:c r="W8" s="59" t="n">
        <x:f>0.25*'19_BCTC_du_an_5N'!J8</x:f>
        <x:v>86.5666666666667</x:v>
      </x:c>
      <x:c r="X8" s="59" t="n">
        <x:f>'19_BCTC_du_an_5N'!C8*'17_Gia_dinh_mo_hinh'!$AD$4</x:f>
        <x:v>261.3333333333333</x:v>
      </x:c>
      <x:c r="Y8" s="59" t="n">
        <x:f>0.35*'18_Mo_hinh_60T'!S63</x:f>
        <x:v>0</x:v>
      </x:c>
      <x:c r="Z8" s="59" t="n">
        <x:f>0.65*'18_Mo_hinh_60T'!S63</x:f>
        <x:v>0</x:v>
      </x:c>
      <x:c r="AA8" s="59" t="n">
        <x:f>SUM(U8:Z8)</x:f>
        <x:v>1078.2013698630135</x:v>
      </x:c>
      <x:c r="AB8" s="59" t="n">
        <x:f>'17_Gia_dinh_mo_hinh'!$AB$4</x:f>
        <x:v>1900</x:v>
      </x:c>
      <x:c r="AC8" s="59" t="n">
        <x:f>AC7+'19_BCTC_du_an_5N'!K8-MAX(0,'19_BCTC_du_an_5N'!K8)*'17_Gia_dinh_mo_hinh'!$AE$4</x:f>
        <x:v>1341.1556659382993</x:v>
      </x:c>
      <x:c r="AD8" s="59" t="n">
        <x:f>T8-AA8</x:f>
        <x:v>3649.7742621096804</x:v>
      </x:c>
      <x:c r="AE8" s="59" t="n">
        <x:f>T8</x:f>
        <x:v>4727.975631972694</x:v>
      </x:c>
      <x:c r="AF8" s="59" t="n">
        <x:f>'19_BCTC_du_an_5N'!L8-'19_BCTC_du_an_5N'!F8-'19_BCTC_du_an_5N'!G8-'19_BCTC_du_an_5N'!J8-'19_BCTC_du_an_5N'!H8-0.15*'19_BCTC_du_an_5N'!M8</x:f>
        <x:v>1025.733333333333</x:v>
      </x:c>
      <x:c r="AG8" s="59" t="n">
        <x:f>-0.85*'19_BCTC_du_an_5N'!M8</x:f>
        <x:v>0</x:v>
      </x:c>
      <x:c r="AH8" s="59" t="n">
        <x:f>'19_BCTC_du_an_5N'!N8-MAX(0,'19_BCTC_du_an_5N'!K8)*'17_Gia_dinh_mo_hinh'!$AE$4</x:f>
        <x:v>0</x:v>
      </x:c>
      <x:c r="AI8" s="59" t="n">
        <x:f>SUM(AF8:AH8)</x:f>
        <x:v>1025.733333333333</x:v>
      </x:c>
    </x:row>
    <x:row r="9">
      <x:c r="A9" t="str">
        <x:v>DA02</x:v>
      </x:c>
      <x:c r="B9" t="n">
        <x:v>1</x:v>
      </x:c>
      <x:c r="C9" s="59" t="n">
        <x:f>'19_BCTC_du_an_5N'!C9</x:f>
        <x:v>0</x:v>
      </x:c>
      <x:c r="D9" s="59" t="n">
        <x:f>'19_BCTC_du_an_5N'!D9</x:f>
        <x:v>0</x:v>
      </x:c>
      <x:c r="E9" s="59" t="n">
        <x:f>C9-D9</x:f>
        <x:v>0</x:v>
      </x:c>
      <x:c r="F9" s="59" t="n">
        <x:f>0</x:f>
        <x:v>0</x:v>
      </x:c>
      <x:c r="G9" s="59" t="n">
        <x:f>'19_BCTC_du_an_5N'!H9</x:f>
        <x:v>258.16080339154297</x:v>
      </x:c>
      <x:c r="H9" s="59" t="n">
        <x:f>'19_BCTC_du_an_5N'!H9</x:f>
        <x:v>258.16080339154297</x:v>
      </x:c>
      <x:c r="I9" s="59" t="n">
        <x:f>'19_BCTC_du_an_5N'!F9</x:f>
        <x:v>0</x:v>
      </x:c>
      <x:c r="J9" s="59" t="n">
        <x:f>'19_BCTC_du_an_5N'!G9</x:f>
        <x:v>0</x:v>
      </x:c>
      <x:c r="K9" s="59" t="n">
        <x:f>'19_BCTC_du_an_5N'!I9</x:f>
        <x:v>-258.16080339154297</x:v>
      </x:c>
      <x:c r="L9" s="59" t="n">
        <x:f>'19_BCTC_du_an_5N'!J9</x:f>
        <x:v>0</x:v>
      </x:c>
      <x:c r="M9" s="59" t="n">
        <x:f>'19_BCTC_du_an_5N'!K9</x:f>
        <x:v>-258.16080339154297</x:v>
      </x:c>
      <x:c r="N9" s="59" t="n">
        <x:f>'18_Mo_hinh_60T'!T75</x:f>
        <x:v>0</x:v>
      </x:c>
      <x:c r="O9" s="59" t="n">
        <x:f>'19_BCTC_du_an_5N'!C9*'17_Gia_dinh_mo_hinh'!$W$5/365</x:f>
        <x:v>0</x:v>
      </x:c>
      <x:c r="P9" s="59" t="n">
        <x:f>MAX('17_Gia_dinh_mo_hinh'!$K$5*'17_Gia_dinh_mo_hinh'!$Y$5,'17_Gia_dinh_mo_hinh'!$K$5*MAX(0,1-B9/5)*0.50)</x:f>
        <x:v>2880</x:v>
      </x:c>
      <x:c r="Q9" s="59" t="n">
        <x:f>'19_BCTC_du_an_5N'!C9*'17_Gia_dinh_mo_hinh'!$AC$5</x:f>
        <x:v>0</x:v>
      </x:c>
      <x:c r="R9" s="59" t="n">
        <x:f>MAX(0,'17_Gia_dinh_mo_hinh'!$Z$5+SUMIFS('19_BCTC_du_an_5N'!$M$4:$M$33,'19_BCTC_du_an_5N'!$A$4:$A$33,A9,'19_BCTC_du_an_5N'!$B$4:$B$33,"&lt;="&amp;B9)*0.08-'17_Gia_dinh_mo_hinh'!$Z$5*'17_Gia_dinh_mo_hinh'!$AA$5*B9)</x:f>
        <x:v>307.07142857142856</x:v>
      </x:c>
      <x:c r="S9" s="59" t="n">
        <x:f>0.03*'17_Gia_dinh_mo_hinh'!$K$5</x:f>
        <x:v>216</x:v>
      </x:c>
      <x:c r="T9" s="59" t="n">
        <x:f>SUM(N9:S9)</x:f>
        <x:v>3403.0714285714284</x:v>
      </x:c>
      <x:c r="U9" s="59" t="n">
        <x:f>'19_BCTC_du_an_5N'!D9*'17_Gia_dinh_mo_hinh'!$X$5/365</x:f>
        <x:v>0</x:v>
      </x:c>
      <x:c r="V9" s="59" t="n">
        <x:f>MAX(0,'19_BCTC_du_an_5N'!L9-'19_BCTC_du_an_5N'!C9)</x:f>
        <x:v>0</x:v>
      </x:c>
      <x:c r="W9" s="59" t="n">
        <x:f>0.25*'19_BCTC_du_an_5N'!J9</x:f>
        <x:v>0</x:v>
      </x:c>
      <x:c r="X9" s="59" t="n">
        <x:f>'19_BCTC_du_an_5N'!C9*'17_Gia_dinh_mo_hinh'!$AD$5</x:f>
        <x:v>0</x:v>
      </x:c>
      <x:c r="Y9" s="59" t="n">
        <x:f>0.35*'18_Mo_hinh_60T'!S75</x:f>
        <x:v>1134</x:v>
      </x:c>
      <x:c r="Z9" s="59" t="n">
        <x:f>0.65*'18_Mo_hinh_60T'!S75</x:f>
        <x:v>2106</x:v>
      </x:c>
      <x:c r="AA9" s="59" t="n">
        <x:f>SUM(U9:Z9)</x:f>
        <x:v>3240</x:v>
      </x:c>
      <x:c r="AB9" s="59" t="n">
        <x:f>'17_Gia_dinh_mo_hinh'!$AB$5</x:f>
        <x:v>2150</x:v>
      </x:c>
      <x:c r="AC9" s="59" t="n">
        <x:f>'19_BCTC_du_an_5N'!K9</x:f>
        <x:v>-258.16080339154297</x:v>
      </x:c>
      <x:c r="AD9" s="59" t="n">
        <x:f>T9-AA9</x:f>
        <x:v>163.07142857142844</x:v>
      </x:c>
      <x:c r="AE9" s="59" t="n">
        <x:f>T9</x:f>
        <x:v>3403.0714285714284</x:v>
      </x:c>
      <x:c r="AF9" s="59" t="n">
        <x:f>'19_BCTC_du_an_5N'!L9-'19_BCTC_du_an_5N'!F9-'19_BCTC_du_an_5N'!G9-'19_BCTC_du_an_5N'!J9-'19_BCTC_du_an_5N'!H9-0.15*'19_BCTC_du_an_5N'!M9</x:f>
        <x:v>-566.7322319629714</x:v>
      </x:c>
      <x:c r="AG9" s="59" t="n">
        <x:f>-0.85*'19_BCTC_du_an_5N'!M9</x:f>
        <x:v>-1748.571428571428</x:v>
      </x:c>
      <x:c r="AH9" s="59" t="n">
        <x:f>'19_BCTC_du_an_5N'!N9-MAX(0,'19_BCTC_du_an_5N'!K9)*'17_Gia_dinh_mo_hinh'!$AE$5</x:f>
        <x:v>1321.92</x:v>
      </x:c>
      <x:c r="AI9" s="59" t="n">
        <x:f>SUM(AF9:AH9)</x:f>
        <x:v>-993.3836605343995</x:v>
      </x:c>
    </x:row>
    <x:row r="10">
      <x:c r="A10" t="str">
        <x:v>DA02</x:v>
      </x:c>
      <x:c r="B10" t="n">
        <x:v>2</x:v>
      </x:c>
      <x:c r="C10" s="59" t="n">
        <x:f>'19_BCTC_du_an_5N'!C10</x:f>
        <x:v>0</x:v>
      </x:c>
      <x:c r="D10" s="59" t="n">
        <x:f>'19_BCTC_du_an_5N'!D10</x:f>
        <x:v>0</x:v>
      </x:c>
      <x:c r="E10" s="59" t="n">
        <x:f>C10-D10</x:f>
        <x:v>0</x:v>
      </x:c>
      <x:c r="F10" s="59" t="n">
        <x:f>0</x:f>
        <x:v>0</x:v>
      </x:c>
      <x:c r="G10" s="59" t="n">
        <x:f>'19_BCTC_du_an_5N'!H10</x:f>
        <x:v>251.90254172060202</x:v>
      </x:c>
      <x:c r="H10" s="59" t="n">
        <x:f>'19_BCTC_du_an_5N'!H10</x:f>
        <x:v>251.90254172060202</x:v>
      </x:c>
      <x:c r="I10" s="59" t="n">
        <x:f>'19_BCTC_du_an_5N'!F10</x:f>
        <x:v>0</x:v>
      </x:c>
      <x:c r="J10" s="59" t="n">
        <x:f>'19_BCTC_du_an_5N'!G10</x:f>
        <x:v>0</x:v>
      </x:c>
      <x:c r="K10" s="59" t="n">
        <x:f>'19_BCTC_du_an_5N'!I10</x:f>
        <x:v>-251.90254172060202</x:v>
      </x:c>
      <x:c r="L10" s="59" t="n">
        <x:f>'19_BCTC_du_an_5N'!J10</x:f>
        <x:v>0</x:v>
      </x:c>
      <x:c r="M10" s="59" t="n">
        <x:f>'19_BCTC_du_an_5N'!K10</x:f>
        <x:v>-251.90254172060202</x:v>
      </x:c>
      <x:c r="N10" s="59" t="n">
        <x:f>'18_Mo_hinh_60T'!T87</x:f>
        <x:v>0</x:v>
      </x:c>
      <x:c r="O10" s="59" t="n">
        <x:f>'19_BCTC_du_an_5N'!C10*'17_Gia_dinh_mo_hinh'!$W$5/365</x:f>
        <x:v>0</x:v>
      </x:c>
      <x:c r="P10" s="59" t="n">
        <x:f>MAX('17_Gia_dinh_mo_hinh'!$K$5*'17_Gia_dinh_mo_hinh'!$Y$5,'17_Gia_dinh_mo_hinh'!$K$5*MAX(0,1-B10/5)*0.50)</x:f>
        <x:v>2160</x:v>
      </x:c>
      <x:c r="Q10" s="59" t="n">
        <x:f>'19_BCTC_du_an_5N'!C10*'17_Gia_dinh_mo_hinh'!$AC$5</x:f>
        <x:v>0</x:v>
      </x:c>
      <x:c r="R10" s="59" t="n">
        <x:f>MAX(0,'17_Gia_dinh_mo_hinh'!$Z$5+SUMIFS('19_BCTC_du_an_5N'!$M$4:$M$33,'19_BCTC_du_an_5N'!$A$4:$A$33,A10,'19_BCTC_du_an_5N'!$B$4:$B$33,"&lt;="&amp;B10)*0.08-'17_Gia_dinh_mo_hinh'!$Z$5*'17_Gia_dinh_mo_hinh'!$AA$5*B10)</x:f>
        <x:v>464.14285714285705</x:v>
      </x:c>
      <x:c r="S10" s="59" t="n">
        <x:f>0.03*'17_Gia_dinh_mo_hinh'!$K$5</x:f>
        <x:v>216</x:v>
      </x:c>
      <x:c r="T10" s="59" t="n">
        <x:f>SUM(N10:S10)</x:f>
        <x:v>2840.142857142857</x:v>
      </x:c>
      <x:c r="U10" s="59" t="n">
        <x:f>'19_BCTC_du_an_5N'!D10*'17_Gia_dinh_mo_hinh'!$X$5/365</x:f>
        <x:v>0</x:v>
      </x:c>
      <x:c r="V10" s="59" t="n">
        <x:f>MAX(0,'19_BCTC_du_an_5N'!L10-'19_BCTC_du_an_5N'!C10)</x:f>
        <x:v>3621.333333333334</x:v>
      </x:c>
      <x:c r="W10" s="59" t="n">
        <x:f>0.25*'19_BCTC_du_an_5N'!J10</x:f>
        <x:v>0</x:v>
      </x:c>
      <x:c r="X10" s="59" t="n">
        <x:f>'19_BCTC_du_an_5N'!C10*'17_Gia_dinh_mo_hinh'!$AD$5</x:f>
        <x:v>0</x:v>
      </x:c>
      <x:c r="Y10" s="59" t="n">
        <x:f>0.35*'18_Mo_hinh_60T'!S87</x:f>
        <x:v>536.744222935544</x:v>
      </x:c>
      <x:c r="Z10" s="59" t="n">
        <x:f>0.65*'18_Mo_hinh_60T'!S87</x:f>
        <x:v>996.8106997374391</x:v>
      </x:c>
      <x:c r="AA10" s="59" t="n">
        <x:f>SUM(U10:Z10)</x:f>
        <x:v>5154.888256006317</x:v>
      </x:c>
      <x:c r="AB10" s="59" t="n">
        <x:f>'17_Gia_dinh_mo_hinh'!$AB$5</x:f>
        <x:v>2150</x:v>
      </x:c>
      <x:c r="AC10" s="59" t="n">
        <x:f>AC9+'19_BCTC_du_an_5N'!K10-MAX(0,'19_BCTC_du_an_5N'!K10)*'17_Gia_dinh_mo_hinh'!$AE$5</x:f>
        <x:v>-510.063345112145</x:v>
      </x:c>
      <x:c r="AD10" s="59" t="n">
        <x:f>T10-AA10</x:f>
        <x:v>-2314.7453988634597</x:v>
      </x:c>
      <x:c r="AE10" s="59" t="n">
        <x:f>T10</x:f>
        <x:v>2840.142857142857</x:v>
      </x:c>
      <x:c r="AF10" s="59" t="n">
        <x:f>'19_BCTC_du_an_5N'!L10-'19_BCTC_du_an_5N'!F10-'19_BCTC_du_an_5N'!G10-'19_BCTC_du_an_5N'!J10-'19_BCTC_du_an_5N'!H10-0.15*'19_BCTC_du_an_5N'!M10</x:f>
        <x:v>3060.8593630413034</x:v>
      </x:c>
      <x:c r="AG10" s="59" t="n">
        <x:f>-0.85*'19_BCTC_du_an_5N'!M10</x:f>
        <x:v>-1748.571428571428</x:v>
      </x:c>
      <x:c r="AH10" s="59" t="n">
        <x:f>'19_BCTC_du_an_5N'!N10-MAX(0,'19_BCTC_du_an_5N'!K10)*'17_Gia_dinh_mo_hinh'!$AE$5</x:f>
        <x:v>-1706.4450773270169</x:v>
      </x:c>
      <x:c r="AI10" s="59" t="n">
        <x:f>SUM(AF10:AH10)</x:f>
        <x:v>-394.1571428571415</x:v>
      </x:c>
    </x:row>
    <x:row r="11">
      <x:c r="A11" t="str">
        <x:v>DA02</x:v>
      </x:c>
      <x:c r="B11" t="n">
        <x:v>3</x:v>
      </x:c>
      <x:c r="C11" s="59" t="n">
        <x:f>'19_BCTC_du_an_5N'!C11</x:f>
        <x:v>2488.8888888888887</x:v>
      </x:c>
      <x:c r="D11" s="59" t="n">
        <x:f>'19_BCTC_du_an_5N'!D11</x:f>
        <x:v>1642.6666666666663</x:v>
      </x:c>
      <x:c r="E11" s="59" t="n">
        <x:f>C11-D11</x:f>
        <x:v>846.2222222222224</x:v>
      </x:c>
      <x:c r="F11" s="59" t="n">
        <x:f>0</x:f>
        <x:v>0</x:v>
      </x:c>
      <x:c r="G11" s="59" t="n">
        <x:f>'19_BCTC_du_an_5N'!H11</x:f>
        <x:v>54.38811337413111</x:v>
      </x:c>
      <x:c r="H11" s="59" t="n">
        <x:f>'19_BCTC_du_an_5N'!H11</x:f>
        <x:v>54.38811337413111</x:v>
      </x:c>
      <x:c r="I11" s="59" t="n">
        <x:f>'19_BCTC_du_an_5N'!F11</x:f>
        <x:v>87.11111111111111</x:v>
      </x:c>
      <x:c r="J11" s="59" t="n">
        <x:f>'19_BCTC_du_an_5N'!G11</x:f>
        <x:v>49.77777777777777</x:v>
      </x:c>
      <x:c r="K11" s="59" t="n">
        <x:f>'19_BCTC_du_an_5N'!I11</x:f>
        <x:v>654.9452199592024</x:v>
      </x:c>
      <x:c r="L11" s="59" t="n">
        <x:f>'19_BCTC_du_an_5N'!J11</x:f>
        <x:v>141.8666666666667</x:v>
      </x:c>
      <x:c r="M11" s="59" t="n">
        <x:f>'19_BCTC_du_an_5N'!K11</x:f>
        <x:v>513.0785532925357</x:v>
      </x:c>
      <x:c r="N11" s="59" t="n">
        <x:f>'18_Mo_hinh_60T'!T99</x:f>
        <x:v>556.1585512544731</x:v>
      </x:c>
      <x:c r="O11" s="59" t="n">
        <x:f>'19_BCTC_du_an_5N'!C11*'17_Gia_dinh_mo_hinh'!$W$5/365</x:f>
        <x:v>306.8493150684931</x:v>
      </x:c>
      <x:c r="P11" s="59" t="n">
        <x:f>MAX('17_Gia_dinh_mo_hinh'!$K$5*'17_Gia_dinh_mo_hinh'!$Y$5,'17_Gia_dinh_mo_hinh'!$K$5*MAX(0,1-B11/5)*0.50)</x:f>
        <x:v>1440</x:v>
      </x:c>
      <x:c r="Q11" s="59" t="n">
        <x:f>'19_BCTC_du_an_5N'!C11*'17_Gia_dinh_mo_hinh'!$AC$5</x:f>
        <x:v>74.66666666666666</x:v>
      </x:c>
      <x:c r="R11" s="59" t="n">
        <x:f>MAX(0,'17_Gia_dinh_mo_hinh'!$Z$5+SUMIFS('19_BCTC_du_an_5N'!$M$4:$M$33,'19_BCTC_du_an_5N'!$A$4:$A$33,A11,'19_BCTC_du_an_5N'!$B$4:$B$33,"&lt;="&amp;B11)*0.08-'17_Gia_dinh_mo_hinh'!$Z$5*'17_Gia_dinh_mo_hinh'!$AA$5*B11)</x:f>
        <x:v>621.2142857142856</x:v>
      </x:c>
      <x:c r="S11" s="59" t="n">
        <x:f>0.03*'17_Gia_dinh_mo_hinh'!$K$5</x:f>
        <x:v>216</x:v>
      </x:c>
      <x:c r="T11" s="59" t="n">
        <x:f>SUM(N11:S11)</x:f>
        <x:v>3214.8888187039183</x:v>
      </x:c>
      <x:c r="U11" s="59" t="n">
        <x:f>'19_BCTC_du_an_5N'!D11*'17_Gia_dinh_mo_hinh'!$X$5/365</x:f>
        <x:v>270.0273972602739</x:v>
      </x:c>
      <x:c r="V11" s="59" t="n">
        <x:f>MAX(0,'19_BCTC_du_an_5N'!L11-'19_BCTC_du_an_5N'!C11)</x:f>
        <x:v>1991.1111111111113</x:v>
      </x:c>
      <x:c r="W11" s="59" t="n">
        <x:f>0.25*'19_BCTC_du_an_5N'!J11</x:f>
        <x:v>35.466666666666676</x:v>
      </x:c>
      <x:c r="X11" s="59" t="n">
        <x:f>'19_BCTC_du_an_5N'!C11*'17_Gia_dinh_mo_hinh'!$AD$5</x:f>
        <x:v>99.55555555555554</x:v>
      </x:c>
      <x:c r="Y11" s="59" t="n">
        <x:f>0.35*'18_Mo_hinh_60T'!S99</x:f>
        <x:v>0</x:v>
      </x:c>
      <x:c r="Z11" s="59" t="n">
        <x:f>0.65*'18_Mo_hinh_60T'!S99</x:f>
        <x:v>0</x:v>
      </x:c>
      <x:c r="AA11" s="59" t="n">
        <x:f>SUM(U11:Z11)</x:f>
        <x:v>2396.1607305936077</x:v>
      </x:c>
      <x:c r="AB11" s="59" t="n">
        <x:f>'17_Gia_dinh_mo_hinh'!$AB$5</x:f>
        <x:v>2150</x:v>
      </x:c>
      <x:c r="AC11" s="59" t="n">
        <x:f>AC10+'19_BCTC_du_an_5N'!K11-MAX(0,'19_BCTC_du_an_5N'!K11)*'17_Gia_dinh_mo_hinh'!$AE$5</x:f>
        <x:v>3.0152081803907436</x:v>
      </x:c>
      <x:c r="AD11" s="59" t="n">
        <x:f>T11-AA11</x:f>
        <x:v>818.7280881103106</x:v>
      </x:c>
      <x:c r="AE11" s="59" t="n">
        <x:f>T11</x:f>
        <x:v>3214.8888187039183</x:v>
      </x:c>
      <x:c r="AF11" s="59" t="n">
        <x:f>'19_BCTC_du_an_5N'!L11-'19_BCTC_du_an_5N'!F11-'19_BCTC_du_an_5N'!G11-'19_BCTC_du_an_5N'!J11-'19_BCTC_du_an_5N'!H11-0.15*'19_BCTC_du_an_5N'!M11</x:f>
        <x:v>3838.2849024988845</x:v>
      </x:c>
      <x:c r="AG11" s="59" t="n">
        <x:f>-0.85*'19_BCTC_du_an_5N'!M11</x:f>
        <x:v>-1748.571428571428</x:v>
      </x:c>
      <x:c r="AH11" s="59" t="n">
        <x:f>'19_BCTC_du_an_5N'!N11-MAX(0,'19_BCTC_du_an_5N'!K11)*'17_Gia_dinh_mo_hinh'!$AE$5</x:f>
        <x:v>-1533.5549226729831</x:v>
      </x:c>
      <x:c r="AI11" s="59" t="n">
        <x:f>SUM(AF11:AH11)</x:f>
        <x:v>556.1585512544734</x:v>
      </x:c>
    </x:row>
    <x:row r="12">
      <x:c r="A12" t="str">
        <x:v>DA02</x:v>
      </x:c>
      <x:c r="B12" t="n">
        <x:v>4</x:v>
      </x:c>
      <x:c r="C12" s="59" t="n">
        <x:f>'19_BCTC_du_an_5N'!C12</x:f>
        <x:v>7466.666666666668</x:v>
      </x:c>
      <x:c r="D12" s="59" t="n">
        <x:f>'19_BCTC_du_an_5N'!D12</x:f>
        <x:v>4928</x:v>
      </x:c>
      <x:c r="E12" s="59" t="n">
        <x:f>C12-D12</x:f>
        <x:v>2538.666666666668</x:v>
      </x:c>
      <x:c r="F12" s="59" t="n">
        <x:f>0</x:f>
        <x:v>0</x:v>
      </x:c>
      <x:c r="G12" s="59" t="n">
        <x:f>'19_BCTC_du_an_5N'!H12</x:f>
        <x:v>0</x:v>
      </x:c>
      <x:c r="H12" s="59" t="n">
        <x:f>'19_BCTC_du_an_5N'!H12</x:f>
        <x:v>0</x:v>
      </x:c>
      <x:c r="I12" s="59" t="n">
        <x:f>'19_BCTC_du_an_5N'!F12</x:f>
        <x:v>261.3333333333333</x:v>
      </x:c>
      <x:c r="J12" s="59" t="n">
        <x:f>'19_BCTC_du_an_5N'!G12</x:f>
        <x:v>149.33333333333331</x:v>
      </x:c>
      <x:c r="K12" s="59" t="n">
        <x:f>'19_BCTC_du_an_5N'!I12</x:f>
        <x:v>2128.000000000001</x:v>
      </x:c>
      <x:c r="L12" s="59" t="n">
        <x:f>'19_BCTC_du_an_5N'!J12</x:f>
        <x:v>425.6000000000002</x:v>
      </x:c>
      <x:c r="M12" s="59" t="n">
        <x:f>'19_BCTC_du_an_5N'!K12</x:f>
        <x:v>1702.4000000000008</x:v>
      </x:c>
      <x:c r="N12" s="59" t="n">
        <x:f>'18_Mo_hinh_60T'!T111</x:f>
        <x:v>1789.9871226830446</x:v>
      </x:c>
      <x:c r="O12" s="59" t="n">
        <x:f>'19_BCTC_du_an_5N'!C12*'17_Gia_dinh_mo_hinh'!$W$5/365</x:f>
        <x:v>920.5479452054797</x:v>
      </x:c>
      <x:c r="P12" s="59" t="n">
        <x:f>MAX('17_Gia_dinh_mo_hinh'!$K$5*'17_Gia_dinh_mo_hinh'!$Y$5,'17_Gia_dinh_mo_hinh'!$K$5*MAX(0,1-B12/5)*0.50)</x:f>
        <x:v>720</x:v>
      </x:c>
      <x:c r="Q12" s="59" t="n">
        <x:f>'19_BCTC_du_an_5N'!C12*'17_Gia_dinh_mo_hinh'!$AC$5</x:f>
        <x:v>224.00000000000003</x:v>
      </x:c>
      <x:c r="R12" s="59" t="n">
        <x:f>MAX(0,'17_Gia_dinh_mo_hinh'!$Z$5+SUMIFS('19_BCTC_du_an_5N'!$M$4:$M$33,'19_BCTC_du_an_5N'!$A$4:$A$33,A12,'19_BCTC_du_an_5N'!$B$4:$B$33,"&lt;="&amp;B12)*0.08-'17_Gia_dinh_mo_hinh'!$Z$5*'17_Gia_dinh_mo_hinh'!$AA$5*B12)</x:f>
        <x:v>695.9999999999998</x:v>
      </x:c>
      <x:c r="S12" s="59" t="n">
        <x:f>0.03*'17_Gia_dinh_mo_hinh'!$K$5</x:f>
        <x:v>216</x:v>
      </x:c>
      <x:c r="T12" s="59" t="n">
        <x:f>SUM(N12:S12)</x:f>
        <x:v>4566.535067888524</x:v>
      </x:c>
      <x:c r="U12" s="59" t="n">
        <x:f>'19_BCTC_du_an_5N'!D12*'17_Gia_dinh_mo_hinh'!$X$5/365</x:f>
        <x:v>810.082191780822</x:v>
      </x:c>
      <x:c r="V12" s="59" t="n">
        <x:f>MAX(0,'19_BCTC_du_an_5N'!L12-'19_BCTC_du_an_5N'!C12)</x:f>
        <x:v>0</x:v>
      </x:c>
      <x:c r="W12" s="59" t="n">
        <x:f>0.25*'19_BCTC_du_an_5N'!J12</x:f>
        <x:v>106.40000000000005</x:v>
      </x:c>
      <x:c r="X12" s="59" t="n">
        <x:f>'19_BCTC_du_an_5N'!C12*'17_Gia_dinh_mo_hinh'!$AD$5</x:f>
        <x:v>298.66666666666674</x:v>
      </x:c>
      <x:c r="Y12" s="59" t="n">
        <x:f>0.35*'18_Mo_hinh_60T'!S111</x:f>
        <x:v>0</x:v>
      </x:c>
      <x:c r="Z12" s="59" t="n">
        <x:f>0.65*'18_Mo_hinh_60T'!S111</x:f>
        <x:v>0</x:v>
      </x:c>
      <x:c r="AA12" s="59" t="n">
        <x:f>SUM(U12:Z12)</x:f>
        <x:v>1215.1488584474887</x:v>
      </x:c>
      <x:c r="AB12" s="59" t="n">
        <x:f>'17_Gia_dinh_mo_hinh'!$AB$5</x:f>
        <x:v>2150</x:v>
      </x:c>
      <x:c r="AC12" s="59" t="n">
        <x:f>AC11+'19_BCTC_du_an_5N'!K12-MAX(0,'19_BCTC_du_an_5N'!K12)*'17_Gia_dinh_mo_hinh'!$AE$5</x:f>
        <x:v>1705.4152081803916</x:v>
      </x:c>
      <x:c r="AD12" s="59" t="n">
        <x:f>T12-AA12</x:f>
        <x:v>3351.3862094410356</x:v>
      </x:c>
      <x:c r="AE12" s="59" t="n">
        <x:f>T12</x:f>
        <x:v>4566.535067888524</x:v>
      </x:c>
      <x:c r="AF12" s="59" t="n">
        <x:f>'19_BCTC_du_an_5N'!L12-'19_BCTC_du_an_5N'!F12-'19_BCTC_du_an_5N'!G12-'19_BCTC_du_an_5N'!J12-'19_BCTC_du_an_5N'!H12-0.15*'19_BCTC_du_an_5N'!M12</x:f>
        <x:v>2108.1142857142854</x:v>
      </x:c>
      <x:c r="AG12" s="59" t="n">
        <x:f>-0.85*'19_BCTC_du_an_5N'!M12</x:f>
        <x:v>-874.2857142857141</x:v>
      </x:c>
      <x:c r="AH12" s="59" t="n">
        <x:f>'19_BCTC_du_an_5N'!N12-MAX(0,'19_BCTC_du_an_5N'!K12)*'17_Gia_dinh_mo_hinh'!$AE$5</x:f>
        <x:v>0</x:v>
      </x:c>
      <x:c r="AI12" s="59" t="n">
        <x:f>SUM(AF12:AH12)</x:f>
        <x:v>1233.8285714285712</x:v>
      </x:c>
    </x:row>
    <x:row r="13">
      <x:c r="A13" t="str">
        <x:v>DA02</x:v>
      </x:c>
      <x:c r="B13" t="n">
        <x:v>5</x:v>
      </x:c>
      <x:c r="C13" s="59" t="n">
        <x:f>'19_BCTC_du_an_5N'!C13</x:f>
        <x:v>1244.4444444444443</x:v>
      </x:c>
      <x:c r="D13" s="59" t="n">
        <x:f>'19_BCTC_du_an_5N'!D13</x:f>
        <x:v>821.3333333333331</x:v>
      </x:c>
      <x:c r="E13" s="59" t="n">
        <x:f>C13-D13</x:f>
        <x:v>423.1111111111112</x:v>
      </x:c>
      <x:c r="F13" s="59" t="n">
        <x:f>0</x:f>
        <x:v>0</x:v>
      </x:c>
      <x:c r="G13" s="59" t="n">
        <x:f>'19_BCTC_du_an_5N'!H13</x:f>
        <x:v>0</x:v>
      </x:c>
      <x:c r="H13" s="59" t="n">
        <x:f>'19_BCTC_du_an_5N'!H13</x:f>
        <x:v>0</x:v>
      </x:c>
      <x:c r="I13" s="59" t="n">
        <x:f>'19_BCTC_du_an_5N'!F13</x:f>
        <x:v>43.55555555555556</x:v>
      </x:c>
      <x:c r="J13" s="59" t="n">
        <x:f>'19_BCTC_du_an_5N'!G13</x:f>
        <x:v>24.888888888888886</x:v>
      </x:c>
      <x:c r="K13" s="59" t="n">
        <x:f>'19_BCTC_du_an_5N'!I13</x:f>
        <x:v>354.66666666666674</x:v>
      </x:c>
      <x:c r="L13" s="59" t="n">
        <x:f>'19_BCTC_du_an_5N'!J13</x:f>
        <x:v>70.93333333333335</x:v>
      </x:c>
      <x:c r="M13" s="59" t="n">
        <x:f>'19_BCTC_du_an_5N'!K13</x:f>
        <x:v>283.7333333333334</x:v>
      </x:c>
      <x:c r="N13" s="59" t="n">
        <x:f>'18_Mo_hinh_60T'!T123</x:f>
        <x:v>1650.6093449052669</x:v>
      </x:c>
      <x:c r="O13" s="59" t="n">
        <x:f>'19_BCTC_du_an_5N'!C13*'17_Gia_dinh_mo_hinh'!$W$5/365</x:f>
        <x:v>153.42465753424656</x:v>
      </x:c>
      <x:c r="P13" s="59" t="n">
        <x:f>MAX('17_Gia_dinh_mo_hinh'!$K$5*'17_Gia_dinh_mo_hinh'!$Y$5,'17_Gia_dinh_mo_hinh'!$K$5*MAX(0,1-B13/5)*0.50)</x:f>
        <x:v>720</x:v>
      </x:c>
      <x:c r="Q13" s="59" t="n">
        <x:f>'19_BCTC_du_an_5N'!C13*'17_Gia_dinh_mo_hinh'!$AC$5</x:f>
        <x:v>37.33333333333333</x:v>
      </x:c>
      <x:c r="R13" s="59" t="n">
        <x:f>MAX(0,'17_Gia_dinh_mo_hinh'!$Z$5+SUMIFS('19_BCTC_du_an_5N'!$M$4:$M$33,'19_BCTC_du_an_5N'!$A$4:$A$33,A13,'19_BCTC_du_an_5N'!$B$4:$B$33,"&lt;="&amp;B13)*0.08-'17_Gia_dinh_mo_hinh'!$Z$5*'17_Gia_dinh_mo_hinh'!$AA$5*B13)</x:f>
        <x:v>688.4999999999998</x:v>
      </x:c>
      <x:c r="S13" s="59" t="n">
        <x:f>0.03*'17_Gia_dinh_mo_hinh'!$K$5</x:f>
        <x:v>216</x:v>
      </x:c>
      <x:c r="T13" s="59" t="n">
        <x:f>SUM(N13:S13)</x:f>
        <x:v>3465.8673357728467</x:v>
      </x:c>
      <x:c r="U13" s="59" t="n">
        <x:f>'19_BCTC_du_an_5N'!D13*'17_Gia_dinh_mo_hinh'!$X$5/365</x:f>
        <x:v>135.01369863013696</x:v>
      </x:c>
      <x:c r="V13" s="59" t="n">
        <x:f>MAX(0,'19_BCTC_du_an_5N'!L13-'19_BCTC_du_an_5N'!C13)</x:f>
        <x:v>0</x:v>
      </x:c>
      <x:c r="W13" s="59" t="n">
        <x:f>0.25*'19_BCTC_du_an_5N'!J13</x:f>
        <x:v>17.733333333333338</x:v>
      </x:c>
      <x:c r="X13" s="59" t="n">
        <x:f>'19_BCTC_du_an_5N'!C13*'17_Gia_dinh_mo_hinh'!$AD$5</x:f>
        <x:v>49.77777777777777</x:v>
      </x:c>
      <x:c r="Y13" s="59" t="n">
        <x:f>0.35*'18_Mo_hinh_60T'!S123</x:f>
        <x:v>0</x:v>
      </x:c>
      <x:c r="Z13" s="59" t="n">
        <x:f>0.65*'18_Mo_hinh_60T'!S123</x:f>
        <x:v>0</x:v>
      </x:c>
      <x:c r="AA13" s="59" t="n">
        <x:f>SUM(U13:Z13)</x:f>
        <x:v>202.52480974124808</x:v>
      </x:c>
      <x:c r="AB13" s="59" t="n">
        <x:f>'17_Gia_dinh_mo_hinh'!$AB$5</x:f>
        <x:v>2150</x:v>
      </x:c>
      <x:c r="AC13" s="59" t="n">
        <x:f>AC12+'19_BCTC_du_an_5N'!K13-MAX(0,'19_BCTC_du_an_5N'!K13)*'17_Gia_dinh_mo_hinh'!$AE$5</x:f>
        <x:v>1989.148541513725</x:v>
      </x:c>
      <x:c r="AD13" s="59" t="n">
        <x:f>T13-AA13</x:f>
        <x:v>3263.3425260315985</x:v>
      </x:c>
      <x:c r="AE13" s="59" t="n">
        <x:f>T13</x:f>
        <x:v>3465.8673357728467</x:v>
      </x:c>
      <x:c r="AF13" s="59" t="n">
        <x:f>'19_BCTC_du_an_5N'!L13-'19_BCTC_du_an_5N'!F13-'19_BCTC_du_an_5N'!G13-'19_BCTC_du_an_5N'!J13-'19_BCTC_du_an_5N'!H13-0.15*'19_BCTC_du_an_5N'!M13</x:f>
        <x:v>-139.3777777777778</x:v>
      </x:c>
      <x:c r="AG13" s="59" t="n">
        <x:f>-0.85*'19_BCTC_du_an_5N'!M13</x:f>
        <x:v>0</x:v>
      </x:c>
      <x:c r="AH13" s="59" t="n">
        <x:f>'19_BCTC_du_an_5N'!N13-MAX(0,'19_BCTC_du_an_5N'!K13)*'17_Gia_dinh_mo_hinh'!$AE$5</x:f>
        <x:v>0</x:v>
      </x:c>
      <x:c r="AI13" s="59" t="n">
        <x:f>SUM(AF13:AH13)</x:f>
        <x:v>-139.3777777777778</x:v>
      </x:c>
    </x:row>
    <x:row r="14">
      <x:c r="A14" t="str">
        <x:v>DA03</x:v>
      </x:c>
      <x:c r="B14" t="n">
        <x:v>1</x:v>
      </x:c>
      <x:c r="C14" s="59" t="n">
        <x:f>'19_BCTC_du_an_5N'!C14</x:f>
        <x:v>0</x:v>
      </x:c>
      <x:c r="D14" s="59" t="n">
        <x:f>'19_BCTC_du_an_5N'!D14</x:f>
        <x:v>0</x:v>
      </x:c>
      <x:c r="E14" s="59" t="n">
        <x:f>C14-D14</x:f>
        <x:v>0</x:v>
      </x:c>
      <x:c r="F14" s="59" t="n">
        <x:f>0</x:f>
        <x:v>0</x:v>
      </x:c>
      <x:c r="G14" s="59" t="n">
        <x:f>'19_BCTC_du_an_5N'!H14</x:f>
        <x:v>350.5073721522751</x:v>
      </x:c>
      <x:c r="H14" s="59" t="n">
        <x:f>'19_BCTC_du_an_5N'!H14</x:f>
        <x:v>350.5073721522751</x:v>
      </x:c>
      <x:c r="I14" s="59" t="n">
        <x:f>'19_BCTC_du_an_5N'!F14</x:f>
        <x:v>0</x:v>
      </x:c>
      <x:c r="J14" s="59" t="n">
        <x:f>'19_BCTC_du_an_5N'!G14</x:f>
        <x:v>0</x:v>
      </x:c>
      <x:c r="K14" s="59" t="n">
        <x:f>'19_BCTC_du_an_5N'!I14</x:f>
        <x:v>-350.5073721522751</x:v>
      </x:c>
      <x:c r="L14" s="59" t="n">
        <x:f>'19_BCTC_du_an_5N'!J14</x:f>
        <x:v>0</x:v>
      </x:c>
      <x:c r="M14" s="59" t="n">
        <x:f>'19_BCTC_du_an_5N'!K14</x:f>
        <x:v>-350.5073721522751</x:v>
      </x:c>
      <x:c r="N14" s="59" t="n">
        <x:f>'18_Mo_hinh_60T'!T135</x:f>
        <x:v>0</x:v>
      </x:c>
      <x:c r="O14" s="59" t="n">
        <x:f>'19_BCTC_du_an_5N'!C14*'17_Gia_dinh_mo_hinh'!$W$6/365</x:f>
        <x:v>0</x:v>
      </x:c>
      <x:c r="P14" s="59" t="n">
        <x:f>MAX('17_Gia_dinh_mo_hinh'!$K$6*'17_Gia_dinh_mo_hinh'!$Y$6,'17_Gia_dinh_mo_hinh'!$K$6*MAX(0,1-B14/5)*0.50)</x:f>
        <x:v>3920</x:v>
      </x:c>
      <x:c r="Q14" s="59" t="n">
        <x:f>'19_BCTC_du_an_5N'!C14*'17_Gia_dinh_mo_hinh'!$AC$6</x:f>
        <x:v>0</x:v>
      </x:c>
      <x:c r="R14" s="59" t="n">
        <x:f>MAX(0,'17_Gia_dinh_mo_hinh'!$Z$6+SUMIFS('19_BCTC_du_an_5N'!$M$4:$M$33,'19_BCTC_du_an_5N'!$A$4:$A$33,A14,'19_BCTC_du_an_5N'!$B$4:$B$33,"&lt;="&amp;B14)*0.08-'17_Gia_dinh_mo_hinh'!$Z$6*'17_Gia_dinh_mo_hinh'!$AA$6*B14)</x:f>
        <x:v>456.74399999999997</x:v>
      </x:c>
      <x:c r="S14" s="59" t="n">
        <x:f>0.03*'17_Gia_dinh_mo_hinh'!$K$6</x:f>
        <x:v>294</x:v>
      </x:c>
      <x:c r="T14" s="59" t="n">
        <x:f>SUM(N14:S14)</x:f>
        <x:v>4670.744</x:v>
      </x:c>
      <x:c r="U14" s="59" t="n">
        <x:f>'19_BCTC_du_an_5N'!D14*'17_Gia_dinh_mo_hinh'!$X$6/365</x:f>
        <x:v>0</x:v>
      </x:c>
      <x:c r="V14" s="59" t="n">
        <x:f>MAX(0,'19_BCTC_du_an_5N'!L14-'19_BCTC_du_an_5N'!C14)</x:f>
        <x:v>3090.24</x:v>
      </x:c>
      <x:c r="W14" s="59" t="n">
        <x:f>0.25*'19_BCTC_du_an_5N'!J14</x:f>
        <x:v>0</x:v>
      </x:c>
      <x:c r="X14" s="59" t="n">
        <x:f>'19_BCTC_du_an_5N'!C14*'17_Gia_dinh_mo_hinh'!$AD$6</x:f>
        <x:v>0</x:v>
      </x:c>
      <x:c r="Y14" s="59" t="n">
        <x:f>0.35*'18_Mo_hinh_60T'!S135</x:f>
        <x:v>1206.4788302532959</x:v>
      </x:c>
      <x:c r="Z14" s="59" t="n">
        <x:f>0.65*'18_Mo_hinh_60T'!S135</x:f>
        <x:v>2240.603541898978</x:v>
      </x:c>
      <x:c r="AA14" s="59" t="n">
        <x:f>SUM(U14:Z14)</x:f>
        <x:v>6537.322372152274</x:v>
      </x:c>
      <x:c r="AB14" s="59" t="n">
        <x:f>'17_Gia_dinh_mo_hinh'!$AB$6</x:f>
        <x:v>2600</x:v>
      </x:c>
      <x:c r="AC14" s="59" t="n">
        <x:f>'19_BCTC_du_an_5N'!K14</x:f>
        <x:v>-350.5073721522751</x:v>
      </x:c>
      <x:c r="AD14" s="59" t="n">
        <x:f>T14-AA14</x:f>
        <x:v>-1866.578372152274</x:v>
      </x:c>
      <x:c r="AE14" s="59" t="n">
        <x:f>T14</x:f>
        <x:v>4670.744</x:v>
      </x:c>
      <x:c r="AF14" s="59" t="n">
        <x:f>'19_BCTC_du_an_5N'!L14-'19_BCTC_du_an_5N'!F14-'19_BCTC_du_an_5N'!G14-'19_BCTC_du_an_5N'!J14-'19_BCTC_du_an_5N'!H14-0.15*'19_BCTC_du_an_5N'!M14</x:f>
        <x:v>2275.212627847725</x:v>
      </x:c>
      <x:c r="AG14" s="59" t="n">
        <x:f>-0.85*'19_BCTC_du_an_5N'!M14</x:f>
        <x:v>-2632.2799999999997</x:v>
      </x:c>
      <x:c r="AH14" s="59" t="n">
        <x:f>'19_BCTC_du_an_5N'!N14-MAX(0,'19_BCTC_du_an_5N'!K14)*'17_Gia_dinh_mo_hinh'!$AE$6</x:f>
        <x:v>177.06737215227497</x:v>
      </x:c>
      <x:c r="AI14" s="59" t="n">
        <x:f>SUM(AF14:AH14)</x:f>
        <x:v>-179.9999999999999</x:v>
      </x:c>
    </x:row>
    <x:row r="15">
      <x:c r="A15" t="str">
        <x:v>DA03</x:v>
      </x:c>
      <x:c r="B15" t="n">
        <x:v>2</x:v>
      </x:c>
      <x:c r="C15" s="59" t="n">
        <x:f>'19_BCTC_du_an_5N'!C15</x:f>
        <x:v>2131.2</x:v>
      </x:c>
      <x:c r="D15" s="59" t="n">
        <x:f>'19_BCTC_du_an_5N'!D15</x:f>
        <x:v>1491.8399999999997</x:v>
      </x:c>
      <x:c r="E15" s="59" t="n">
        <x:f>C15-D15</x:f>
        <x:v>639.3600000000001</x:v>
      </x:c>
      <x:c r="F15" s="59" t="n">
        <x:f>0</x:f>
        <x:v>0</x:v>
      </x:c>
      <x:c r="G15" s="59" t="n">
        <x:f>'19_BCTC_du_an_5N'!H15</x:f>
        <x:v>292.4695891537056</x:v>
      </x:c>
      <x:c r="H15" s="59" t="n">
        <x:f>'19_BCTC_du_an_5N'!H15</x:f>
        <x:v>292.4695891537056</x:v>
      </x:c>
      <x:c r="I15" s="59" t="n">
        <x:f>'19_BCTC_du_an_5N'!F15</x:f>
        <x:v>74.592</x:v>
      </x:c>
      <x:c r="J15" s="59" t="n">
        <x:f>'19_BCTC_du_an_5N'!G15</x:f>
        <x:v>46.886399999999995</x:v>
      </x:c>
      <x:c r="K15" s="59" t="n">
        <x:f>'19_BCTC_du_an_5N'!I15</x:f>
        <x:v>225.4120108462945</x:v>
      </x:c>
      <x:c r="L15" s="59" t="n">
        <x:f>'19_BCTC_du_an_5N'!J15</x:f>
        <x:v>85.59951646272549</x:v>
      </x:c>
      <x:c r="M15" s="59" t="n">
        <x:f>'19_BCTC_du_an_5N'!K15</x:f>
        <x:v>139.81249438356903</x:v>
      </x:c>
      <x:c r="N15" s="59" t="n">
        <x:f>'18_Mo_hinh_60T'!T147</x:f>
        <x:v>0</x:v>
      </x:c>
      <x:c r="O15" s="59" t="n">
        <x:f>'19_BCTC_du_an_5N'!C15*'17_Gia_dinh_mo_hinh'!$W$6/365</x:f>
        <x:v>233.55616438356165</x:v>
      </x:c>
      <x:c r="P15" s="59" t="n">
        <x:f>MAX('17_Gia_dinh_mo_hinh'!$K$6*'17_Gia_dinh_mo_hinh'!$Y$6,'17_Gia_dinh_mo_hinh'!$K$6*MAX(0,1-B15/5)*0.50)</x:f>
        <x:v>2940</x:v>
      </x:c>
      <x:c r="Q15" s="59" t="n">
        <x:f>'19_BCTC_du_an_5N'!C15*'17_Gia_dinh_mo_hinh'!$AC$6</x:f>
        <x:v>53.28</x:v>
      </x:c>
      <x:c r="R15" s="59" t="n">
        <x:f>MAX(0,'17_Gia_dinh_mo_hinh'!$Z$6+SUMIFS('19_BCTC_du_an_5N'!$M$4:$M$33,'19_BCTC_du_an_5N'!$A$4:$A$33,A15,'19_BCTC_du_an_5N'!$B$4:$B$33,"&lt;="&amp;B15)*0.08-'17_Gia_dinh_mo_hinh'!$Z$6*'17_Gia_dinh_mo_hinh'!$AA$6*B15)</x:f>
        <x:v>693.4879999999999</x:v>
      </x:c>
      <x:c r="S15" s="59" t="n">
        <x:f>0.03*'17_Gia_dinh_mo_hinh'!$K$6</x:f>
        <x:v>294</x:v>
      </x:c>
      <x:c r="T15" s="59" t="n">
        <x:f>SUM(N15:S15)</x:f>
        <x:v>4214.324164383562</x:v>
      </x:c>
      <x:c r="U15" s="59" t="n">
        <x:f>'19_BCTC_du_an_5N'!D15*'17_Gia_dinh_mo_hinh'!$X$6/365</x:f>
        <x:v>224.79780821917802</x:v>
      </x:c>
      <x:c r="V15" s="59" t="n">
        <x:f>MAX(0,'19_BCTC_du_an_5N'!L15-'19_BCTC_du_an_5N'!C15)</x:f>
        <x:v>2131.199999999999</x:v>
      </x:c>
      <x:c r="W15" s="59" t="n">
        <x:f>0.25*'19_BCTC_du_an_5N'!J15</x:f>
        <x:v>21.399879115681372</x:v>
      </x:c>
      <x:c r="X15" s="59" t="n">
        <x:f>'19_BCTC_du_an_5N'!C15*'17_Gia_dinh_mo_hinh'!$AD$6</x:f>
        <x:v>85.24799999999999</x:v>
      </x:c>
      <x:c r="Y15" s="59" t="n">
        <x:f>0.35*'18_Mo_hinh_60T'!S147</x:f>
        <x:v>973.3604572190471</x:v>
      </x:c>
      <x:c r="Z15" s="59" t="n">
        <x:f>0.65*'18_Mo_hinh_60T'!S147</x:f>
        <x:v>1807.6694205496592</x:v>
      </x:c>
      <x:c r="AA15" s="59" t="n">
        <x:f>SUM(U15:Z15)</x:f>
        <x:v>5243.675565103565</x:v>
      </x:c>
      <x:c r="AB15" s="59" t="n">
        <x:f>'17_Gia_dinh_mo_hinh'!$AB$6</x:f>
        <x:v>2600</x:v>
      </x:c>
      <x:c r="AC15" s="59" t="n">
        <x:f>AC14+'19_BCTC_du_an_5N'!K15-MAX(0,'19_BCTC_du_an_5N'!K15)*'17_Gia_dinh_mo_hinh'!$AE$6</x:f>
        <x:v>-217.6855024878845</x:v>
      </x:c>
      <x:c r="AD15" s="59" t="n">
        <x:f>T15-AA15</x:f>
        <x:v>-1029.3514007200029</x:v>
      </x:c>
      <x:c r="AE15" s="59" t="n">
        <x:f>T15</x:f>
        <x:v>4214.324164383562</x:v>
      </x:c>
      <x:c r="AF15" s="59" t="n">
        <x:f>'19_BCTC_du_an_5N'!L15-'19_BCTC_du_an_5N'!F15-'19_BCTC_du_an_5N'!G15-'19_BCTC_du_an_5N'!J15-'19_BCTC_du_an_5N'!H15-0.15*'19_BCTC_du_an_5N'!M15</x:f>
        <x:v>3298.3324943835673</x:v>
      </x:c>
      <x:c r="AG15" s="59" t="n">
        <x:f>-0.85*'19_BCTC_du_an_5N'!M15</x:f>
        <x:v>-2632.2799999999997</x:v>
      </x:c>
      <x:c r="AH15" s="59" t="n">
        <x:f>'19_BCTC_du_an_5N'!N15-MAX(0,'19_BCTC_du_an_5N'!K15)*'17_Gia_dinh_mo_hinh'!$AE$6</x:f>
        <x:v>-673.043119102747</x:v>
      </x:c>
      <x:c r="AI15" s="59" t="n">
        <x:f>SUM(AF15:AH15)</x:f>
        <x:v>-6.990624719179436</x:v>
      </x:c>
    </x:row>
    <x:row r="16">
      <x:c r="A16" t="str">
        <x:v>DA03</x:v>
      </x:c>
      <x:c r="B16" t="n">
        <x:v>3</x:v>
      </x:c>
      <x:c r="C16" s="59" t="n">
        <x:f>'19_BCTC_du_an_5N'!C16</x:f>
        <x:v>6393.600000000001</x:v>
      </x:c>
      <x:c r="D16" s="59" t="n">
        <x:f>'19_BCTC_du_an_5N'!D16</x:f>
        <x:v>4475.5199999999995</x:v>
      </x:c>
      <x:c r="E16" s="59" t="n">
        <x:f>C16-D16</x:f>
        <x:v>1918.0800000000017</x:v>
      </x:c>
      <x:c r="F16" s="59" t="n">
        <x:f>0</x:f>
        <x:v>0</x:v>
      </x:c>
      <x:c r="G16" s="59" t="n">
        <x:f>'19_BCTC_du_an_5N'!H16</x:f>
        <x:v>227.64194528625245</x:v>
      </x:c>
      <x:c r="H16" s="59" t="n">
        <x:f>'19_BCTC_du_an_5N'!H16</x:f>
        <x:v>227.64194528625245</x:v>
      </x:c>
      <x:c r="I16" s="59" t="n">
        <x:f>'19_BCTC_du_an_5N'!F16</x:f>
        <x:v>223.77599999999998</x:v>
      </x:c>
      <x:c r="J16" s="59" t="n">
        <x:f>'19_BCTC_du_an_5N'!G16</x:f>
        <x:v>140.65919999999997</x:v>
      </x:c>
      <x:c r="K16" s="59" t="n">
        <x:f>'19_BCTC_du_an_5N'!I16</x:f>
        <x:v>1326.002854713748</x:v>
      </x:c>
      <x:c r="L16" s="59" t="n">
        <x:f>'19_BCTC_du_an_5N'!J16</x:f>
        <x:v>265.20057094274966</x:v>
      </x:c>
      <x:c r="M16" s="59" t="n">
        <x:f>'19_BCTC_du_an_5N'!K16</x:f>
        <x:v>1060.8022837709987</x:v>
      </x:c>
      <x:c r="N16" s="59" t="n">
        <x:f>'18_Mo_hinh_60T'!T159</x:f>
        <x:v>0</x:v>
      </x:c>
      <x:c r="O16" s="59" t="n">
        <x:f>'19_BCTC_du_an_5N'!C16*'17_Gia_dinh_mo_hinh'!$W$6/365</x:f>
        <x:v>700.6684931506851</x:v>
      </x:c>
      <x:c r="P16" s="59" t="n">
        <x:f>MAX('17_Gia_dinh_mo_hinh'!$K$6*'17_Gia_dinh_mo_hinh'!$Y$6,'17_Gia_dinh_mo_hinh'!$K$6*MAX(0,1-B16/5)*0.50)</x:f>
        <x:v>1960</x:v>
      </x:c>
      <x:c r="Q16" s="59" t="n">
        <x:f>'19_BCTC_du_an_5N'!C16*'17_Gia_dinh_mo_hinh'!$AC$6</x:f>
        <x:v>159.84000000000003</x:v>
      </x:c>
      <x:c r="R16" s="59" t="n">
        <x:f>MAX(0,'17_Gia_dinh_mo_hinh'!$Z$6+SUMIFS('19_BCTC_du_an_5N'!$M$4:$M$33,'19_BCTC_du_an_5N'!$A$4:$A$33,A16,'19_BCTC_du_an_5N'!$B$4:$B$33,"&lt;="&amp;B16)*0.08-'17_Gia_dinh_mo_hinh'!$Z$6*'17_Gia_dinh_mo_hinh'!$AA$6*B16)</x:f>
        <x:v>806.3599999999999</x:v>
      </x:c>
      <x:c r="S16" s="59" t="n">
        <x:f>0.03*'17_Gia_dinh_mo_hinh'!$K$6</x:f>
        <x:v>294</x:v>
      </x:c>
      <x:c r="T16" s="59" t="n">
        <x:f>SUM(N16:S16)</x:f>
        <x:v>3920.868493150685</x:v>
      </x:c>
      <x:c r="U16" s="59" t="n">
        <x:f>'19_BCTC_du_an_5N'!D16*'17_Gia_dinh_mo_hinh'!$X$6/365</x:f>
        <x:v>674.3934246575342</x:v>
      </x:c>
      <x:c r="V16" s="59" t="n">
        <x:f>MAX(0,'19_BCTC_du_an_5N'!L16-'19_BCTC_du_an_5N'!C16)</x:f>
        <x:v>0</x:v>
      </x:c>
      <x:c r="W16" s="59" t="n">
        <x:f>0.25*'19_BCTC_du_an_5N'!J16</x:f>
        <x:v>66.30014273568742</x:v>
      </x:c>
      <x:c r="X16" s="59" t="n">
        <x:f>'19_BCTC_du_an_5N'!C16*'17_Gia_dinh_mo_hinh'!$AD$6</x:f>
        <x:v>255.74400000000006</x:v>
      </x:c>
      <x:c r="Y16" s="59" t="n">
        <x:f>0.35*'18_Mo_hinh_60T'!S159</x:f>
        <x:v>659.1716578991978</x:v>
      </x:c>
      <x:c r="Z16" s="59" t="n">
        <x:f>0.65*'18_Mo_hinh_60T'!S159</x:f>
        <x:v>1224.1759360985104</x:v>
      </x:c>
      <x:c r="AA16" s="59" t="n">
        <x:f>SUM(U16:Z16)</x:f>
        <x:v>2879.7851613909297</x:v>
      </x:c>
      <x:c r="AB16" s="59" t="n">
        <x:f>'17_Gia_dinh_mo_hinh'!$AB$6</x:f>
        <x:v>2600</x:v>
      </x:c>
      <x:c r="AC16" s="59" t="n">
        <x:f>AC15+'19_BCTC_du_an_5N'!K16-MAX(0,'19_BCTC_du_an_5N'!K16)*'17_Gia_dinh_mo_hinh'!$AE$6</x:f>
        <x:v>790.0766670945642</x:v>
      </x:c>
      <x:c r="AD16" s="59" t="n">
        <x:f>T16-AA16</x:f>
        <x:v>1041.0833317597553</x:v>
      </x:c>
      <x:c r="AE16" s="59" t="n">
        <x:f>T16</x:f>
        <x:v>3920.868493150685</x:v>
      </x:c>
      <x:c r="AF16" s="59" t="n">
        <x:f>'19_BCTC_du_an_5N'!L16-'19_BCTC_du_an_5N'!F16-'19_BCTC_du_an_5N'!G16-'19_BCTC_du_an_5N'!J16-'19_BCTC_du_an_5N'!H16-0.15*'19_BCTC_du_an_5N'!M16</x:f>
        <x:v>2213.8222837709973</x:v>
      </x:c>
      <x:c r="AG16" s="59" t="n">
        <x:f>-0.85*'19_BCTC_du_an_5N'!M16</x:f>
        <x:v>-1316.1399999999999</x:v>
      </x:c>
      <x:c r="AH16" s="59" t="n">
        <x:f>'19_BCTC_du_an_5N'!N16-MAX(0,'19_BCTC_du_an_5N'!K16)*'17_Gia_dinh_mo_hinh'!$AE$6</x:f>
        <x:v>-950.7223979595477</x:v>
      </x:c>
      <x:c r="AI16" s="59" t="n">
        <x:f>SUM(AF16:AH16)</x:f>
        <x:v>-53.04011418855032</x:v>
      </x:c>
    </x:row>
    <x:row r="17">
      <x:c r="A17" t="str">
        <x:v>DA03</x:v>
      </x:c>
      <x:c r="B17" t="n">
        <x:v>4</x:v>
      </x:c>
      <x:c r="C17" s="59" t="n">
        <x:f>'19_BCTC_du_an_5N'!C17</x:f>
        <x:v>2131.2</x:v>
      </x:c>
      <x:c r="D17" s="59" t="n">
        <x:f>'19_BCTC_du_an_5N'!D17</x:f>
        <x:v>1491.8399999999997</x:v>
      </x:c>
      <x:c r="E17" s="59" t="n">
        <x:f>C17-D17</x:f>
        <x:v>639.3600000000001</x:v>
      </x:c>
      <x:c r="F17" s="59" t="n">
        <x:f>0</x:f>
        <x:v>0</x:v>
      </x:c>
      <x:c r="G17" s="59" t="n">
        <x:f>'19_BCTC_du_an_5N'!H17</x:f>
        <x:v>203.4596430520325</x:v>
      </x:c>
      <x:c r="H17" s="59" t="n">
        <x:f>'19_BCTC_du_an_5N'!H17</x:f>
        <x:v>203.4596430520325</x:v>
      </x:c>
      <x:c r="I17" s="59" t="n">
        <x:f>'19_BCTC_du_an_5N'!F17</x:f>
        <x:v>74.592</x:v>
      </x:c>
      <x:c r="J17" s="59" t="n">
        <x:f>'19_BCTC_du_an_5N'!G17</x:f>
        <x:v>46.886399999999995</x:v>
      </x:c>
      <x:c r="K17" s="59" t="n">
        <x:f>'19_BCTC_du_an_5N'!I17</x:f>
        <x:v>314.4219569479676</x:v>
      </x:c>
      <x:c r="L17" s="59" t="n">
        <x:f>'19_BCTC_du_an_5N'!J17</x:f>
        <x:v>90.9978926282185</x:v>
      </x:c>
      <x:c r="M17" s="59" t="n">
        <x:f>'19_BCTC_du_an_5N'!K17</x:f>
        <x:v>223.42406431974922</x:v>
      </x:c>
      <x:c r="N17" s="59" t="n">
        <x:f>'18_Mo_hinh_60T'!T171</x:f>
        <x:v>0</x:v>
      </x:c>
      <x:c r="O17" s="59" t="n">
        <x:f>'19_BCTC_du_an_5N'!C17*'17_Gia_dinh_mo_hinh'!$W$6/365</x:f>
        <x:v>233.55616438356165</x:v>
      </x:c>
      <x:c r="P17" s="59" t="n">
        <x:f>MAX('17_Gia_dinh_mo_hinh'!$K$6*'17_Gia_dinh_mo_hinh'!$Y$6,'17_Gia_dinh_mo_hinh'!$K$6*MAX(0,1-B17/5)*0.50)</x:f>
        <x:v>979.9999999999998</x:v>
      </x:c>
      <x:c r="Q17" s="59" t="n">
        <x:f>'19_BCTC_du_an_5N'!C17*'17_Gia_dinh_mo_hinh'!$AC$6</x:f>
        <x:v>53.28</x:v>
      </x:c>
      <x:c r="R17" s="59" t="n">
        <x:f>MAX(0,'17_Gia_dinh_mo_hinh'!$Z$6+SUMIFS('19_BCTC_du_an_5N'!$M$4:$M$33,'19_BCTC_du_an_5N'!$A$4:$A$33,A17,'19_BCTC_du_an_5N'!$B$4:$B$33,"&lt;="&amp;B17)*0.08-'17_Gia_dinh_mo_hinh'!$Z$6*'17_Gia_dinh_mo_hinh'!$AA$6*B17)</x:f>
        <x:v>795.3599999999999</x:v>
      </x:c>
      <x:c r="S17" s="59" t="n">
        <x:f>0.03*'17_Gia_dinh_mo_hinh'!$K$6</x:f>
        <x:v>294</x:v>
      </x:c>
      <x:c r="T17" s="59" t="n">
        <x:f>SUM(N17:S17)</x:f>
        <x:v>2356.196164383561</x:v>
      </x:c>
      <x:c r="U17" s="59" t="n">
        <x:f>'19_BCTC_du_an_5N'!D17*'17_Gia_dinh_mo_hinh'!$X$6/365</x:f>
        <x:v>224.79780821917802</x:v>
      </x:c>
      <x:c r="V17" s="59" t="n">
        <x:f>MAX(0,'19_BCTC_du_an_5N'!L17-'19_BCTC_du_an_5N'!C17)</x:f>
        <x:v>0</x:v>
      </x:c>
      <x:c r="W17" s="59" t="n">
        <x:f>0.25*'19_BCTC_du_an_5N'!J17</x:f>
        <x:v>22.749473157054624</x:v>
      </x:c>
      <x:c r="X17" s="59" t="n">
        <x:f>'19_BCTC_du_an_5N'!C17*'17_Gia_dinh_mo_hinh'!$AD$6</x:f>
        <x:v>85.24799999999999</x:v>
      </x:c>
      <x:c r="Y17" s="59" t="n">
        <x:f>0.35*'18_Mo_hinh_60T'!S171</x:f>
        <x:v>804.7492353872856</x:v>
      </x:c>
      <x:c r="Z17" s="59" t="n">
        <x:f>0.65*'18_Mo_hinh_60T'!S171</x:f>
        <x:v>1494.5342942906734</x:v>
      </x:c>
      <x:c r="AA17" s="59" t="n">
        <x:f>SUM(U17:Z17)</x:f>
        <x:v>2632.0788110541916</x:v>
      </x:c>
      <x:c r="AB17" s="59" t="n">
        <x:f>'17_Gia_dinh_mo_hinh'!$AB$6</x:f>
        <x:v>2600</x:v>
      </x:c>
      <x:c r="AC17" s="59" t="n">
        <x:f>AC16+'19_BCTC_du_an_5N'!K17-MAX(0,'19_BCTC_du_an_5N'!K17)*'17_Gia_dinh_mo_hinh'!$AE$6</x:f>
        <x:v>1002.3295281983259</x:v>
      </x:c>
      <x:c r="AD17" s="59" t="n">
        <x:f>T17-AA17</x:f>
        <x:v>-275.8826466706305</x:v>
      </x:c>
      <x:c r="AE17" s="59" t="n">
        <x:f>T17</x:f>
        <x:v>2356.196164383561</x:v>
      </x:c>
      <x:c r="AF17" s="59" t="n">
        <x:f>'19_BCTC_du_an_5N'!L17-'19_BCTC_du_an_5N'!F17-'19_BCTC_du_an_5N'!G17-'19_BCTC_du_an_5N'!J17-'19_BCTC_du_an_5N'!H17-0.15*'19_BCTC_du_an_5N'!M17</x:f>
        <x:v>-415.93593568025096</x:v>
      </x:c>
      <x:c r="AG17" s="59" t="n">
        <x:f>-0.85*'19_BCTC_du_an_5N'!M17</x:f>
        <x:v>0</x:v>
      </x:c>
      <x:c r="AH17" s="59" t="n">
        <x:f>'19_BCTC_du_an_5N'!N17-MAX(0,'19_BCTC_du_an_5N'!K17)*'17_Gia_dinh_mo_hinh'!$AE$6</x:f>
        <x:v>404.76473246426355</x:v>
      </x:c>
      <x:c r="AI17" s="59" t="n">
        <x:f>SUM(AF17:AH17)</x:f>
        <x:v>-11.171203215987418</x:v>
      </x:c>
    </x:row>
    <x:row r="18">
      <x:c r="A18" t="str">
        <x:v>DA03</x:v>
      </x:c>
      <x:c r="B18" t="n">
        <x:v>5</x:v>
      </x:c>
      <x:c r="C18" s="59" t="n">
        <x:f>'19_BCTC_du_an_5N'!C18</x:f>
        <x:v>0</x:v>
      </x:c>
      <x:c r="D18" s="59" t="n">
        <x:f>'19_BCTC_du_an_5N'!D18</x:f>
        <x:v>0</x:v>
      </x:c>
      <x:c r="E18" s="59" t="n">
        <x:f>C18-D18</x:f>
        <x:v>0</x:v>
      </x:c>
      <x:c r="F18" s="59" t="n">
        <x:f>0</x:f>
        <x:v>0</x:v>
      </x:c>
      <x:c r="G18" s="59" t="n">
        <x:f>'19_BCTC_du_an_5N'!H18</x:f>
        <x:v>228.198335437792</x:v>
      </x:c>
      <x:c r="H18" s="59" t="n">
        <x:f>'19_BCTC_du_an_5N'!H18</x:f>
        <x:v>228.198335437792</x:v>
      </x:c>
      <x:c r="I18" s="59" t="n">
        <x:f>'19_BCTC_du_an_5N'!F18</x:f>
        <x:v>0</x:v>
      </x:c>
      <x:c r="J18" s="59" t="n">
        <x:f>'19_BCTC_du_an_5N'!G18</x:f>
        <x:v>0</x:v>
      </x:c>
      <x:c r="K18" s="59" t="n">
        <x:f>'19_BCTC_du_an_5N'!I18</x:f>
        <x:v>-228.198335437792</x:v>
      </x:c>
      <x:c r="L18" s="59" t="n">
        <x:f>'19_BCTC_du_an_5N'!J18</x:f>
        <x:v>0</x:v>
      </x:c>
      <x:c r="M18" s="59" t="n">
        <x:f>'19_BCTC_du_an_5N'!K18</x:f>
        <x:v>-228.198335437792</x:v>
      </x:c>
      <x:c r="N18" s="59" t="n">
        <x:f>'18_Mo_hinh_60T'!T183</x:f>
        <x:v>0</x:v>
      </x:c>
      <x:c r="O18" s="59" t="n">
        <x:f>'19_BCTC_du_an_5N'!C18*'17_Gia_dinh_mo_hinh'!$W$6/365</x:f>
        <x:v>0</x:v>
      </x:c>
      <x:c r="P18" s="59" t="n">
        <x:f>MAX('17_Gia_dinh_mo_hinh'!$K$6*'17_Gia_dinh_mo_hinh'!$Y$6,'17_Gia_dinh_mo_hinh'!$K$6*MAX(0,1-B18/5)*0.50)</x:f>
        <x:v>784</x:v>
      </x:c>
      <x:c r="Q18" s="59" t="n">
        <x:f>'19_BCTC_du_an_5N'!C18*'17_Gia_dinh_mo_hinh'!$AC$6</x:f>
        <x:v>0</x:v>
      </x:c>
      <x:c r="R18" s="59" t="n">
        <x:f>MAX(0,'17_Gia_dinh_mo_hinh'!$Z$6+SUMIFS('19_BCTC_du_an_5N'!$M$4:$M$33,'19_BCTC_du_an_5N'!$A$4:$A$33,A18,'19_BCTC_du_an_5N'!$B$4:$B$33,"&lt;="&amp;B18)*0.08-'17_Gia_dinh_mo_hinh'!$Z$6*'17_Gia_dinh_mo_hinh'!$AA$6*B18)</x:f>
        <x:v>784.3599999999999</x:v>
      </x:c>
      <x:c r="S18" s="59" t="n">
        <x:f>0.03*'17_Gia_dinh_mo_hinh'!$K$6</x:f>
        <x:v>294</x:v>
      </x:c>
      <x:c r="T18" s="59" t="n">
        <x:f>SUM(N18:S18)</x:f>
        <x:v>1862.36</x:v>
      </x:c>
      <x:c r="U18" s="59" t="n">
        <x:f>'19_BCTC_du_an_5N'!D18*'17_Gia_dinh_mo_hinh'!$X$6/365</x:f>
        <x:v>0</x:v>
      </x:c>
      <x:c r="V18" s="59" t="n">
        <x:f>MAX(0,'19_BCTC_du_an_5N'!L18-'19_BCTC_du_an_5N'!C18)</x:f>
        <x:v>0</x:v>
      </x:c>
      <x:c r="W18" s="59" t="n">
        <x:f>0.25*'19_BCTC_du_an_5N'!J18</x:f>
        <x:v>0</x:v>
      </x:c>
      <x:c r="X18" s="59" t="n">
        <x:f>'19_BCTC_du_an_5N'!C18*'17_Gia_dinh_mo_hinh'!$AD$6</x:f>
        <x:v>0</x:v>
      </x:c>
      <x:c r="Y18" s="59" t="n">
        <x:f>0.35*'18_Mo_hinh_60T'!S183</x:f>
        <x:v>884.6186527905127</x:v>
      </x:c>
      <x:c r="Z18" s="59" t="n">
        <x:f>0.65*'18_Mo_hinh_60T'!S183</x:f>
        <x:v>1642.863212325238</x:v>
      </x:c>
      <x:c r="AA18" s="59" t="n">
        <x:f>SUM(U18:Z18)</x:f>
        <x:v>2527.4818651157507</x:v>
      </x:c>
      <x:c r="AB18" s="59" t="n">
        <x:f>'17_Gia_dinh_mo_hinh'!$AB$6</x:f>
        <x:v>2600</x:v>
      </x:c>
      <x:c r="AC18" s="59" t="n">
        <x:f>AC17+'19_BCTC_du_an_5N'!K18-MAX(0,'19_BCTC_du_an_5N'!K18)*'17_Gia_dinh_mo_hinh'!$AE$6</x:f>
        <x:v>774.1311927605338</x:v>
      </x:c>
      <x:c r="AD18" s="59" t="n">
        <x:f>T18-AA18</x:f>
        <x:v>-665.1218651157508</x:v>
      </x:c>
      <x:c r="AE18" s="59" t="n">
        <x:f>T18</x:f>
        <x:v>1862.36</x:v>
      </x:c>
      <x:c r="AF18" s="59" t="n">
        <x:f>'19_BCTC_du_an_5N'!L18-'19_BCTC_du_an_5N'!F18-'19_BCTC_du_an_5N'!G18-'19_BCTC_du_an_5N'!J18-'19_BCTC_du_an_5N'!H18-0.15*'19_BCTC_du_an_5N'!M18</x:f>
        <x:v>-228.198335437792</x:v>
      </x:c>
      <x:c r="AG18" s="59" t="n">
        <x:f>-0.85*'19_BCTC_du_an_5N'!M18</x:f>
        <x:v>0</x:v>
      </x:c>
      <x:c r="AH18" s="59" t="n">
        <x:f>'19_BCTC_du_an_5N'!N18-MAX(0,'19_BCTC_du_an_5N'!K18)*'17_Gia_dinh_mo_hinh'!$AE$6</x:f>
        <x:v>228.198335437792</x:v>
      </x:c>
      <x:c r="AI18" s="59" t="n">
        <x:f>SUM(AF18:AH18)</x:f>
        <x:v>0</x:v>
      </x:c>
    </x:row>
    <x:row r="19">
      <x:c r="A19" t="str">
        <x:v>DA04</x:v>
      </x:c>
      <x:c r="B19" t="n">
        <x:v>1</x:v>
      </x:c>
      <x:c r="C19" s="59" t="n">
        <x:f>'19_BCTC_du_an_5N'!C19</x:f>
        <x:v>1011.9999999999998</x:v>
      </x:c>
      <x:c r="D19" s="59" t="n">
        <x:f>'19_BCTC_du_an_5N'!D19</x:f>
        <x:v>698.2799999999997</x:v>
      </x:c>
      <x:c r="E19" s="59" t="n">
        <x:f>C19-D19</x:f>
        <x:v>313.72</x:v>
      </x:c>
      <x:c r="F19" s="59" t="n">
        <x:f>0</x:f>
        <x:v>0</x:v>
      </x:c>
      <x:c r="G19" s="59" t="n">
        <x:f>'19_BCTC_du_an_5N'!H19</x:f>
        <x:v>301.07202061849097</x:v>
      </x:c>
      <x:c r="H19" s="59" t="n">
        <x:f>'19_BCTC_du_an_5N'!H19</x:f>
        <x:v>301.07202061849097</x:v>
      </x:c>
      <x:c r="I19" s="59" t="n">
        <x:f>'19_BCTC_du_an_5N'!F19</x:f>
        <x:v>40.47999999999999</x:v>
      </x:c>
      <x:c r="J19" s="59" t="n">
        <x:f>'19_BCTC_du_an_5N'!G19</x:f>
        <x:v>22.263999999999996</x:v>
      </x:c>
      <x:c r="K19" s="59" t="n">
        <x:f>'19_BCTC_du_an_5N'!I19</x:f>
        <x:v>-50.09602061849098</x:v>
      </x:c>
      <x:c r="L19" s="59" t="n">
        <x:f>'19_BCTC_du_an_5N'!J19</x:f>
        <x:v>34.018516719492425</x:v>
      </x:c>
      <x:c r="M19" s="59" t="n">
        <x:f>'19_BCTC_du_an_5N'!K19</x:f>
        <x:v>-84.11453733798344</x:v>
      </x:c>
      <x:c r="N19" s="59" t="n">
        <x:f>'18_Mo_hinh_60T'!T195</x:f>
        <x:v>0</x:v>
      </x:c>
      <x:c r="O19" s="59" t="n">
        <x:f>'19_BCTC_du_an_5N'!C19*'17_Gia_dinh_mo_hinh'!$W$7/365</x:f>
        <x:v>97.04109589041094</x:v>
      </x:c>
      <x:c r="P19" s="59" t="n">
        <x:f>MAX('17_Gia_dinh_mo_hinh'!$K$7*'17_Gia_dinh_mo_hinh'!$Y$7,'17_Gia_dinh_mo_hinh'!$K$7*MAX(0,1-B19/5)*0.50)</x:f>
        <x:v>3360</x:v>
      </x:c>
      <x:c r="Q19" s="59" t="n">
        <x:f>'19_BCTC_du_an_5N'!C19*'17_Gia_dinh_mo_hinh'!$AC$7</x:f>
        <x:v>25.299999999999997</x:v>
      </x:c>
      <x:c r="R19" s="59" t="n">
        <x:f>MAX(0,'17_Gia_dinh_mo_hinh'!$Z$7+SUMIFS('19_BCTC_du_an_5N'!$M$4:$M$33,'19_BCTC_du_an_5N'!$A$4:$A$33,A19,'19_BCTC_du_an_5N'!$B$4:$B$33,"&lt;="&amp;B19)*0.08-'17_Gia_dinh_mo_hinh'!$Z$7*'17_Gia_dinh_mo_hinh'!$AA$7*B19)</x:f>
        <x:v>532.56</x:v>
      </x:c>
      <x:c r="S19" s="59" t="n">
        <x:f>0.03*'17_Gia_dinh_mo_hinh'!$K$7</x:f>
        <x:v>252</x:v>
      </x:c>
      <x:c r="T19" s="59" t="n">
        <x:f>SUM(N19:S19)</x:f>
        <x:v>4266.901095890411</x:v>
      </x:c>
      <x:c r="U19" s="59" t="n">
        <x:f>'19_BCTC_du_an_5N'!D19*'17_Gia_dinh_mo_hinh'!$X$7/365</x:f>
        <x:v>95.65479452054791</x:v>
      </x:c>
      <x:c r="V19" s="59" t="n">
        <x:f>MAX(0,'19_BCTC_du_an_5N'!L19-'19_BCTC_du_an_5N'!C19)</x:f>
        <x:v>1948.1000000000001</x:v>
      </x:c>
      <x:c r="W19" s="59" t="n">
        <x:f>0.25*'19_BCTC_du_an_5N'!J19</x:f>
        <x:v>8.504629179873106</x:v>
      </x:c>
      <x:c r="X19" s="59" t="n">
        <x:f>'19_BCTC_du_an_5N'!C19*'17_Gia_dinh_mo_hinh'!$AD$7</x:f>
        <x:v>35.419999999999995</x:v>
      </x:c>
      <x:c r="Y19" s="59" t="n">
        <x:f>0.35*'18_Mo_hinh_60T'!S195</x:f>
        <x:v>1250.8070880682942</x:v>
      </x:c>
      <x:c r="Z19" s="59" t="n">
        <x:f>0.65*'18_Mo_hinh_60T'!S195</x:f>
        <x:v>2322.9274492696895</x:v>
      </x:c>
      <x:c r="AA19" s="59" t="n">
        <x:f>SUM(U19:Z19)</x:f>
        <x:v>5661.413961038405</x:v>
      </x:c>
      <x:c r="AB19" s="59" t="n">
        <x:f>'17_Gia_dinh_mo_hinh'!$AB$7</x:f>
        <x:v>2500</x:v>
      </x:c>
      <x:c r="AC19" s="59" t="n">
        <x:f>'19_BCTC_du_an_5N'!K19</x:f>
        <x:v>-84.11453733798344</x:v>
      </x:c>
      <x:c r="AD19" s="59" t="n">
        <x:f>T19-AA19</x:f>
        <x:v>-1394.5128651479945</x:v>
      </x:c>
      <x:c r="AE19" s="59" t="n">
        <x:f>T19</x:f>
        <x:v>4266.901095890411</x:v>
      </x:c>
      <x:c r="AF19" s="59" t="n">
        <x:f>'19_BCTC_du_an_5N'!L19-'19_BCTC_du_an_5N'!F19-'19_BCTC_du_an_5N'!G19-'19_BCTC_du_an_5N'!J19-'19_BCTC_du_an_5N'!H19-0.15*'19_BCTC_du_an_5N'!M19</x:f>
        <x:v>2062.4654626620168</x:v>
      </x:c>
      <x:c r="AG19" s="59" t="n">
        <x:f>-0.85*'19_BCTC_du_an_5N'!M19</x:f>
        <x:v>-2832.1999999999994</x:v>
      </x:c>
      <x:c r="AH19" s="59" t="n">
        <x:f>'19_BCTC_du_an_5N'!N19-MAX(0,'19_BCTC_du_an_5N'!K19)*'17_Gia_dinh_mo_hinh'!$AE$7</x:f>
        <x:v>549.7345373379842</x:v>
      </x:c>
      <x:c r="AI19" s="59" t="n">
        <x:f>SUM(AF19:AH19)</x:f>
        <x:v>-219.9999999999984</x:v>
      </x:c>
    </x:row>
    <x:row r="20">
      <x:c r="A20" t="str">
        <x:v>DA04</x:v>
      </x:c>
      <x:c r="B20" t="n">
        <x:v>2</x:v>
      </x:c>
      <x:c r="C20" s="59" t="n">
        <x:f>'19_BCTC_du_an_5N'!C20</x:f>
        <x:v>4047.999999999998</x:v>
      </x:c>
      <x:c r="D20" s="59" t="n">
        <x:f>'19_BCTC_du_an_5N'!D20</x:f>
        <x:v>2793.119999999999</x:v>
      </x:c>
      <x:c r="E20" s="59" t="n">
        <x:f>C20-D20</x:f>
        <x:v>1254.8799999999992</x:v>
      </x:c>
      <x:c r="F20" s="59" t="n">
        <x:f>0</x:f>
        <x:v>0</x:v>
      </x:c>
      <x:c r="G20" s="59" t="n">
        <x:f>'19_BCTC_du_an_5N'!H20</x:f>
        <x:v>333.29971460904017</x:v>
      </x:c>
      <x:c r="H20" s="59" t="n">
        <x:f>'19_BCTC_du_an_5N'!H20</x:f>
        <x:v>333.29971460904017</x:v>
      </x:c>
      <x:c r="I20" s="59" t="n">
        <x:f>'19_BCTC_du_an_5N'!F20</x:f>
        <x:v>161.91999999999996</x:v>
      </x:c>
      <x:c r="J20" s="59" t="n">
        <x:f>'19_BCTC_du_an_5N'!G20</x:f>
        <x:v>89.05599999999998</x:v>
      </x:c>
      <x:c r="K20" s="59" t="n">
        <x:f>'19_BCTC_du_an_5N'!I20</x:f>
        <x:v>670.6042853909598</x:v>
      </x:c>
      <x:c r="L20" s="59" t="n">
        <x:f>'19_BCTC_du_an_5N'!J20</x:f>
        <x:v>134.120857078192</x:v>
      </x:c>
      <x:c r="M20" s="59" t="n">
        <x:f>'19_BCTC_du_an_5N'!K20</x:f>
        <x:v>536.4834283127677</x:v>
      </x:c>
      <x:c r="N20" s="59" t="n">
        <x:f>'18_Mo_hinh_60T'!T207</x:f>
        <x:v>0</x:v>
      </x:c>
      <x:c r="O20" s="59" t="n">
        <x:f>'19_BCTC_du_an_5N'!C20*'17_Gia_dinh_mo_hinh'!$W$7/365</x:f>
        <x:v>388.16438356164366</x:v>
      </x:c>
      <x:c r="P20" s="59" t="n">
        <x:f>MAX('17_Gia_dinh_mo_hinh'!$K$7*'17_Gia_dinh_mo_hinh'!$Y$7,'17_Gia_dinh_mo_hinh'!$K$7*MAX(0,1-B20/5)*0.50)</x:f>
        <x:v>2520</x:v>
      </x:c>
      <x:c r="Q20" s="59" t="n">
        <x:f>'19_BCTC_du_an_5N'!C20*'17_Gia_dinh_mo_hinh'!$AC$7</x:f>
        <x:v>101.19999999999996</x:v>
      </x:c>
      <x:c r="R20" s="59" t="n">
        <x:f>MAX(0,'17_Gia_dinh_mo_hinh'!$Z$7+SUMIFS('19_BCTC_du_an_5N'!$M$4:$M$33,'19_BCTC_du_an_5N'!$A$4:$A$33,A20,'19_BCTC_du_an_5N'!$B$4:$B$33,"&lt;="&amp;B20)*0.08-'17_Gia_dinh_mo_hinh'!$Z$7*'17_Gia_dinh_mo_hinh'!$AA$7*B20)</x:f>
        <x:v>651.84</x:v>
      </x:c>
      <x:c r="S20" s="59" t="n">
        <x:f>0.03*'17_Gia_dinh_mo_hinh'!$K$7</x:f>
        <x:v>252</x:v>
      </x:c>
      <x:c r="T20" s="59" t="n">
        <x:f>SUM(N20:S20)</x:f>
        <x:v>3913.2043835616437</x:v>
      </x:c>
      <x:c r="U20" s="59" t="n">
        <x:f>'19_BCTC_du_an_5N'!D20*'17_Gia_dinh_mo_hinh'!$X$7/365</x:f>
        <x:v>382.61917808219164</x:v>
      </x:c>
      <x:c r="V20" s="59" t="n">
        <x:f>MAX(0,'19_BCTC_du_an_5N'!L20-'19_BCTC_du_an_5N'!C20)</x:f>
        <x:v>0</x:v>
      </x:c>
      <x:c r="W20" s="59" t="n">
        <x:f>0.25*'19_BCTC_du_an_5N'!J20</x:f>
        <x:v>33.530214269548</x:v>
      </x:c>
      <x:c r="X20" s="59" t="n">
        <x:f>'19_BCTC_du_an_5N'!C20*'17_Gia_dinh_mo_hinh'!$AD$7</x:f>
        <x:v>141.67999999999995</x:v>
      </x:c>
      <x:c r="Y20" s="59" t="n">
        <x:f>0.35*'18_Mo_hinh_60T'!S207</x:f>
        <x:v>914.6129371800904</x:v>
      </x:c>
      <x:c r="Z20" s="59" t="n">
        <x:f>0.65*'18_Mo_hinh_60T'!S207</x:f>
        <x:v>1698.5668833344537</x:v>
      </x:c>
      <x:c r="AA20" s="59" t="n">
        <x:f>SUM(U20:Z20)</x:f>
        <x:v>3171.0092128662836</x:v>
      </x:c>
      <x:c r="AB20" s="59" t="n">
        <x:f>'17_Gia_dinh_mo_hinh'!$AB$7</x:f>
        <x:v>2500</x:v>
      </x:c>
      <x:c r="AC20" s="59" t="n">
        <x:f>AC19+'19_BCTC_du_an_5N'!K20-MAX(0,'19_BCTC_du_an_5N'!K20)*'17_Gia_dinh_mo_hinh'!$AE$7</x:f>
        <x:v>398.7205481435075</x:v>
      </x:c>
      <x:c r="AD20" s="59" t="n">
        <x:f>T20-AA20</x:f>
        <x:v>742.19517069536</x:v>
      </x:c>
      <x:c r="AE20" s="59" t="n">
        <x:f>T20</x:f>
        <x:v>3913.2043835616437</x:v>
      </x:c>
      <x:c r="AF20" s="59" t="n">
        <x:f>'19_BCTC_du_an_5N'!L20-'19_BCTC_du_an_5N'!F20-'19_BCTC_du_an_5N'!G20-'19_BCTC_du_an_5N'!J20-'19_BCTC_du_an_5N'!H20-0.15*'19_BCTC_du_an_5N'!M20</x:f>
        <x:v>2067.7034283127673</x:v>
      </x:c>
      <x:c r="AG20" s="59" t="n">
        <x:f>-0.85*'19_BCTC_du_an_5N'!M20</x:f>
        <x:v>-1416.1000000000001</x:v>
      </x:c>
      <x:c r="AH20" s="59" t="n">
        <x:f>'19_BCTC_du_an_5N'!N20-MAX(0,'19_BCTC_du_an_5N'!K20)*'17_Gia_dinh_mo_hinh'!$AE$7</x:f>
        <x:v>-1014.2030596547164</x:v>
      </x:c>
      <x:c r="AI20" s="59" t="n">
        <x:f>SUM(AF20:AH20)</x:f>
        <x:v>-362.59963134194925</x:v>
      </x:c>
    </x:row>
    <x:row r="21">
      <x:c r="A21" t="str">
        <x:v>DA04</x:v>
      </x:c>
      <x:c r="B21" t="n">
        <x:v>3</x:v>
      </x:c>
      <x:c r="C21" s="59" t="n">
        <x:f>'19_BCTC_du_an_5N'!C21</x:f>
        <x:v>1011.9999999999998</x:v>
      </x:c>
      <x:c r="D21" s="59" t="n">
        <x:f>'19_BCTC_du_an_5N'!D21</x:f>
        <x:v>698.2799999999997</x:v>
      </x:c>
      <x:c r="E21" s="59" t="n">
        <x:f>C21-D21</x:f>
        <x:v>313.72</x:v>
      </x:c>
      <x:c r="F21" s="59" t="n">
        <x:f>0</x:f>
        <x:v>0</x:v>
      </x:c>
      <x:c r="G21" s="59" t="n">
        <x:f>'19_BCTC_du_an_5N'!H21</x:f>
        <x:v>260.7234619034984</x:v>
      </x:c>
      <x:c r="H21" s="59" t="n">
        <x:f>'19_BCTC_du_an_5N'!H21</x:f>
        <x:v>260.7234619034984</x:v>
      </x:c>
      <x:c r="I21" s="59" t="n">
        <x:f>'19_BCTC_du_an_5N'!F21</x:f>
        <x:v>40.47999999999999</x:v>
      </x:c>
      <x:c r="J21" s="59" t="n">
        <x:f>'19_BCTC_du_an_5N'!G21</x:f>
        <x:v>22.263999999999996</x:v>
      </x:c>
      <x:c r="K21" s="59" t="n">
        <x:f>'19_BCTC_du_an_5N'!I21</x:f>
        <x:v>-9.74746190349844</x:v>
      </x:c>
      <x:c r="L21" s="59" t="n">
        <x:f>'19_BCTC_du_an_5N'!J21</x:f>
        <x:v>37.76572993044073</x:v>
      </x:c>
      <x:c r="M21" s="59" t="n">
        <x:f>'19_BCTC_du_an_5N'!K21</x:f>
        <x:v>-47.51319183393912</x:v>
      </x:c>
      <x:c r="N21" s="59" t="n">
        <x:f>'18_Mo_hinh_60T'!T219</x:f>
        <x:v>0</x:v>
      </x:c>
      <x:c r="O21" s="59" t="n">
        <x:f>'19_BCTC_du_an_5N'!C21*'17_Gia_dinh_mo_hinh'!$W$7/365</x:f>
        <x:v>97.04109589041094</x:v>
      </x:c>
      <x:c r="P21" s="59" t="n">
        <x:f>MAX('17_Gia_dinh_mo_hinh'!$K$7*'17_Gia_dinh_mo_hinh'!$Y$7,'17_Gia_dinh_mo_hinh'!$K$7*MAX(0,1-B21/5)*0.50)</x:f>
        <x:v>1680</x:v>
      </x:c>
      <x:c r="Q21" s="59" t="n">
        <x:f>'19_BCTC_du_an_5N'!C21*'17_Gia_dinh_mo_hinh'!$AC$7</x:f>
        <x:v>25.299999999999997</x:v>
      </x:c>
      <x:c r="R21" s="59" t="n">
        <x:f>MAX(0,'17_Gia_dinh_mo_hinh'!$Z$7+SUMIFS('19_BCTC_du_an_5N'!$M$4:$M$33,'19_BCTC_du_an_5N'!$A$4:$A$33,A21,'19_BCTC_du_an_5N'!$B$4:$B$33,"&lt;="&amp;B21)*0.08-'17_Gia_dinh_mo_hinh'!$Z$7*'17_Gia_dinh_mo_hinh'!$AA$7*B21)</x:f>
        <x:v>637.84</x:v>
      </x:c>
      <x:c r="S21" s="59" t="n">
        <x:f>0.03*'17_Gia_dinh_mo_hinh'!$K$7</x:f>
        <x:v>252</x:v>
      </x:c>
      <x:c r="T21" s="59" t="n">
        <x:f>SUM(N21:S21)</x:f>
        <x:v>2692.181095890411</x:v>
      </x:c>
      <x:c r="U21" s="59" t="n">
        <x:f>'19_BCTC_du_an_5N'!D21*'17_Gia_dinh_mo_hinh'!$X$7/365</x:f>
        <x:v>95.65479452054791</x:v>
      </x:c>
      <x:c r="V21" s="59" t="n">
        <x:f>MAX(0,'19_BCTC_du_an_5N'!L21-'19_BCTC_du_an_5N'!C21)</x:f>
        <x:v>0</x:v>
      </x:c>
      <x:c r="W21" s="59" t="n">
        <x:f>0.25*'19_BCTC_du_an_5N'!J21</x:f>
        <x:v>9.441432482610182</x:v>
      </x:c>
      <x:c r="X21" s="59" t="n">
        <x:f>'19_BCTC_du_an_5N'!C21*'17_Gia_dinh_mo_hinh'!$AD$7</x:f>
        <x:v>35.419999999999995</x:v>
      </x:c>
      <x:c r="Y21" s="59" t="n">
        <x:f>0.35*'18_Mo_hinh_60T'!S219</x:f>
        <x:v>1014.4795543219692</x:v>
      </x:c>
      <x:c r="Z21" s="59" t="n">
        <x:f>0.65*'18_Mo_hinh_60T'!S219</x:f>
        <x:v>1884.0334580265144</x:v>
      </x:c>
      <x:c r="AA21" s="59" t="n">
        <x:f>SUM(U21:Z21)</x:f>
        <x:v>3039.029239351642</x:v>
      </x:c>
      <x:c r="AB21" s="59" t="n">
        <x:f>'17_Gia_dinh_mo_hinh'!$AB$7</x:f>
        <x:v>2500</x:v>
      </x:c>
      <x:c r="AC21" s="59" t="n">
        <x:f>AC20+'19_BCTC_du_an_5N'!K21-MAX(0,'19_BCTC_du_an_5N'!K21)*'17_Gia_dinh_mo_hinh'!$AE$7</x:f>
        <x:v>351.20735630956835</x:v>
      </x:c>
      <x:c r="AD21" s="59" t="n">
        <x:f>T21-AA21</x:f>
        <x:v>-346.84814346123085</x:v>
      </x:c>
      <x:c r="AE21" s="59" t="n">
        <x:f>T21</x:f>
        <x:v>2692.181095890411</x:v>
      </x:c>
      <x:c r="AF21" s="59" t="n">
        <x:f>'19_BCTC_du_an_5N'!L21-'19_BCTC_du_an_5N'!F21-'19_BCTC_du_an_5N'!G21-'19_BCTC_du_an_5N'!J21-'19_BCTC_du_an_5N'!H21-0.15*'19_BCTC_du_an_5N'!M21</x:f>
        <x:v>-285.3331918339391</x:v>
      </x:c>
      <x:c r="AG21" s="59" t="n">
        <x:f>-0.85*'19_BCTC_du_an_5N'!M21</x:f>
        <x:v>0</x:v>
      </x:c>
      <x:c r="AH21" s="59" t="n">
        <x:f>'19_BCTC_du_an_5N'!N21-MAX(0,'19_BCTC_du_an_5N'!K21)*'17_Gia_dinh_mo_hinh'!$AE$7</x:f>
        <x:v>285.3331918339391</x:v>
      </x:c>
      <x:c r="AI21" s="59" t="n">
        <x:f>SUM(AF21:AH21)</x:f>
        <x:v>0</x:v>
      </x:c>
    </x:row>
    <x:row r="22">
      <x:c r="A22" t="str">
        <x:v>DA04</x:v>
      </x:c>
      <x:c r="B22" t="n">
        <x:v>4</x:v>
      </x:c>
      <x:c r="C22" s="59" t="n">
        <x:f>'19_BCTC_du_an_5N'!C22</x:f>
        <x:v>0</x:v>
      </x:c>
      <x:c r="D22" s="59" t="n">
        <x:f>'19_BCTC_du_an_5N'!D22</x:f>
        <x:v>0</x:v>
      </x:c>
      <x:c r="E22" s="59" t="n">
        <x:f>C22-D22</x:f>
        <x:v>0</x:v>
      </x:c>
      <x:c r="F22" s="59" t="n">
        <x:f>0</x:f>
        <x:v>0</x:v>
      </x:c>
      <x:c r="G22" s="59" t="n">
        <x:f>'19_BCTC_du_an_5N'!H22</x:f>
        <x:v>287.67041390295435</x:v>
      </x:c>
      <x:c r="H22" s="59" t="n">
        <x:f>'19_BCTC_du_an_5N'!H22</x:f>
        <x:v>287.67041390295435</x:v>
      </x:c>
      <x:c r="I22" s="59" t="n">
        <x:f>'19_BCTC_du_an_5N'!F22</x:f>
        <x:v>0</x:v>
      </x:c>
      <x:c r="J22" s="59" t="n">
        <x:f>'19_BCTC_du_an_5N'!G22</x:f>
        <x:v>0</x:v>
      </x:c>
      <x:c r="K22" s="59" t="n">
        <x:f>'19_BCTC_du_an_5N'!I22</x:f>
        <x:v>-287.67041390295435</x:v>
      </x:c>
      <x:c r="L22" s="59" t="n">
        <x:f>'19_BCTC_du_an_5N'!J22</x:f>
        <x:v>0</x:v>
      </x:c>
      <x:c r="M22" s="59" t="n">
        <x:f>'19_BCTC_du_an_5N'!K22</x:f>
        <x:v>-287.67041390295435</x:v>
      </x:c>
      <x:c r="N22" s="59" t="n">
        <x:f>'18_Mo_hinh_60T'!T231</x:f>
        <x:v>0</x:v>
      </x:c>
      <x:c r="O22" s="59" t="n">
        <x:f>'19_BCTC_du_an_5N'!C22*'17_Gia_dinh_mo_hinh'!$W$7/365</x:f>
        <x:v>0</x:v>
      </x:c>
      <x:c r="P22" s="59" t="n">
        <x:f>MAX('17_Gia_dinh_mo_hinh'!$K$7*'17_Gia_dinh_mo_hinh'!$Y$7,'17_Gia_dinh_mo_hinh'!$K$7*MAX(0,1-B22/5)*0.50)</x:f>
        <x:v>839.9999999999998</x:v>
      </x:c>
      <x:c r="Q22" s="59" t="n">
        <x:f>'19_BCTC_du_an_5N'!C22*'17_Gia_dinh_mo_hinh'!$AC$7</x:f>
        <x:v>0</x:v>
      </x:c>
      <x:c r="R22" s="59" t="n">
        <x:f>MAX(0,'17_Gia_dinh_mo_hinh'!$Z$7+SUMIFS('19_BCTC_du_an_5N'!$M$4:$M$33,'19_BCTC_du_an_5N'!$A$4:$A$33,A22,'19_BCTC_du_an_5N'!$B$4:$B$33,"&lt;="&amp;B22)*0.08-'17_Gia_dinh_mo_hinh'!$Z$7*'17_Gia_dinh_mo_hinh'!$AA$7*B22)</x:f>
        <x:v>623.84</x:v>
      </x:c>
      <x:c r="S22" s="59" t="n">
        <x:f>0.03*'17_Gia_dinh_mo_hinh'!$K$7</x:f>
        <x:v>252</x:v>
      </x:c>
      <x:c r="T22" s="59" t="n">
        <x:f>SUM(N22:S22)</x:f>
        <x:v>1715.8399999999997</x:v>
      </x:c>
      <x:c r="U22" s="59" t="n">
        <x:f>'19_BCTC_du_an_5N'!D22*'17_Gia_dinh_mo_hinh'!$X$7/365</x:f>
        <x:v>0</x:v>
      </x:c>
      <x:c r="V22" s="59" t="n">
        <x:f>MAX(0,'19_BCTC_du_an_5N'!L22-'19_BCTC_du_an_5N'!C22)</x:f>
        <x:v>0</x:v>
      </x:c>
      <x:c r="W22" s="59" t="n">
        <x:f>0.25*'19_BCTC_du_an_5N'!J22</x:f>
        <x:v>0</x:v>
      </x:c>
      <x:c r="X22" s="59" t="n">
        <x:f>'19_BCTC_du_an_5N'!C22*'17_Gia_dinh_mo_hinh'!$AD$7</x:f>
        <x:v>0</x:v>
      </x:c>
      <x:c r="Y22" s="59" t="n">
        <x:f>0.35*'18_Mo_hinh_60T'!S231</x:f>
        <x:v>1115.164199188003</x:v>
      </x:c>
      <x:c r="Z22" s="59" t="n">
        <x:f>0.65*'18_Mo_hinh_60T'!S231</x:f>
        <x:v>2071.0192270634343</x:v>
      </x:c>
      <x:c r="AA22" s="59" t="n">
        <x:f>SUM(U22:Z22)</x:f>
        <x:v>3186.1834262514376</x:v>
      </x:c>
      <x:c r="AB22" s="59" t="n">
        <x:f>'17_Gia_dinh_mo_hinh'!$AB$7</x:f>
        <x:v>2500</x:v>
      </x:c>
      <x:c r="AC22" s="59" t="n">
        <x:f>AC21+'19_BCTC_du_an_5N'!K22-MAX(0,'19_BCTC_du_an_5N'!K22)*'17_Gia_dinh_mo_hinh'!$AE$7</x:f>
        <x:v>63.536942406614</x:v>
      </x:c>
      <x:c r="AD22" s="59" t="n">
        <x:f>T22-AA22</x:f>
        <x:v>-1470.343426251438</x:v>
      </x:c>
      <x:c r="AE22" s="59" t="n">
        <x:f>T22</x:f>
        <x:v>1715.8399999999997</x:v>
      </x:c>
      <x:c r="AF22" s="59" t="n">
        <x:f>'19_BCTC_du_an_5N'!L22-'19_BCTC_du_an_5N'!F22-'19_BCTC_du_an_5N'!G22-'19_BCTC_du_an_5N'!J22-'19_BCTC_du_an_5N'!H22-0.15*'19_BCTC_du_an_5N'!M22</x:f>
        <x:v>-287.67041390295435</x:v>
      </x:c>
      <x:c r="AG22" s="59" t="n">
        <x:f>-0.85*'19_BCTC_du_an_5N'!M22</x:f>
        <x:v>0</x:v>
      </x:c>
      <x:c r="AH22" s="59" t="n">
        <x:f>'19_BCTC_du_an_5N'!N22-MAX(0,'19_BCTC_du_an_5N'!K22)*'17_Gia_dinh_mo_hinh'!$AE$7</x:f>
        <x:v>287.67041390295435</x:v>
      </x:c>
      <x:c r="AI22" s="59" t="n">
        <x:f>SUM(AF22:AH22)</x:f>
        <x:v>0</x:v>
      </x:c>
    </x:row>
    <x:row r="23">
      <x:c r="A23" t="str">
        <x:v>DA04</x:v>
      </x:c>
      <x:c r="B23" t="n">
        <x:v>5</x:v>
      </x:c>
      <x:c r="C23" s="59" t="n">
        <x:f>'19_BCTC_du_an_5N'!C23</x:f>
        <x:v>0</x:v>
      </x:c>
      <x:c r="D23" s="59" t="n">
        <x:f>'19_BCTC_du_an_5N'!D23</x:f>
        <x:v>0</x:v>
      </x:c>
      <x:c r="E23" s="59" t="n">
        <x:f>C23-D23</x:f>
        <x:v>0</x:v>
      </x:c>
      <x:c r="F23" s="59" t="n">
        <x:f>0</x:f>
        <x:v>0</x:v>
      </x:c>
      <x:c r="G23" s="59" t="n">
        <x:f>'19_BCTC_du_an_5N'!H23</x:f>
        <x:v>316.2210074944064</x:v>
      </x:c>
      <x:c r="H23" s="59" t="n">
        <x:f>'19_BCTC_du_an_5N'!H23</x:f>
        <x:v>316.2210074944064</x:v>
      </x:c>
      <x:c r="I23" s="59" t="n">
        <x:f>'19_BCTC_du_an_5N'!F23</x:f>
        <x:v>0</x:v>
      </x:c>
      <x:c r="J23" s="59" t="n">
        <x:f>'19_BCTC_du_an_5N'!G23</x:f>
        <x:v>0</x:v>
      </x:c>
      <x:c r="K23" s="59" t="n">
        <x:f>'19_BCTC_du_an_5N'!I23</x:f>
        <x:v>-316.2210074944064</x:v>
      </x:c>
      <x:c r="L23" s="59" t="n">
        <x:f>'19_BCTC_du_an_5N'!J23</x:f>
        <x:v>0</x:v>
      </x:c>
      <x:c r="M23" s="59" t="n">
        <x:f>'19_BCTC_du_an_5N'!K23</x:f>
        <x:v>-316.2210074944064</x:v>
      </x:c>
      <x:c r="N23" s="59" t="n">
        <x:f>'18_Mo_hinh_60T'!T243</x:f>
        <x:v>0</x:v>
      </x:c>
      <x:c r="O23" s="59" t="n">
        <x:f>'19_BCTC_du_an_5N'!C23*'17_Gia_dinh_mo_hinh'!$W$7/365</x:f>
        <x:v>0</x:v>
      </x:c>
      <x:c r="P23" s="59" t="n">
        <x:f>MAX('17_Gia_dinh_mo_hinh'!$K$7*'17_Gia_dinh_mo_hinh'!$Y$7,'17_Gia_dinh_mo_hinh'!$K$7*MAX(0,1-B23/5)*0.50)</x:f>
        <x:v>504</x:v>
      </x:c>
      <x:c r="Q23" s="59" t="n">
        <x:f>'19_BCTC_du_an_5N'!C23*'17_Gia_dinh_mo_hinh'!$AC$7</x:f>
        <x:v>0</x:v>
      </x:c>
      <x:c r="R23" s="59" t="n">
        <x:f>MAX(0,'17_Gia_dinh_mo_hinh'!$Z$7+SUMIFS('19_BCTC_du_an_5N'!$M$4:$M$33,'19_BCTC_du_an_5N'!$A$4:$A$33,A23,'19_BCTC_du_an_5N'!$B$4:$B$33,"&lt;="&amp;B23)*0.08-'17_Gia_dinh_mo_hinh'!$Z$7*'17_Gia_dinh_mo_hinh'!$AA$7*B23)</x:f>
        <x:v>609.84</x:v>
      </x:c>
      <x:c r="S23" s="59" t="n">
        <x:f>0.03*'17_Gia_dinh_mo_hinh'!$K$7</x:f>
        <x:v>252</x:v>
      </x:c>
      <x:c r="T23" s="59" t="n">
        <x:f>SUM(N23:S23)</x:f>
        <x:v>1365.8400000000001</x:v>
      </x:c>
      <x:c r="U23" s="59" t="n">
        <x:f>'19_BCTC_du_an_5N'!D23*'17_Gia_dinh_mo_hinh'!$X$7/365</x:f>
        <x:v>0</x:v>
      </x:c>
      <x:c r="V23" s="59" t="n">
        <x:f>MAX(0,'19_BCTC_du_an_5N'!L23-'19_BCTC_du_an_5N'!C23)</x:f>
        <x:v>0</x:v>
      </x:c>
      <x:c r="W23" s="59" t="n">
        <x:f>0.25*'19_BCTC_du_an_5N'!J23</x:f>
        <x:v>0</x:v>
      </x:c>
      <x:c r="X23" s="59" t="n">
        <x:f>'19_BCTC_du_an_5N'!C23*'17_Gia_dinh_mo_hinh'!$AD$7</x:f>
        <x:v>0</x:v>
      </x:c>
      <x:c r="Y23" s="59" t="n">
        <x:f>0.35*'18_Mo_hinh_60T'!S243</x:f>
        <x:v>1225.841551811045</x:v>
      </x:c>
      <x:c r="Z23" s="59" t="n">
        <x:f>0.65*'18_Mo_hinh_60T'!S243</x:f>
        <x:v>2276.5628819347985</x:v>
      </x:c>
      <x:c r="AA23" s="59" t="n">
        <x:f>SUM(U23:Z23)</x:f>
        <x:v>3502.4044337458436</x:v>
      </x:c>
      <x:c r="AB23" s="59" t="n">
        <x:f>'17_Gia_dinh_mo_hinh'!$AB$7</x:f>
        <x:v>2500</x:v>
      </x:c>
      <x:c r="AC23" s="59" t="n">
        <x:f>AC22+'19_BCTC_du_an_5N'!K23-MAX(0,'19_BCTC_du_an_5N'!K23)*'17_Gia_dinh_mo_hinh'!$AE$7</x:f>
        <x:v>-252.68406508779242</x:v>
      </x:c>
      <x:c r="AD23" s="59" t="n">
        <x:f>T23-AA23</x:f>
        <x:v>-2136.5644337458434</x:v>
      </x:c>
      <x:c r="AE23" s="59" t="n">
        <x:f>T23</x:f>
        <x:v>1365.8400000000001</x:v>
      </x:c>
      <x:c r="AF23" s="59" t="n">
        <x:f>'19_BCTC_du_an_5N'!L23-'19_BCTC_du_an_5N'!F23-'19_BCTC_du_an_5N'!G23-'19_BCTC_du_an_5N'!J23-'19_BCTC_du_an_5N'!H23-0.15*'19_BCTC_du_an_5N'!M23</x:f>
        <x:v>-316.2210074944064</x:v>
      </x:c>
      <x:c r="AG23" s="59" t="n">
        <x:f>-0.85*'19_BCTC_du_an_5N'!M23</x:f>
        <x:v>0</x:v>
      </x:c>
      <x:c r="AH23" s="59" t="n">
        <x:f>'19_BCTC_du_an_5N'!N23-MAX(0,'19_BCTC_du_an_5N'!K23)*'17_Gia_dinh_mo_hinh'!$AE$7</x:f>
        <x:v>316.2210074944064</x:v>
      </x:c>
      <x:c r="AI23" s="59" t="n">
        <x:f>SUM(AF23:AH23)</x:f>
        <x:v>0</x:v>
      </x:c>
    </x:row>
    <x:row r="24">
      <x:c r="A24" t="str">
        <x:v>DA05</x:v>
      </x:c>
      <x:c r="B24" t="n">
        <x:v>1</x:v>
      </x:c>
      <x:c r="C24" s="59" t="n">
        <x:f>'19_BCTC_du_an_5N'!C24</x:f>
        <x:v>845.9999999999999</x:v>
      </x:c>
      <x:c r="D24" s="59" t="n">
        <x:f>'19_BCTC_du_an_5N'!D24</x:f>
        <x:v>600.6599999999996</x:v>
      </x:c>
      <x:c r="E24" s="59" t="n">
        <x:f>C24-D24</x:f>
        <x:v>245.34000000000026</x:v>
      </x:c>
      <x:c r="F24" s="59" t="n">
        <x:f>0</x:f>
        <x:v>0</x:v>
      </x:c>
      <x:c r="G24" s="59" t="n">
        <x:f>'19_BCTC_du_an_5N'!H24</x:f>
        <x:v>249.18122825684782</x:v>
      </x:c>
      <x:c r="H24" s="59" t="n">
        <x:f>'19_BCTC_du_an_5N'!H24</x:f>
        <x:v>249.18122825684782</x:v>
      </x:c>
      <x:c r="I24" s="59" t="n">
        <x:f>'19_BCTC_du_an_5N'!F24</x:f>
        <x:v>21.14999999999999</x:v>
      </x:c>
      <x:c r="J24" s="59" t="n">
        <x:f>'19_BCTC_du_an_5N'!G24</x:f>
        <x:v>15.227999999999996</x:v>
      </x:c>
      <x:c r="K24" s="59" t="n">
        <x:f>'19_BCTC_du_an_5N'!I24</x:f>
        <x:v>-40.219228256847835</x:v>
      </x:c>
      <x:c r="L24" s="59" t="n">
        <x:f>'19_BCTC_du_an_5N'!J24</x:f>
        <x:v>0</x:v>
      </x:c>
      <x:c r="M24" s="59" t="n">
        <x:f>'19_BCTC_du_an_5N'!K24</x:f>
        <x:v>-40.219228256847835</x:v>
      </x:c>
      <x:c r="N24" s="59" t="n">
        <x:f>'18_Mo_hinh_60T'!T255</x:f>
        <x:v>0</x:v>
      </x:c>
      <x:c r="O24" s="59" t="n">
        <x:f>'19_BCTC_du_an_5N'!C24*'17_Gia_dinh_mo_hinh'!$W$8/365</x:f>
        <x:v>69.53424657534245</x:v>
      </x:c>
      <x:c r="P24" s="59" t="n">
        <x:f>MAX('17_Gia_dinh_mo_hinh'!$K$8*'17_Gia_dinh_mo_hinh'!$Y$8,'17_Gia_dinh_mo_hinh'!$K$8*MAX(0,1-B24/5)*0.50)</x:f>
        <x:v>2480</x:v>
      </x:c>
      <x:c r="Q24" s="59" t="n">
        <x:f>'19_BCTC_du_an_5N'!C24*'17_Gia_dinh_mo_hinh'!$AC$8</x:f>
        <x:v>16.919999999999998</x:v>
      </x:c>
      <x:c r="R24" s="59" t="n">
        <x:f>MAX(0,'17_Gia_dinh_mo_hinh'!$Z$8+SUMIFS('19_BCTC_du_an_5N'!$M$4:$M$33,'19_BCTC_du_an_5N'!$A$4:$A$33,A24,'19_BCTC_du_an_5N'!$B$4:$B$33,"&lt;="&amp;B24)*0.08-'17_Gia_dinh_mo_hinh'!$Z$8*'17_Gia_dinh_mo_hinh'!$AA$8*B24)</x:f>
        <x:v>489.98</x:v>
      </x:c>
      <x:c r="S24" s="59" t="n">
        <x:f>0.03*'17_Gia_dinh_mo_hinh'!$K$8</x:f>
        <x:v>186</x:v>
      </x:c>
      <x:c r="T24" s="59" t="n">
        <x:f>SUM(N24:S24)</x:f>
        <x:v>3242.4342465753425</x:v>
      </x:c>
      <x:c r="U24" s="59" t="n">
        <x:f>'19_BCTC_du_an_5N'!D24*'17_Gia_dinh_mo_hinh'!$X$8/365</x:f>
        <x:v>74.05397260273968</x:v>
      </x:c>
      <x:c r="V24" s="59" t="n">
        <x:f>MAX(0,'19_BCTC_du_an_5N'!L24-'19_BCTC_du_an_5N'!C24)</x:f>
        <x:v>0</x:v>
      </x:c>
      <x:c r="W24" s="59" t="n">
        <x:f>0.25*'19_BCTC_du_an_5N'!J24</x:f>
        <x:v>0</x:v>
      </x:c>
      <x:c r="X24" s="59" t="n">
        <x:f>'19_BCTC_du_an_5N'!C24*'17_Gia_dinh_mo_hinh'!$AD$8</x:f>
        <x:v>25.379999999999995</x:v>
      </x:c>
      <x:c r="Y24" s="59" t="n">
        <x:f>0.35*'18_Mo_hinh_60T'!S255</x:f>
        <x:v>879.2937242629539</x:v>
      </x:c>
      <x:c r="Z24" s="59" t="n">
        <x:f>0.65*'18_Mo_hinh_60T'!S255</x:f>
        <x:v>1632.974059345486</x:v>
      </x:c>
      <x:c r="AA24" s="59" t="n">
        <x:f>SUM(U24:Z24)</x:f>
        <x:v>2611.7017562111796</x:v>
      </x:c>
      <x:c r="AB24" s="59" t="n">
        <x:f>'17_Gia_dinh_mo_hinh'!$AB$8</x:f>
        <x:v>2100</x:v>
      </x:c>
      <x:c r="AC24" s="59" t="n">
        <x:f>'19_BCTC_du_an_5N'!K24</x:f>
        <x:v>-40.219228256847835</x:v>
      </x:c>
      <x:c r="AD24" s="59" t="n">
        <x:f>T24-AA24</x:f>
        <x:v>630.7324903641629</x:v>
      </x:c>
      <x:c r="AE24" s="59" t="n">
        <x:f>T24</x:f>
        <x:v>3242.4342465753425</x:v>
      </x:c>
      <x:c r="AF24" s="59" t="n">
        <x:f>'19_BCTC_du_an_5N'!L24-'19_BCTC_du_an_5N'!F24-'19_BCTC_du_an_5N'!G24-'19_BCTC_du_an_5N'!J24-'19_BCTC_du_an_5N'!H24-0.15*'19_BCTC_du_an_5N'!M24</x:f>
        <x:v>244.0157717431522</x:v>
      </x:c>
      <x:c r="AG24" s="59" t="n">
        <x:f>-0.85*'19_BCTC_du_an_5N'!M24</x:f>
        <x:v>-1673.2249999999997</x:v>
      </x:c>
      <x:c r="AH24" s="59" t="n">
        <x:f>'19_BCTC_du_an_5N'!N24-MAX(0,'19_BCTC_du_an_5N'!K24)*'17_Gia_dinh_mo_hinh'!$AE$8</x:f>
        <x:v>280.26778360843963</x:v>
      </x:c>
      <x:c r="AI24" s="59" t="n">
        <x:f>SUM(AF24:AH24)</x:f>
        <x:v>-1148.9414446484077</x:v>
      </x:c>
    </x:row>
    <x:row r="25">
      <x:c r="A25" t="str">
        <x:v>DA05</x:v>
      </x:c>
      <x:c r="B25" t="n">
        <x:v>2</x:v>
      </x:c>
      <x:c r="C25" s="59" t="n">
        <x:f>'19_BCTC_du_an_5N'!C25</x:f>
        <x:v>0</x:v>
      </x:c>
      <x:c r="D25" s="59" t="n">
        <x:f>'19_BCTC_du_an_5N'!D25</x:f>
        <x:v>0</x:v>
      </x:c>
      <x:c r="E25" s="59" t="n">
        <x:f>C25-D25</x:f>
        <x:v>0</x:v>
      </x:c>
      <x:c r="F25" s="59" t="n">
        <x:f>0</x:f>
        <x:v>0</x:v>
      </x:c>
      <x:c r="G25" s="59" t="n">
        <x:f>'19_BCTC_du_an_5N'!H25</x:f>
        <x:v>247.42003129233825</x:v>
      </x:c>
      <x:c r="H25" s="59" t="n">
        <x:f>'19_BCTC_du_an_5N'!H25</x:f>
        <x:v>247.42003129233825</x:v>
      </x:c>
      <x:c r="I25" s="59" t="n">
        <x:f>'19_BCTC_du_an_5N'!F25</x:f>
        <x:v>0</x:v>
      </x:c>
      <x:c r="J25" s="59" t="n">
        <x:f>'19_BCTC_du_an_5N'!G25</x:f>
        <x:v>0</x:v>
      </x:c>
      <x:c r="K25" s="59" t="n">
        <x:f>'19_BCTC_du_an_5N'!I25</x:f>
        <x:v>-247.42003129233825</x:v>
      </x:c>
      <x:c r="L25" s="59" t="n">
        <x:f>'19_BCTC_du_an_5N'!J25</x:f>
        <x:v>0</x:v>
      </x:c>
      <x:c r="M25" s="59" t="n">
        <x:f>'19_BCTC_du_an_5N'!K25</x:f>
        <x:v>-247.42003129233825</x:v>
      </x:c>
      <x:c r="N25" s="59" t="n">
        <x:f>'18_Mo_hinh_60T'!T267</x:f>
        <x:v>0</x:v>
      </x:c>
      <x:c r="O25" s="59" t="n">
        <x:f>'19_BCTC_du_an_5N'!C25*'17_Gia_dinh_mo_hinh'!$W$8/365</x:f>
        <x:v>0</x:v>
      </x:c>
      <x:c r="P25" s="59" t="n">
        <x:f>MAX('17_Gia_dinh_mo_hinh'!$K$8*'17_Gia_dinh_mo_hinh'!$Y$8,'17_Gia_dinh_mo_hinh'!$K$8*MAX(0,1-B25/5)*0.50)</x:f>
        <x:v>1860</x:v>
      </x:c>
      <x:c r="Q25" s="59" t="n">
        <x:f>'19_BCTC_du_an_5N'!C25*'17_Gia_dinh_mo_hinh'!$AC$8</x:f>
        <x:v>0</x:v>
      </x:c>
      <x:c r="R25" s="59" t="n">
        <x:f>MAX(0,'17_Gia_dinh_mo_hinh'!$Z$8+SUMIFS('19_BCTC_du_an_5N'!$M$4:$M$33,'19_BCTC_du_an_5N'!$A$4:$A$33,A25,'19_BCTC_du_an_5N'!$B$4:$B$33,"&lt;="&amp;B25)*0.08-'17_Gia_dinh_mo_hinh'!$Z$8*'17_Gia_dinh_mo_hinh'!$AA$8*B25)</x:f>
        <x:v>472.48</x:v>
      </x:c>
      <x:c r="S25" s="59" t="n">
        <x:f>0.03*'17_Gia_dinh_mo_hinh'!$K$8</x:f>
        <x:v>186</x:v>
      </x:c>
      <x:c r="T25" s="59" t="n">
        <x:f>SUM(N25:S25)</x:f>
        <x:v>2518.48</x:v>
      </x:c>
      <x:c r="U25" s="59" t="n">
        <x:f>'19_BCTC_du_an_5N'!D25*'17_Gia_dinh_mo_hinh'!$X$8/365</x:f>
        <x:v>0</x:v>
      </x:c>
      <x:c r="V25" s="59" t="n">
        <x:f>MAX(0,'19_BCTC_du_an_5N'!L25-'19_BCTC_du_an_5N'!C25)</x:f>
        <x:v>21.14999999999999</x:v>
      </x:c>
      <x:c r="W25" s="59" t="n">
        <x:f>0.25*'19_BCTC_du_an_5N'!J25</x:f>
        <x:v>0</x:v>
      </x:c>
      <x:c r="X25" s="59" t="n">
        <x:f>'19_BCTC_du_an_5N'!C25*'17_Gia_dinh_mo_hinh'!$AD$8</x:f>
        <x:v>0</x:v>
      </x:c>
      <x:c r="Y25" s="59" t="n">
        <x:f>0.35*'18_Mo_hinh_60T'!S267</x:f>
        <x:v>958.4882352152727</x:v>
      </x:c>
      <x:c r="Z25" s="59" t="n">
        <x:f>0.65*'18_Mo_hinh_60T'!S267</x:f>
        <x:v>1780.0495796855066</x:v>
      </x:c>
      <x:c r="AA25" s="59" t="n">
        <x:f>SUM(U25:Z25)</x:f>
        <x:v>2759.6878149007794</x:v>
      </x:c>
      <x:c r="AB25" s="59" t="n">
        <x:f>'17_Gia_dinh_mo_hinh'!$AB$8</x:f>
        <x:v>2100</x:v>
      </x:c>
      <x:c r="AC25" s="59" t="n">
        <x:f>AC24+'19_BCTC_du_an_5N'!K25-MAX(0,'19_BCTC_du_an_5N'!K25)*'17_Gia_dinh_mo_hinh'!$AE$8</x:f>
        <x:v>-287.6392595491861</x:v>
      </x:c>
      <x:c r="AD25" s="59" t="n">
        <x:f>T25-AA25</x:f>
        <x:v>-241.20781490077934</x:v>
      </x:c>
      <x:c r="AE25" s="59" t="n">
        <x:f>T25</x:f>
        <x:v>2518.48</x:v>
      </x:c>
      <x:c r="AF25" s="59" t="n">
        <x:f>'19_BCTC_du_an_5N'!L25-'19_BCTC_du_an_5N'!F25-'19_BCTC_du_an_5N'!G25-'19_BCTC_du_an_5N'!J25-'19_BCTC_du_an_5N'!H25-0.15*'19_BCTC_du_an_5N'!M25</x:f>
        <x:v>-226.27003129233827</x:v>
      </x:c>
      <x:c r="AG25" s="59" t="n">
        <x:f>-0.85*'19_BCTC_du_an_5N'!M25</x:f>
        <x:v>0</x:v>
      </x:c>
      <x:c r="AH25" s="59" t="n">
        <x:f>'19_BCTC_du_an_5N'!N25-MAX(0,'19_BCTC_du_an_5N'!K25)*'17_Gia_dinh_mo_hinh'!$AE$8</x:f>
        <x:v>226.27003129233827</x:v>
      </x:c>
      <x:c r="AI25" s="59" t="n">
        <x:f>SUM(AF25:AH25)</x:f>
        <x:v>0</x:v>
      </x:c>
    </x:row>
    <x:row r="26">
      <x:c r="A26" t="str">
        <x:v>DA05</x:v>
      </x:c>
      <x:c r="B26" t="n">
        <x:v>3</x:v>
      </x:c>
      <x:c r="C26" s="59" t="n">
        <x:f>'19_BCTC_du_an_5N'!C26</x:f>
        <x:v>0</x:v>
      </x:c>
      <x:c r="D26" s="59" t="n">
        <x:f>'19_BCTC_du_an_5N'!D26</x:f>
        <x:v>0</x:v>
      </x:c>
      <x:c r="E26" s="59" t="n">
        <x:f>C26-D26</x:f>
        <x:v>0</x:v>
      </x:c>
      <x:c r="F26" s="59" t="n">
        <x:f>0</x:f>
        <x:v>0</x:v>
      </x:c>
      <x:c r="G26" s="59" t="n">
        <x:f>'19_BCTC_du_an_5N'!H26</x:f>
        <x:v>264.3440340355604</x:v>
      </x:c>
      <x:c r="H26" s="59" t="n">
        <x:f>'19_BCTC_du_an_5N'!H26</x:f>
        <x:v>264.3440340355604</x:v>
      </x:c>
      <x:c r="I26" s="59" t="n">
        <x:f>'19_BCTC_du_an_5N'!F26</x:f>
        <x:v>0</x:v>
      </x:c>
      <x:c r="J26" s="59" t="n">
        <x:f>'19_BCTC_du_an_5N'!G26</x:f>
        <x:v>0</x:v>
      </x:c>
      <x:c r="K26" s="59" t="n">
        <x:f>'19_BCTC_du_an_5N'!I26</x:f>
        <x:v>-264.3440340355604</x:v>
      </x:c>
      <x:c r="L26" s="59" t="n">
        <x:f>'19_BCTC_du_an_5N'!J26</x:f>
        <x:v>0</x:v>
      </x:c>
      <x:c r="M26" s="59" t="n">
        <x:f>'19_BCTC_du_an_5N'!K26</x:f>
        <x:v>-264.3440340355604</x:v>
      </x:c>
      <x:c r="N26" s="59" t="n">
        <x:f>'18_Mo_hinh_60T'!T279</x:f>
        <x:v>0</x:v>
      </x:c>
      <x:c r="O26" s="59" t="n">
        <x:f>'19_BCTC_du_an_5N'!C26*'17_Gia_dinh_mo_hinh'!$W$8/365</x:f>
        <x:v>0</x:v>
      </x:c>
      <x:c r="P26" s="59" t="n">
        <x:f>MAX('17_Gia_dinh_mo_hinh'!$K$8*'17_Gia_dinh_mo_hinh'!$Y$8,'17_Gia_dinh_mo_hinh'!$K$8*MAX(0,1-B26/5)*0.50)</x:f>
        <x:v>1240</x:v>
      </x:c>
      <x:c r="Q26" s="59" t="n">
        <x:f>'19_BCTC_du_an_5N'!C26*'17_Gia_dinh_mo_hinh'!$AC$8</x:f>
        <x:v>0</x:v>
      </x:c>
      <x:c r="R26" s="59" t="n">
        <x:f>MAX(0,'17_Gia_dinh_mo_hinh'!$Z$8+SUMIFS('19_BCTC_du_an_5N'!$M$4:$M$33,'19_BCTC_du_an_5N'!$A$4:$A$33,A26,'19_BCTC_du_an_5N'!$B$4:$B$33,"&lt;="&amp;B26)*0.08-'17_Gia_dinh_mo_hinh'!$Z$8*'17_Gia_dinh_mo_hinh'!$AA$8*B26)</x:f>
        <x:v>454.98</x:v>
      </x:c>
      <x:c r="S26" s="59" t="n">
        <x:f>0.03*'17_Gia_dinh_mo_hinh'!$K$8</x:f>
        <x:v>186</x:v>
      </x:c>
      <x:c r="T26" s="59" t="n">
        <x:f>SUM(N26:S26)</x:f>
        <x:v>1880.98</x:v>
      </x:c>
      <x:c r="U26" s="59" t="n">
        <x:f>'19_BCTC_du_an_5N'!D26*'17_Gia_dinh_mo_hinh'!$X$8/365</x:f>
        <x:v>0</x:v>
      </x:c>
      <x:c r="V26" s="59" t="n">
        <x:f>MAX(0,'19_BCTC_du_an_5N'!L26-'19_BCTC_du_an_5N'!C26)</x:f>
        <x:v>0</x:v>
      </x:c>
      <x:c r="W26" s="59" t="n">
        <x:f>0.25*'19_BCTC_du_an_5N'!J26</x:f>
        <x:v>0</x:v>
      </x:c>
      <x:c r="X26" s="59" t="n">
        <x:f>'19_BCTC_du_an_5N'!C26*'17_Gia_dinh_mo_hinh'!$AD$8</x:f>
        <x:v>0</x:v>
      </x:c>
      <x:c r="Y26" s="59" t="n">
        <x:f>0.35*'18_Mo_hinh_60T'!S279</x:f>
        <x:v>976.4999999999999</x:v>
      </x:c>
      <x:c r="Z26" s="59" t="n">
        <x:f>0.65*'18_Mo_hinh_60T'!S279</x:f>
        <x:v>1813.5</x:v>
      </x:c>
      <x:c r="AA26" s="59" t="n">
        <x:f>SUM(U26:Z26)</x:f>
        <x:v>2790</x:v>
      </x:c>
      <x:c r="AB26" s="59" t="n">
        <x:f>'17_Gia_dinh_mo_hinh'!$AB$8</x:f>
        <x:v>2100</x:v>
      </x:c>
      <x:c r="AC26" s="59" t="n">
        <x:f>AC25+'19_BCTC_du_an_5N'!K26-MAX(0,'19_BCTC_du_an_5N'!K26)*'17_Gia_dinh_mo_hinh'!$AE$8</x:f>
        <x:v>-551.9832935847464</x:v>
      </x:c>
      <x:c r="AD26" s="59" t="n">
        <x:f>T26-AA26</x:f>
        <x:v>-909.02</x:v>
      </x:c>
      <x:c r="AE26" s="59" t="n">
        <x:f>T26</x:f>
        <x:v>1880.98</x:v>
      </x:c>
      <x:c r="AF26" s="59" t="n">
        <x:f>'19_BCTC_du_an_5N'!L26-'19_BCTC_du_an_5N'!F26-'19_BCTC_du_an_5N'!G26-'19_BCTC_du_an_5N'!J26-'19_BCTC_du_an_5N'!H26-0.15*'19_BCTC_du_an_5N'!M26</x:f>
        <x:v>-264.3440340355604</x:v>
      </x:c>
      <x:c r="AG26" s="59" t="n">
        <x:f>-0.85*'19_BCTC_du_an_5N'!M26</x:f>
        <x:v>0</x:v>
      </x:c>
      <x:c r="AH26" s="59" t="n">
        <x:f>'19_BCTC_du_an_5N'!N26-MAX(0,'19_BCTC_du_an_5N'!K26)*'17_Gia_dinh_mo_hinh'!$AE$8</x:f>
        <x:v>51.462185099220974</x:v>
      </x:c>
      <x:c r="AI26" s="59" t="n">
        <x:f>SUM(AF26:AH26)</x:f>
        <x:v>-212.88184893633945</x:v>
      </x:c>
    </x:row>
    <x:row r="27">
      <x:c r="A27" t="str">
        <x:v>DA05</x:v>
      </x:c>
      <x:c r="B27" t="n">
        <x:v>4</x:v>
      </x:c>
      <x:c r="C27" s="59" t="n">
        <x:f>'19_BCTC_du_an_5N'!C27</x:f>
        <x:v>0</x:v>
      </x:c>
      <x:c r="D27" s="59" t="n">
        <x:f>'19_BCTC_du_an_5N'!D27</x:f>
        <x:v>0</x:v>
      </x:c>
      <x:c r="E27" s="59" t="n">
        <x:f>C27-D27</x:f>
        <x:v>0</x:v>
      </x:c>
      <x:c r="F27" s="59" t="n">
        <x:f>0</x:f>
        <x:v>0</x:v>
      </x:c>
      <x:c r="G27" s="59" t="n">
        <x:f>'19_BCTC_du_an_5N'!H27</x:f>
        <x:v>265.05</x:v>
      </x:c>
      <x:c r="H27" s="59" t="n">
        <x:f>'19_BCTC_du_an_5N'!H27</x:f>
        <x:v>265.05</x:v>
      </x:c>
      <x:c r="I27" s="59" t="n">
        <x:f>'19_BCTC_du_an_5N'!F27</x:f>
        <x:v>0</x:v>
      </x:c>
      <x:c r="J27" s="59" t="n">
        <x:f>'19_BCTC_du_an_5N'!G27</x:f>
        <x:v>0</x:v>
      </x:c>
      <x:c r="K27" s="59" t="n">
        <x:f>'19_BCTC_du_an_5N'!I27</x:f>
        <x:v>-265.05</x:v>
      </x:c>
      <x:c r="L27" s="59" t="n">
        <x:f>'19_BCTC_du_an_5N'!J27</x:f>
        <x:v>0</x:v>
      </x:c>
      <x:c r="M27" s="59" t="n">
        <x:f>'19_BCTC_du_an_5N'!K27</x:f>
        <x:v>-265.05</x:v>
      </x:c>
      <x:c r="N27" s="59" t="n">
        <x:f>'18_Mo_hinh_60T'!T291</x:f>
        <x:v>0</x:v>
      </x:c>
      <x:c r="O27" s="59" t="n">
        <x:f>'19_BCTC_du_an_5N'!C27*'17_Gia_dinh_mo_hinh'!$W$8/365</x:f>
        <x:v>0</x:v>
      </x:c>
      <x:c r="P27" s="59" t="n">
        <x:f>MAX('17_Gia_dinh_mo_hinh'!$K$8*'17_Gia_dinh_mo_hinh'!$Y$8,'17_Gia_dinh_mo_hinh'!$K$8*MAX(0,1-B27/5)*0.50)</x:f>
        <x:v>619.9999999999999</x:v>
      </x:c>
      <x:c r="Q27" s="59" t="n">
        <x:f>'19_BCTC_du_an_5N'!C27*'17_Gia_dinh_mo_hinh'!$AC$8</x:f>
        <x:v>0</x:v>
      </x:c>
      <x:c r="R27" s="59" t="n">
        <x:f>MAX(0,'17_Gia_dinh_mo_hinh'!$Z$8+SUMIFS('19_BCTC_du_an_5N'!$M$4:$M$33,'19_BCTC_du_an_5N'!$A$4:$A$33,A27,'19_BCTC_du_an_5N'!$B$4:$B$33,"&lt;="&amp;B27)*0.08-'17_Gia_dinh_mo_hinh'!$Z$8*'17_Gia_dinh_mo_hinh'!$AA$8*B27)</x:f>
        <x:v>437.48</x:v>
      </x:c>
      <x:c r="S27" s="59" t="n">
        <x:f>0.03*'17_Gia_dinh_mo_hinh'!$K$8</x:f>
        <x:v>186</x:v>
      </x:c>
      <x:c r="T27" s="59" t="n">
        <x:f>SUM(N27:S27)</x:f>
        <x:v>1243.48</x:v>
      </x:c>
      <x:c r="U27" s="59" t="n">
        <x:f>'19_BCTC_du_an_5N'!D27*'17_Gia_dinh_mo_hinh'!$X$8/365</x:f>
        <x:v>0</x:v>
      </x:c>
      <x:c r="V27" s="59" t="n">
        <x:f>MAX(0,'19_BCTC_du_an_5N'!L27-'19_BCTC_du_an_5N'!C27)</x:f>
        <x:v>0</x:v>
      </x:c>
      <x:c r="W27" s="59" t="n">
        <x:f>0.25*'19_BCTC_du_an_5N'!J27</x:f>
        <x:v>0</x:v>
      </x:c>
      <x:c r="X27" s="59" t="n">
        <x:f>'19_BCTC_du_an_5N'!C27*'17_Gia_dinh_mo_hinh'!$AD$8</x:f>
        <x:v>0</x:v>
      </x:c>
      <x:c r="Y27" s="59" t="n">
        <x:f>0.35*'18_Mo_hinh_60T'!S291</x:f>
        <x:v>976.4999999999999</x:v>
      </x:c>
      <x:c r="Z27" s="59" t="n">
        <x:f>0.65*'18_Mo_hinh_60T'!S291</x:f>
        <x:v>1813.5</x:v>
      </x:c>
      <x:c r="AA27" s="59" t="n">
        <x:f>SUM(U27:Z27)</x:f>
        <x:v>2790</x:v>
      </x:c>
      <x:c r="AB27" s="59" t="n">
        <x:f>'17_Gia_dinh_mo_hinh'!$AB$8</x:f>
        <x:v>2100</x:v>
      </x:c>
      <x:c r="AC27" s="59" t="n">
        <x:f>AC26+'19_BCTC_du_an_5N'!K27-MAX(0,'19_BCTC_du_an_5N'!K27)*'17_Gia_dinh_mo_hinh'!$AE$8</x:f>
        <x:v>-817.0332935847464</x:v>
      </x:c>
      <x:c r="AD27" s="59" t="n">
        <x:f>T27-AA27</x:f>
        <x:v>-1546.52</x:v>
      </x:c>
      <x:c r="AE27" s="59" t="n">
        <x:f>T27</x:f>
        <x:v>1243.48</x:v>
      </x:c>
      <x:c r="AF27" s="59" t="n">
        <x:f>'19_BCTC_du_an_5N'!L27-'19_BCTC_du_an_5N'!F27-'19_BCTC_du_an_5N'!G27-'19_BCTC_du_an_5N'!J27-'19_BCTC_du_an_5N'!H27-0.15*'19_BCTC_du_an_5N'!M27</x:f>
        <x:v>-265.05</x:v>
      </x:c>
      <x:c r="AG27" s="59" t="n">
        <x:f>-0.85*'19_BCTC_du_an_5N'!M27</x:f>
        <x:v>0</x:v>
      </x:c>
      <x:c r="AH27" s="59" t="n">
        <x:f>'19_BCTC_du_an_5N'!N27-MAX(0,'19_BCTC_du_an_5N'!K27)*'17_Gia_dinh_mo_hinh'!$AE$8</x:f>
        <x:v>0</x:v>
      </x:c>
      <x:c r="AI27" s="59" t="n">
        <x:f>SUM(AF27:AH27)</x:f>
        <x:v>-265.05</x:v>
      </x:c>
    </x:row>
    <x:row r="28">
      <x:c r="A28" t="str">
        <x:v>DA05</x:v>
      </x:c>
      <x:c r="B28" t="n">
        <x:v>5</x:v>
      </x:c>
      <x:c r="C28" s="59" t="n">
        <x:f>'19_BCTC_du_an_5N'!C28</x:f>
        <x:v>0</x:v>
      </x:c>
      <x:c r="D28" s="59" t="n">
        <x:f>'19_BCTC_du_an_5N'!D28</x:f>
        <x:v>0</x:v>
      </x:c>
      <x:c r="E28" s="59" t="n">
        <x:f>C28-D28</x:f>
        <x:v>0</x:v>
      </x:c>
      <x:c r="F28" s="59" t="n">
        <x:f>0</x:f>
        <x:v>0</x:v>
      </x:c>
      <x:c r="G28" s="59" t="n">
        <x:f>'19_BCTC_du_an_5N'!H28</x:f>
        <x:v>265.05</x:v>
      </x:c>
      <x:c r="H28" s="59" t="n">
        <x:f>'19_BCTC_du_an_5N'!H28</x:f>
        <x:v>265.05</x:v>
      </x:c>
      <x:c r="I28" s="59" t="n">
        <x:f>'19_BCTC_du_an_5N'!F28</x:f>
        <x:v>0</x:v>
      </x:c>
      <x:c r="J28" s="59" t="n">
        <x:f>'19_BCTC_du_an_5N'!G28</x:f>
        <x:v>0</x:v>
      </x:c>
      <x:c r="K28" s="59" t="n">
        <x:f>'19_BCTC_du_an_5N'!I28</x:f>
        <x:v>-265.05</x:v>
      </x:c>
      <x:c r="L28" s="59" t="n">
        <x:f>'19_BCTC_du_an_5N'!J28</x:f>
        <x:v>0</x:v>
      </x:c>
      <x:c r="M28" s="59" t="n">
        <x:f>'19_BCTC_du_an_5N'!K28</x:f>
        <x:v>-265.05</x:v>
      </x:c>
      <x:c r="N28" s="59" t="n">
        <x:f>'18_Mo_hinh_60T'!T303</x:f>
        <x:v>0</x:v>
      </x:c>
      <x:c r="O28" s="59" t="n">
        <x:f>'19_BCTC_du_an_5N'!C28*'17_Gia_dinh_mo_hinh'!$W$8/365</x:f>
        <x:v>0</x:v>
      </x:c>
      <x:c r="P28" s="59" t="n">
        <x:f>MAX('17_Gia_dinh_mo_hinh'!$K$8*'17_Gia_dinh_mo_hinh'!$Y$8,'17_Gia_dinh_mo_hinh'!$K$8*MAX(0,1-B28/5)*0.50)</x:f>
        <x:v>248</x:v>
      </x:c>
      <x:c r="Q28" s="59" t="n">
        <x:f>'19_BCTC_du_an_5N'!C28*'17_Gia_dinh_mo_hinh'!$AC$8</x:f>
        <x:v>0</x:v>
      </x:c>
      <x:c r="R28" s="59" t="n">
        <x:f>MAX(0,'17_Gia_dinh_mo_hinh'!$Z$8+SUMIFS('19_BCTC_du_an_5N'!$M$4:$M$33,'19_BCTC_du_an_5N'!$A$4:$A$33,A28,'19_BCTC_du_an_5N'!$B$4:$B$33,"&lt;="&amp;B28)*0.08-'17_Gia_dinh_mo_hinh'!$Z$8*'17_Gia_dinh_mo_hinh'!$AA$8*B28)</x:f>
        <x:v>419.98</x:v>
      </x:c>
      <x:c r="S28" s="59" t="n">
        <x:f>0.03*'17_Gia_dinh_mo_hinh'!$K$8</x:f>
        <x:v>186</x:v>
      </x:c>
      <x:c r="T28" s="59" t="n">
        <x:f>SUM(N28:S28)</x:f>
        <x:v>853.98</x:v>
      </x:c>
      <x:c r="U28" s="59" t="n">
        <x:f>'19_BCTC_du_an_5N'!D28*'17_Gia_dinh_mo_hinh'!$X$8/365</x:f>
        <x:v>0</x:v>
      </x:c>
      <x:c r="V28" s="59" t="n">
        <x:f>MAX(0,'19_BCTC_du_an_5N'!L28-'19_BCTC_du_an_5N'!C28)</x:f>
        <x:v>0</x:v>
      </x:c>
      <x:c r="W28" s="59" t="n">
        <x:f>0.25*'19_BCTC_du_an_5N'!J28</x:f>
        <x:v>0</x:v>
      </x:c>
      <x:c r="X28" s="59" t="n">
        <x:f>'19_BCTC_du_an_5N'!C28*'17_Gia_dinh_mo_hinh'!$AD$8</x:f>
        <x:v>0</x:v>
      </x:c>
      <x:c r="Y28" s="59" t="n">
        <x:f>0.35*'18_Mo_hinh_60T'!S303</x:f>
        <x:v>976.4999999999999</x:v>
      </x:c>
      <x:c r="Z28" s="59" t="n">
        <x:f>0.65*'18_Mo_hinh_60T'!S303</x:f>
        <x:v>1813.5</x:v>
      </x:c>
      <x:c r="AA28" s="59" t="n">
        <x:f>SUM(U28:Z28)</x:f>
        <x:v>2790</x:v>
      </x:c>
      <x:c r="AB28" s="59" t="n">
        <x:f>'17_Gia_dinh_mo_hinh'!$AB$8</x:f>
        <x:v>2100</x:v>
      </x:c>
      <x:c r="AC28" s="59" t="n">
        <x:f>AC27+'19_BCTC_du_an_5N'!K28-MAX(0,'19_BCTC_du_an_5N'!K28)*'17_Gia_dinh_mo_hinh'!$AE$8</x:f>
        <x:v>-1082.0832935847463</x:v>
      </x:c>
      <x:c r="AD28" s="59" t="n">
        <x:f>T28-AA28</x:f>
        <x:v>-1936.02</x:v>
      </x:c>
      <x:c r="AE28" s="59" t="n">
        <x:f>T28</x:f>
        <x:v>853.98</x:v>
      </x:c>
      <x:c r="AF28" s="59" t="n">
        <x:f>'19_BCTC_du_an_5N'!L28-'19_BCTC_du_an_5N'!F28-'19_BCTC_du_an_5N'!G28-'19_BCTC_du_an_5N'!J28-'19_BCTC_du_an_5N'!H28-0.15*'19_BCTC_du_an_5N'!M28</x:f>
        <x:v>-265.05</x:v>
      </x:c>
      <x:c r="AG28" s="59" t="n">
        <x:f>-0.85*'19_BCTC_du_an_5N'!M28</x:f>
        <x:v>0</x:v>
      </x:c>
      <x:c r="AH28" s="59" t="n">
        <x:f>'19_BCTC_du_an_5N'!N28-MAX(0,'19_BCTC_du_an_5N'!K28)*'17_Gia_dinh_mo_hinh'!$AE$8</x:f>
        <x:v>0</x:v>
      </x:c>
      <x:c r="AI28" s="59" t="n">
        <x:f>SUM(AF28:AH28)</x:f>
        <x:v>-265.05</x:v>
      </x:c>
    </x:row>
    <x:row r="29">
      <x:c r="A29" t="str">
        <x:v>DA06</x:v>
      </x:c>
      <x:c r="B29" t="n">
        <x:v>1</x:v>
      </x:c>
      <x:c r="C29" s="59" t="n">
        <x:f>'19_BCTC_du_an_5N'!C29</x:f>
        <x:v>0</x:v>
      </x:c>
      <x:c r="D29" s="59" t="n">
        <x:f>'19_BCTC_du_an_5N'!D29</x:f>
        <x:v>0</x:v>
      </x:c>
      <x:c r="E29" s="59" t="n">
        <x:f>C29-D29</x:f>
        <x:v>0</x:v>
      </x:c>
      <x:c r="F29" s="59" t="n">
        <x:f>0</x:f>
        <x:v>0</x:v>
      </x:c>
      <x:c r="G29" s="59" t="n">
        <x:f>'19_BCTC_du_an_5N'!H29</x:f>
        <x:v>85.39170391925742</x:v>
      </x:c>
      <x:c r="H29" s="59" t="n">
        <x:f>'19_BCTC_du_an_5N'!H29</x:f>
        <x:v>85.39170391925742</x:v>
      </x:c>
      <x:c r="I29" s="59" t="n">
        <x:f>'19_BCTC_du_an_5N'!F29</x:f>
        <x:v>0</x:v>
      </x:c>
      <x:c r="J29" s="59" t="n">
        <x:f>'19_BCTC_du_an_5N'!G29</x:f>
        <x:v>0</x:v>
      </x:c>
      <x:c r="K29" s="59" t="n">
        <x:f>'19_BCTC_du_an_5N'!I29</x:f>
        <x:v>-85.39170391925742</x:v>
      </x:c>
      <x:c r="L29" s="59" t="n">
        <x:f>'19_BCTC_du_an_5N'!J29</x:f>
        <x:v>0</x:v>
      </x:c>
      <x:c r="M29" s="59" t="n">
        <x:f>'19_BCTC_du_an_5N'!K29</x:f>
        <x:v>-85.39170391925742</x:v>
      </x:c>
      <x:c r="N29" s="59" t="n">
        <x:f>'18_Mo_hinh_60T'!T315</x:f>
        <x:v>0</x:v>
      </x:c>
      <x:c r="O29" s="59" t="n">
        <x:f>'19_BCTC_du_an_5N'!C29*'17_Gia_dinh_mo_hinh'!$W$9/365</x:f>
        <x:v>0</x:v>
      </x:c>
      <x:c r="P29" s="59" t="n">
        <x:f>MAX('17_Gia_dinh_mo_hinh'!$K$9*'17_Gia_dinh_mo_hinh'!$Y$9,'17_Gia_dinh_mo_hinh'!$K$9*MAX(0,1-B29/5)*0.50)</x:f>
        <x:v>1800</x:v>
      </x:c>
      <x:c r="Q29" s="59" t="n">
        <x:f>'19_BCTC_du_an_5N'!C29*'17_Gia_dinh_mo_hinh'!$AC$9</x:f>
        <x:v>0</x:v>
      </x:c>
      <x:c r="R29" s="59" t="n">
        <x:f>MAX(0,'17_Gia_dinh_mo_hinh'!$Z$9+SUMIFS('19_BCTC_du_an_5N'!$M$4:$M$33,'19_BCTC_du_an_5N'!$A$4:$A$33,A29,'19_BCTC_du_an_5N'!$B$4:$B$33,"&lt;="&amp;B29)*0.08-'17_Gia_dinh_mo_hinh'!$Z$9*'17_Gia_dinh_mo_hinh'!$AA$9*B29)</x:f>
        <x:v>175</x:v>
      </x:c>
      <x:c r="S29" s="59" t="n">
        <x:f>0.03*'17_Gia_dinh_mo_hinh'!$K$9</x:f>
        <x:v>135</x:v>
      </x:c>
      <x:c r="T29" s="59" t="n">
        <x:f>SUM(N29:S29)</x:f>
        <x:v>2110</x:v>
      </x:c>
      <x:c r="U29" s="59" t="n">
        <x:f>'19_BCTC_du_an_5N'!D29*'17_Gia_dinh_mo_hinh'!$X$9/365</x:f>
        <x:v>0</x:v>
      </x:c>
      <x:c r="V29" s="59" t="n">
        <x:f>MAX(0,'19_BCTC_du_an_5N'!L29-'19_BCTC_du_an_5N'!C29)</x:f>
        <x:v>0</x:v>
      </x:c>
      <x:c r="W29" s="59" t="n">
        <x:f>0.25*'19_BCTC_du_an_5N'!J29</x:f>
        <x:v>0</x:v>
      </x:c>
      <x:c r="X29" s="59" t="n">
        <x:f>'19_BCTC_du_an_5N'!C29*'17_Gia_dinh_mo_hinh'!$AD$9</x:f>
        <x:v>0</x:v>
      </x:c>
      <x:c r="Y29" s="59" t="n">
        <x:f>0.35*'18_Mo_hinh_60T'!S315</x:f>
        <x:v>520.30272137174</x:v>
      </x:c>
      <x:c r="Z29" s="59" t="n">
        <x:f>0.65*'18_Mo_hinh_60T'!S315</x:f>
        <x:v>966.2764825475173</x:v>
      </x:c>
      <x:c r="AA29" s="59" t="n">
        <x:f>SUM(U29:Z29)</x:f>
        <x:v>1486.5792039192572</x:v>
      </x:c>
      <x:c r="AB29" s="59" t="n">
        <x:f>'17_Gia_dinh_mo_hinh'!$AB$9</x:f>
        <x:v>1400</x:v>
      </x:c>
      <x:c r="AC29" s="59" t="n">
        <x:f>'19_BCTC_du_an_5N'!K29</x:f>
        <x:v>-85.39170391925742</x:v>
      </x:c>
      <x:c r="AD29" s="59" t="n">
        <x:f>T29-AA29</x:f>
        <x:v>623.4207960807428</x:v>
      </x:c>
      <x:c r="AE29" s="59" t="n">
        <x:f>T29</x:f>
        <x:v>2110</x:v>
      </x:c>
      <x:c r="AF29" s="59" t="n">
        <x:f>'19_BCTC_du_an_5N'!L29-'19_BCTC_du_an_5N'!F29-'19_BCTC_du_an_5N'!G29-'19_BCTC_du_an_5N'!J29-'19_BCTC_du_an_5N'!H29-0.15*'19_BCTC_du_an_5N'!M29</x:f>
        <x:v>-235.39170391925742</x:v>
      </x:c>
      <x:c r="AG29" s="59" t="n">
        <x:f>-0.85*'19_BCTC_du_an_5N'!M29</x:f>
        <x:v>-850.0000000000001</x:v>
      </x:c>
      <x:c r="AH29" s="59" t="n">
        <x:f>'19_BCTC_du_an_5N'!N29-MAX(0,'19_BCTC_du_an_5N'!K29)*'17_Gia_dinh_mo_hinh'!$AE$9</x:f>
        <x:v>985.3917039192572</x:v>
      </x:c>
      <x:c r="AI29" s="59" t="n">
        <x:f>SUM(AF29:AH29)</x:f>
        <x:v>-100.00000000000023</x:v>
      </x:c>
    </x:row>
    <x:row r="30">
      <x:c r="A30" t="str">
        <x:v>DA06</x:v>
      </x:c>
      <x:c r="B30" t="n">
        <x:v>2</x:v>
      </x:c>
      <x:c r="C30" s="59" t="n">
        <x:f>'19_BCTC_du_an_5N'!C30</x:f>
        <x:v>0</x:v>
      </x:c>
      <x:c r="D30" s="59" t="n">
        <x:f>'19_BCTC_du_an_5N'!D30</x:f>
        <x:v>0</x:v>
      </x:c>
      <x:c r="E30" s="59" t="n">
        <x:f>C30-D30</x:f>
        <x:v>0</x:v>
      </x:c>
      <x:c r="F30" s="59" t="n">
        <x:f>0</x:f>
        <x:v>0</x:v>
      </x:c>
      <x:c r="G30" s="59" t="n">
        <x:f>'19_BCTC_du_an_5N'!H30</x:f>
        <x:v>178.21330268621972</x:v>
      </x:c>
      <x:c r="H30" s="59" t="n">
        <x:f>'19_BCTC_du_an_5N'!H30</x:f>
        <x:v>178.21330268621972</x:v>
      </x:c>
      <x:c r="I30" s="59" t="n">
        <x:f>'19_BCTC_du_an_5N'!F30</x:f>
        <x:v>0</x:v>
      </x:c>
      <x:c r="J30" s="59" t="n">
        <x:f>'19_BCTC_du_an_5N'!G30</x:f>
        <x:v>0</x:v>
      </x:c>
      <x:c r="K30" s="59" t="n">
        <x:f>'19_BCTC_du_an_5N'!I30</x:f>
        <x:v>-178.21330268621972</x:v>
      </x:c>
      <x:c r="L30" s="59" t="n">
        <x:f>'19_BCTC_du_an_5N'!J30</x:f>
        <x:v>0</x:v>
      </x:c>
      <x:c r="M30" s="59" t="n">
        <x:f>'19_BCTC_du_an_5N'!K30</x:f>
        <x:v>-178.21330268621972</x:v>
      </x:c>
      <x:c r="N30" s="59" t="n">
        <x:f>'18_Mo_hinh_60T'!T327</x:f>
        <x:v>0</x:v>
      </x:c>
      <x:c r="O30" s="59" t="n">
        <x:f>'19_BCTC_du_an_5N'!C30*'17_Gia_dinh_mo_hinh'!$W$9/365</x:f>
        <x:v>0</x:v>
      </x:c>
      <x:c r="P30" s="59" t="n">
        <x:f>MAX('17_Gia_dinh_mo_hinh'!$K$9*'17_Gia_dinh_mo_hinh'!$Y$9,'17_Gia_dinh_mo_hinh'!$K$9*MAX(0,1-B30/5)*0.50)</x:f>
        <x:v>1350</x:v>
      </x:c>
      <x:c r="Q30" s="59" t="n">
        <x:f>'19_BCTC_du_an_5N'!C30*'17_Gia_dinh_mo_hinh'!$AC$9</x:f>
        <x:v>0</x:v>
      </x:c>
      <x:c r="R30" s="59" t="n">
        <x:f>MAX(0,'17_Gia_dinh_mo_hinh'!$Z$9+SUMIFS('19_BCTC_du_an_5N'!$M$4:$M$33,'19_BCTC_du_an_5N'!$A$4:$A$33,A30,'19_BCTC_du_an_5N'!$B$4:$B$33,"&lt;="&amp;B30)*0.08-'17_Gia_dinh_mo_hinh'!$Z$9*'17_Gia_dinh_mo_hinh'!$AA$9*B30)</x:f>
        <x:v>250</x:v>
      </x:c>
      <x:c r="S30" s="59" t="n">
        <x:f>0.03*'17_Gia_dinh_mo_hinh'!$K$9</x:f>
        <x:v>135</x:v>
      </x:c>
      <x:c r="T30" s="59" t="n">
        <x:f>SUM(N30:S30)</x:f>
        <x:v>1735</x:v>
      </x:c>
      <x:c r="U30" s="59" t="n">
        <x:f>'19_BCTC_du_an_5N'!D30*'17_Gia_dinh_mo_hinh'!$X$9/365</x:f>
        <x:v>0</x:v>
      </x:c>
      <x:c r="V30" s="59" t="n">
        <x:f>MAX(0,'19_BCTC_du_an_5N'!L30-'19_BCTC_du_an_5N'!C30)</x:f>
        <x:v>0</x:v>
      </x:c>
      <x:c r="W30" s="59" t="n">
        <x:f>0.25*'19_BCTC_du_an_5N'!J30</x:f>
        <x:v>0</x:v>
      </x:c>
      <x:c r="X30" s="59" t="n">
        <x:f>'19_BCTC_du_an_5N'!C30*'17_Gia_dinh_mo_hinh'!$AD$9</x:f>
        <x:v>0</x:v>
      </x:c>
      <x:c r="Y30" s="59" t="n">
        <x:f>0.35*'18_Mo_hinh_60T'!S327</x:f>
        <x:v>708.75</x:v>
      </x:c>
      <x:c r="Z30" s="59" t="n">
        <x:f>0.65*'18_Mo_hinh_60T'!S327</x:f>
        <x:v>1316.25</x:v>
      </x:c>
      <x:c r="AA30" s="59" t="n">
        <x:f>SUM(U30:Z30)</x:f>
        <x:v>2025</x:v>
      </x:c>
      <x:c r="AB30" s="59" t="n">
        <x:f>'17_Gia_dinh_mo_hinh'!$AB$9</x:f>
        <x:v>1400</x:v>
      </x:c>
      <x:c r="AC30" s="59" t="n">
        <x:f>AC29+'19_BCTC_du_an_5N'!K30-MAX(0,'19_BCTC_du_an_5N'!K30)*'17_Gia_dinh_mo_hinh'!$AE$9</x:f>
        <x:v>-263.6050066054771</x:v>
      </x:c>
      <x:c r="AD30" s="59" t="n">
        <x:f>T30-AA30</x:f>
        <x:v>-290</x:v>
      </x:c>
      <x:c r="AE30" s="59" t="n">
        <x:f>T30</x:f>
        <x:v>1735</x:v>
      </x:c>
      <x:c r="AF30" s="59" t="n">
        <x:f>'19_BCTC_du_an_5N'!L30-'19_BCTC_du_an_5N'!F30-'19_BCTC_du_an_5N'!G30-'19_BCTC_du_an_5N'!J30-'19_BCTC_du_an_5N'!H30-0.15*'19_BCTC_du_an_5N'!M30</x:f>
        <x:v>-328.2133026862197</x:v>
      </x:c>
      <x:c r="AG30" s="59" t="n">
        <x:f>-0.85*'19_BCTC_du_an_5N'!M30</x:f>
        <x:v>-850.0000000000001</x:v>
      </x:c>
      <x:c r="AH30" s="59" t="n">
        <x:f>'19_BCTC_du_an_5N'!N30-MAX(0,'19_BCTC_du_an_5N'!K30)*'17_Gia_dinh_mo_hinh'!$AE$9</x:f>
        <x:v>538.4207960807428</x:v>
      </x:c>
      <x:c r="AI30" s="59" t="n">
        <x:f>SUM(AF30:AH30)</x:f>
        <x:v>-639.792506605477</x:v>
      </x:c>
    </x:row>
    <x:row r="31">
      <x:c r="A31" t="str">
        <x:v>DA06</x:v>
      </x:c>
      <x:c r="B31" t="n">
        <x:v>3</x:v>
      </x:c>
      <x:c r="C31" s="59" t="n">
        <x:f>'19_BCTC_du_an_5N'!C31</x:f>
        <x:v>0</x:v>
      </x:c>
      <x:c r="D31" s="59" t="n">
        <x:f>'19_BCTC_du_an_5N'!D31</x:f>
        <x:v>0</x:v>
      </x:c>
      <x:c r="E31" s="59" t="n">
        <x:f>C31-D31</x:f>
        <x:v>0</x:v>
      </x:c>
      <x:c r="F31" s="59" t="n">
        <x:f>0</x:f>
        <x:v>0</x:v>
      </x:c>
      <x:c r="G31" s="59" t="n">
        <x:f>'19_BCTC_du_an_5N'!H31</x:f>
        <x:v>187.38306463611667</x:v>
      </x:c>
      <x:c r="H31" s="59" t="n">
        <x:f>'19_BCTC_du_an_5N'!H31</x:f>
        <x:v>187.38306463611667</x:v>
      </x:c>
      <x:c r="I31" s="59" t="n">
        <x:f>'19_BCTC_du_an_5N'!F31</x:f>
        <x:v>0</x:v>
      </x:c>
      <x:c r="J31" s="59" t="n">
        <x:f>'19_BCTC_du_an_5N'!G31</x:f>
        <x:v>0</x:v>
      </x:c>
      <x:c r="K31" s="59" t="n">
        <x:f>'19_BCTC_du_an_5N'!I31</x:f>
        <x:v>-187.38306463611667</x:v>
      </x:c>
      <x:c r="L31" s="59" t="n">
        <x:f>'19_BCTC_du_an_5N'!J31</x:f>
        <x:v>0</x:v>
      </x:c>
      <x:c r="M31" s="59" t="n">
        <x:f>'19_BCTC_du_an_5N'!K31</x:f>
        <x:v>-187.38306463611667</x:v>
      </x:c>
      <x:c r="N31" s="59" t="n">
        <x:f>'18_Mo_hinh_60T'!T339</x:f>
        <x:v>0</x:v>
      </x:c>
      <x:c r="O31" s="59" t="n">
        <x:f>'19_BCTC_du_an_5N'!C31*'17_Gia_dinh_mo_hinh'!$W$9/365</x:f>
        <x:v>0</x:v>
      </x:c>
      <x:c r="P31" s="59" t="n">
        <x:f>MAX('17_Gia_dinh_mo_hinh'!$K$9*'17_Gia_dinh_mo_hinh'!$Y$9,'17_Gia_dinh_mo_hinh'!$K$9*MAX(0,1-B31/5)*0.50)</x:f>
        <x:v>900</x:v>
      </x:c>
      <x:c r="Q31" s="59" t="n">
        <x:f>'19_BCTC_du_an_5N'!C31*'17_Gia_dinh_mo_hinh'!$AC$9</x:f>
        <x:v>0</x:v>
      </x:c>
      <x:c r="R31" s="59" t="n">
        <x:f>MAX(0,'17_Gia_dinh_mo_hinh'!$Z$9+SUMIFS('19_BCTC_du_an_5N'!$M$4:$M$33,'19_BCTC_du_an_5N'!$A$4:$A$33,A31,'19_BCTC_du_an_5N'!$B$4:$B$33,"&lt;="&amp;B31)*0.08-'17_Gia_dinh_mo_hinh'!$Z$9*'17_Gia_dinh_mo_hinh'!$AA$9*B31)</x:f>
        <x:v>325</x:v>
      </x:c>
      <x:c r="S31" s="59" t="n">
        <x:f>0.03*'17_Gia_dinh_mo_hinh'!$K$9</x:f>
        <x:v>135</x:v>
      </x:c>
      <x:c r="T31" s="59" t="n">
        <x:f>SUM(N31:S31)</x:f>
        <x:v>1360</x:v>
      </x:c>
      <x:c r="U31" s="59" t="n">
        <x:f>'19_BCTC_du_an_5N'!D31*'17_Gia_dinh_mo_hinh'!$X$9/365</x:f>
        <x:v>0</x:v>
      </x:c>
      <x:c r="V31" s="59" t="n">
        <x:f>MAX(0,'19_BCTC_du_an_5N'!L31-'19_BCTC_du_an_5N'!C31)</x:f>
        <x:v>888</x:v>
      </x:c>
      <x:c r="W31" s="59" t="n">
        <x:f>0.25*'19_BCTC_du_an_5N'!J31</x:f>
        <x:v>0</x:v>
      </x:c>
      <x:c r="X31" s="59" t="n">
        <x:f>'19_BCTC_du_an_5N'!C31*'17_Gia_dinh_mo_hinh'!$AD$9</x:f>
        <x:v>0</x:v>
      </x:c>
      <x:c r="Y31" s="59" t="n">
        <x:f>0.35*'18_Mo_hinh_60T'!S339</x:f>
        <x:v>535.3132392893074</x:v>
      </x:c>
      <x:c r="Z31" s="59" t="n">
        <x:f>0.65*'18_Mo_hinh_60T'!S339</x:f>
        <x:v>994.1531586801425</x:v>
      </x:c>
      <x:c r="AA31" s="59" t="n">
        <x:f>SUM(U31:Z31)</x:f>
        <x:v>2417.4663979694496</x:v>
      </x:c>
      <x:c r="AB31" s="59" t="n">
        <x:f>'17_Gia_dinh_mo_hinh'!$AB$9</x:f>
        <x:v>1400</x:v>
      </x:c>
      <x:c r="AC31" s="59" t="n">
        <x:f>AC30+'19_BCTC_du_an_5N'!K31-MAX(0,'19_BCTC_du_an_5N'!K31)*'17_Gia_dinh_mo_hinh'!$AE$9</x:f>
        <x:v>-450.9880712415938</x:v>
      </x:c>
      <x:c r="AD31" s="59" t="n">
        <x:f>T31-AA31</x:f>
        <x:v>-1057.4663979694496</x:v>
      </x:c>
      <x:c r="AE31" s="59" t="n">
        <x:f>T31</x:f>
        <x:v>1360</x:v>
      </x:c>
      <x:c r="AF31" s="59" t="n">
        <x:f>'19_BCTC_du_an_5N'!L31-'19_BCTC_du_an_5N'!F31-'19_BCTC_du_an_5N'!G31-'19_BCTC_du_an_5N'!J31-'19_BCTC_du_an_5N'!H31-0.15*'19_BCTC_du_an_5N'!M31</x:f>
        <x:v>550.6169353638834</x:v>
      </x:c>
      <x:c r="AG31" s="59" t="n">
        <x:f>-0.85*'19_BCTC_du_an_5N'!M31</x:f>
        <x:v>-850.0000000000001</x:v>
      </x:c>
      <x:c r="AH31" s="59" t="n">
        <x:f>'19_BCTC_du_an_5N'!N31-MAX(0,'19_BCTC_du_an_5N'!K31)*'17_Gia_dinh_mo_hinh'!$AE$9</x:f>
        <x:v>-495.53360203055</x:v>
      </x:c>
      <x:c r="AI31" s="59" t="n">
        <x:f>SUM(AF31:AH31)</x:f>
        <x:v>-794.9166666666667</x:v>
      </x:c>
    </x:row>
    <x:row r="32">
      <x:c r="A32" t="str">
        <x:v>DA06</x:v>
      </x:c>
      <x:c r="B32" t="n">
        <x:v>4</x:v>
      </x:c>
      <x:c r="C32" s="59" t="n">
        <x:f>'19_BCTC_du_an_5N'!C32</x:f>
        <x:v>0</x:v>
      </x:c>
      <x:c r="D32" s="59" t="n">
        <x:f>'19_BCTC_du_an_5N'!D32</x:f>
        <x:v>0</x:v>
      </x:c>
      <x:c r="E32" s="59" t="n">
        <x:f>C32-D32</x:f>
        <x:v>0</x:v>
      </x:c>
      <x:c r="F32" s="59" t="n">
        <x:f>0</x:f>
        <x:v>0</x:v>
      </x:c>
      <x:c r="G32" s="59" t="n">
        <x:f>'19_BCTC_du_an_5N'!H32</x:f>
        <x:v>68.72906633542985</x:v>
      </x:c>
      <x:c r="H32" s="59" t="n">
        <x:f>'19_BCTC_du_an_5N'!H32</x:f>
        <x:v>68.72906633542985</x:v>
      </x:c>
      <x:c r="I32" s="59" t="n">
        <x:f>'19_BCTC_du_an_5N'!F32</x:f>
        <x:v>0</x:v>
      </x:c>
      <x:c r="J32" s="59" t="n">
        <x:f>'19_BCTC_du_an_5N'!G32</x:f>
        <x:v>0</x:v>
      </x:c>
      <x:c r="K32" s="59" t="n">
        <x:f>'19_BCTC_du_an_5N'!I32</x:f>
        <x:v>-68.72906633542985</x:v>
      </x:c>
      <x:c r="L32" s="59" t="n">
        <x:f>'19_BCTC_du_an_5N'!J32</x:f>
        <x:v>0</x:v>
      </x:c>
      <x:c r="M32" s="59" t="n">
        <x:f>'19_BCTC_du_an_5N'!K32</x:f>
        <x:v>-68.72906633542985</x:v>
      </x:c>
      <x:c r="N32" s="59" t="n">
        <x:f>'18_Mo_hinh_60T'!T351</x:f>
        <x:v>281.8045356951204</x:v>
      </x:c>
      <x:c r="O32" s="59" t="n">
        <x:f>'19_BCTC_du_an_5N'!C32*'17_Gia_dinh_mo_hinh'!$W$9/365</x:f>
        <x:v>0</x:v>
      </x:c>
      <x:c r="P32" s="59" t="n">
        <x:f>MAX('17_Gia_dinh_mo_hinh'!$K$9*'17_Gia_dinh_mo_hinh'!$Y$9,'17_Gia_dinh_mo_hinh'!$K$9*MAX(0,1-B32/5)*0.50)</x:f>
        <x:v>540</x:v>
      </x:c>
      <x:c r="Q32" s="59" t="n">
        <x:f>'19_BCTC_du_an_5N'!C32*'17_Gia_dinh_mo_hinh'!$AC$9</x:f>
        <x:v>0</x:v>
      </x:c>
      <x:c r="R32" s="59" t="n">
        <x:f>MAX(0,'17_Gia_dinh_mo_hinh'!$Z$9+SUMIFS('19_BCTC_du_an_5N'!$M$4:$M$33,'19_BCTC_du_an_5N'!$A$4:$A$33,A32,'19_BCTC_du_an_5N'!$B$4:$B$33,"&lt;="&amp;B32)*0.08-'17_Gia_dinh_mo_hinh'!$Z$9*'17_Gia_dinh_mo_hinh'!$AA$9*B32)</x:f>
        <x:v>400.00000000000006</x:v>
      </x:c>
      <x:c r="S32" s="59" t="n">
        <x:f>0.03*'17_Gia_dinh_mo_hinh'!$K$9</x:f>
        <x:v>135</x:v>
      </x:c>
      <x:c r="T32" s="59" t="n">
        <x:f>SUM(N32:S32)</x:f>
        <x:v>1356.8045356951204</x:v>
      </x:c>
      <x:c r="U32" s="59" t="n">
        <x:f>'19_BCTC_du_an_5N'!D32*'17_Gia_dinh_mo_hinh'!$X$9/365</x:f>
        <x:v>0</x:v>
      </x:c>
      <x:c r="V32" s="59" t="n">
        <x:f>MAX(0,'19_BCTC_du_an_5N'!L32-'19_BCTC_du_an_5N'!C32)</x:f>
        <x:v>2880</x:v>
      </x:c>
      <x:c r="W32" s="59" t="n">
        <x:f>0.25*'19_BCTC_du_an_5N'!J32</x:f>
        <x:v>0</x:v>
      </x:c>
      <x:c r="X32" s="59" t="n">
        <x:f>'19_BCTC_du_an_5N'!C32*'17_Gia_dinh_mo_hinh'!$AD$9</x:f>
        <x:v>0</x:v>
      </x:c>
      <x:c r="Y32" s="59" t="n">
        <x:f>0.35*'18_Mo_hinh_60T'!S351</x:f>
        <x:v>0</x:v>
      </x:c>
      <x:c r="Z32" s="59" t="n">
        <x:f>0.65*'18_Mo_hinh_60T'!S351</x:f>
        <x:v>0</x:v>
      </x:c>
      <x:c r="AA32" s="59" t="n">
        <x:f>SUM(U32:Z32)</x:f>
        <x:v>2880</x:v>
      </x:c>
      <x:c r="AB32" s="59" t="n">
        <x:f>'17_Gia_dinh_mo_hinh'!$AB$9</x:f>
        <x:v>1400</x:v>
      </x:c>
      <x:c r="AC32" s="59" t="n">
        <x:f>AC31+'19_BCTC_du_an_5N'!K32-MAX(0,'19_BCTC_du_an_5N'!K32)*'17_Gia_dinh_mo_hinh'!$AE$9</x:f>
        <x:v>-519.7171375770237</x:v>
      </x:c>
      <x:c r="AD32" s="59" t="n">
        <x:f>T32-AA32</x:f>
        <x:v>-1523.1954643048796</x:v>
      </x:c>
      <x:c r="AE32" s="59" t="n">
        <x:f>T32</x:f>
        <x:v>1356.8045356951204</x:v>
      </x:c>
      <x:c r="AF32" s="59" t="n">
        <x:f>'19_BCTC_du_an_5N'!L32-'19_BCTC_du_an_5N'!F32-'19_BCTC_du_an_5N'!G32-'19_BCTC_du_an_5N'!J32-'19_BCTC_du_an_5N'!H32-0.15*'19_BCTC_du_an_5N'!M32</x:f>
        <x:v>2661.2709336645703</x:v>
      </x:c>
      <x:c r="AG32" s="59" t="n">
        <x:f>-0.85*'19_BCTC_du_an_5N'!M32</x:f>
        <x:v>-850.0000000000001</x:v>
      </x:c>
      <x:c r="AH32" s="59" t="n">
        <x:f>'19_BCTC_du_an_5N'!N32-MAX(0,'19_BCTC_du_an_5N'!K32)*'17_Gia_dinh_mo_hinh'!$AE$9</x:f>
        <x:v>-1529.46639796945</x:v>
      </x:c>
      <x:c r="AI32" s="59" t="n">
        <x:f>SUM(AF32:AH32)</x:f>
        <x:v>281.8045356951202</x:v>
      </x:c>
    </x:row>
    <x:row r="33">
      <x:c r="A33" t="str">
        <x:v>DA06</x:v>
      </x:c>
      <x:c r="B33" t="n">
        <x:v>5</x:v>
      </x:c>
      <x:c r="C33" s="59" t="n">
        <x:f>'19_BCTC_du_an_5N'!C33</x:f>
        <x:v>3600</x:v>
      </x:c>
      <x:c r="D33" s="59" t="n">
        <x:f>'19_BCTC_du_an_5N'!D33</x:f>
        <x:v>2411.9999999999995</x:v>
      </x:c>
      <x:c r="E33" s="59" t="n">
        <x:f>C33-D33</x:f>
        <x:v>1188.0000000000005</x:v>
      </x:c>
      <x:c r="F33" s="59" t="n">
        <x:f>0</x:f>
        <x:v>0</x:v>
      </x:c>
      <x:c r="G33" s="59" t="n">
        <x:f>'19_BCTC_du_an_5N'!H33</x:f>
        <x:v>0</x:v>
      </x:c>
      <x:c r="H33" s="59" t="n">
        <x:f>'19_BCTC_du_an_5N'!H33</x:f>
        <x:v>0</x:v>
      </x:c>
      <x:c r="I33" s="59" t="n">
        <x:f>'19_BCTC_du_an_5N'!F33</x:f>
        <x:v>126.00000000000001</x:v>
      </x:c>
      <x:c r="J33" s="59" t="n">
        <x:f>'19_BCTC_du_an_5N'!G33</x:f>
        <x:v>72</x:v>
      </x:c>
      <x:c r="K33" s="59" t="n">
        <x:f>'19_BCTC_du_an_5N'!I33</x:f>
        <x:v>990.0000000000002</x:v>
      </x:c>
      <x:c r="L33" s="59" t="n">
        <x:f>'19_BCTC_du_an_5N'!J33</x:f>
        <x:v>198.0000000000001</x:v>
      </x:c>
      <x:c r="M33" s="59" t="n">
        <x:f>'19_BCTC_du_an_5N'!K33</x:f>
        <x:v>792.0000000000002</x:v>
      </x:c>
      <x:c r="N33" s="59" t="n">
        <x:f>'18_Mo_hinh_60T'!T363</x:f>
        <x:v>2265.8045356951206</x:v>
      </x:c>
      <x:c r="O33" s="59" t="n">
        <x:f>'19_BCTC_du_an_5N'!C33*'17_Gia_dinh_mo_hinh'!$W$9/365</x:f>
        <x:v>493.1506849315069</x:v>
      </x:c>
      <x:c r="P33" s="59" t="n">
        <x:f>MAX('17_Gia_dinh_mo_hinh'!$K$9*'17_Gia_dinh_mo_hinh'!$Y$9,'17_Gia_dinh_mo_hinh'!$K$9*MAX(0,1-B33/5)*0.50)</x:f>
        <x:v>540</x:v>
      </x:c>
      <x:c r="Q33" s="59" t="n">
        <x:f>'19_BCTC_du_an_5N'!C33*'17_Gia_dinh_mo_hinh'!$AC$9</x:f>
        <x:v>108</x:v>
      </x:c>
      <x:c r="R33" s="59" t="n">
        <x:f>MAX(0,'17_Gia_dinh_mo_hinh'!$Z$9+SUMIFS('19_BCTC_du_an_5N'!$M$4:$M$33,'19_BCTC_du_an_5N'!$A$4:$A$33,A33,'19_BCTC_du_an_5N'!$B$4:$B$33,"&lt;="&amp;B33)*0.08-'17_Gia_dinh_mo_hinh'!$Z$9*'17_Gia_dinh_mo_hinh'!$AA$9*B33)</x:f>
        <x:v>435</x:v>
      </x:c>
      <x:c r="S33" s="59" t="n">
        <x:f>0.03*'17_Gia_dinh_mo_hinh'!$K$9</x:f>
        <x:v>135</x:v>
      </x:c>
      <x:c r="T33" s="59" t="n">
        <x:f>SUM(N33:S33)</x:f>
        <x:v>3976.9552206266276</x:v>
      </x:c>
      <x:c r="U33" s="59" t="n">
        <x:f>'19_BCTC_du_an_5N'!D33*'17_Gia_dinh_mo_hinh'!$X$9/365</x:f>
        <x:v>429.53424657534237</x:v>
      </x:c>
      <x:c r="V33" s="59" t="n">
        <x:f>MAX(0,'19_BCTC_du_an_5N'!L33-'19_BCTC_du_an_5N'!C33)</x:f>
        <x:v>0</x:v>
      </x:c>
      <x:c r="W33" s="59" t="n">
        <x:f>0.25*'19_BCTC_du_an_5N'!J33</x:f>
        <x:v>49.50000000000003</x:v>
      </x:c>
      <x:c r="X33" s="59" t="n">
        <x:f>'19_BCTC_du_an_5N'!C33*'17_Gia_dinh_mo_hinh'!$AD$9</x:f>
        <x:v>144</x:v>
      </x:c>
      <x:c r="Y33" s="59" t="n">
        <x:f>0.35*'18_Mo_hinh_60T'!S363</x:f>
        <x:v>0</x:v>
      </x:c>
      <x:c r="Z33" s="59" t="n">
        <x:f>0.65*'18_Mo_hinh_60T'!S363</x:f>
        <x:v>0</x:v>
      </x:c>
      <x:c r="AA33" s="59" t="n">
        <x:f>SUM(U33:Z33)</x:f>
        <x:v>623.0342465753424</x:v>
      </x:c>
      <x:c r="AB33" s="59" t="n">
        <x:f>'17_Gia_dinh_mo_hinh'!$AB$9</x:f>
        <x:v>1400</x:v>
      </x:c>
      <x:c r="AC33" s="59" t="n">
        <x:f>AC32+'19_BCTC_du_an_5N'!K33-MAX(0,'19_BCTC_du_an_5N'!K33)*'17_Gia_dinh_mo_hinh'!$AE$9</x:f>
        <x:v>272.28286242297656</x:v>
      </x:c>
      <x:c r="AD33" s="59" t="n">
        <x:f>T33-AA33</x:f>
        <x:v>3353.920974051285</x:v>
      </x:c>
      <x:c r="AE33" s="59" t="n">
        <x:f>T33</x:f>
        <x:v>3976.9552206266276</x:v>
      </x:c>
      <x:c r="AF33" s="59" t="n">
        <x:f>'19_BCTC_du_an_5N'!L33-'19_BCTC_du_an_5N'!F33-'19_BCTC_du_an_5N'!G33-'19_BCTC_du_an_5N'!J33-'19_BCTC_du_an_5N'!H33-0.15*'19_BCTC_du_an_5N'!M33</x:f>
        <x:v>2409</x:v>
      </x:c>
      <x:c r="AG33" s="59" t="n">
        <x:f>-0.85*'19_BCTC_du_an_5N'!M33</x:f>
        <x:v>-424.99999999999994</x:v>
      </x:c>
      <x:c r="AH33" s="59" t="n">
        <x:f>'19_BCTC_du_an_5N'!N33-MAX(0,'19_BCTC_du_an_5N'!K33)*'17_Gia_dinh_mo_hinh'!$AE$9</x:f>
        <x:v>0</x:v>
      </x:c>
      <x:c r="AI33" s="59" t="n">
        <x:f>SUM(AF33:AH33)</x:f>
        <x:v>1984</x:v>
      </x:c>
    </x:row>
  </x:sheetData>
  <x:mergeCells>
    <x:mergeCell ref="A1:AI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</x:cols>
  <x:sheetData>
    <x:row r="1">
      <x:c r="A1" s="81" t="str">
        <x:v>24_B01_DN_CDKT – Bảng cân đối kế toán kế hoạch (B01-DN)</x:v>
      </x:c>
      <x:c r="B1" s="81"/>
      <x:c r="C1" s="81"/>
      <x:c r="D1" s="81"/>
    </x:row>
    <x:row r="2">
      <x:c r="A2" t="str">
        <x:v>Mã dự án</x:v>
      </x:c>
      <x:c r="B2" t="str">
        <x:v>DA03</x:v>
      </x:c>
    </x:row>
    <x:row r="3">
      <x:c r="A3" t="str">
        <x:v>Năm mô hình</x:v>
      </x:c>
      <x:c r="B3" t="n">
        <x:v>1</x:v>
      </x:c>
    </x:row>
    <x:row r="5">
      <x:c r="A5" s="77" t="str">
        <x:v>Mã số</x:v>
      </x:c>
      <x:c r="B5" s="77" t="str">
        <x:v>Chỉ tiêu</x:v>
      </x:c>
      <x:c r="C5" s="77" t="str">
        <x:v>Thuyết minh</x:v>
      </x:c>
      <x:c r="D5" s="77" t="str">
        <x:v>Số cuối kỳ (tỷ)</x:v>
      </x:c>
    </x:row>
    <x:row r="6">
      <x:c r="A6" t="str">
        <x:v>100</x:v>
      </x:c>
      <x:c r="B6" t="str">
        <x:v>TÀI SẢN NGẮN HẠN</x:v>
      </x:c>
      <x:c r="D6" s="59" t="n">
        <x:f>SUM(D7,D11,D16,D19)</x:f>
        <x:v>3920</x:v>
      </x:c>
    </x:row>
    <x:row r="7">
      <x:c r="A7" t="str">
        <x:v>110</x:v>
      </x:c>
      <x:c r="B7" t="str">
        <x:v>Tiền và các khoản tương đương tiền</x:v>
      </x:c>
      <x:c r="D7" s="59" t="n">
        <x:f>SUMIFS('23_BCTC_Chi_tiet'!$N$4:$N$33,'23_BCTC_Chi_tiet'!$A$4:$A$33,$B$2,'23_BCTC_Chi_tiet'!$B$4:$B$33,$B$3)</x:f>
        <x:v>0</x:v>
      </x:c>
    </x:row>
    <x:row r="8">
      <x:c r="A8" t="str">
        <x:v>111</x:v>
      </x:c>
      <x:c r="B8" t="str">
        <x:v>Tiền</x:v>
      </x:c>
      <x:c r="D8" s="59" t="n">
        <x:f>SUMIFS('23_BCTC_Chi_tiet'!$N$4:$N$33,'23_BCTC_Chi_tiet'!$A$4:$A$33,$B$2,'23_BCTC_Chi_tiet'!$B$4:$B$33,$B$3)</x:f>
        <x:v>0</x:v>
      </x:c>
    </x:row>
    <x:row r="9">
      <x:c r="A9" t="str">
        <x:v>112</x:v>
      </x:c>
      <x:c r="B9" t="str">
        <x:v>Các khoản tương đương tiền</x:v>
      </x:c>
      <x:c r="D9" s="59" t="n">
        <x:f>0</x:f>
        <x:v>0</x:v>
      </x:c>
    </x:row>
    <x:row r="10">
      <x:c r="A10" t="str">
        <x:v>120</x:v>
      </x:c>
      <x:c r="B10" t="str">
        <x:v>Đầu tư tài chính ngắn hạn</x:v>
      </x:c>
      <x:c r="D10" s="59" t="n">
        <x:f>0</x:f>
        <x:v>0</x:v>
      </x:c>
    </x:row>
    <x:row r="11">
      <x:c r="A11" t="str">
        <x:v>130</x:v>
      </x:c>
      <x:c r="B11" t="str">
        <x:v>Các khoản phải thu ngắn hạn</x:v>
      </x:c>
      <x:c r="D11" s="59" t="n">
        <x:f>SUM(D12:D15)</x:f>
        <x:v>0</x:v>
      </x:c>
    </x:row>
    <x:row r="12">
      <x:c r="A12" t="str">
        <x:v>131</x:v>
      </x:c>
      <x:c r="B12" t="str">
        <x:v>Phải thu ngắn hạn của khách hàng</x:v>
      </x:c>
      <x:c r="D12" s="59" t="n">
        <x:f>SUMIFS('23_BCTC_Chi_tiet'!$O$4:$O$33,'23_BCTC_Chi_tiet'!$A$4:$A$33,$B$2,'23_BCTC_Chi_tiet'!$B$4:$B$33,$B$3)</x:f>
        <x:v>0</x:v>
      </x:c>
    </x:row>
    <x:row r="13">
      <x:c r="A13" t="str">
        <x:v>132</x:v>
      </x:c>
      <x:c r="B13" t="str">
        <x:v>Trả trước cho người bán ngắn hạn</x:v>
      </x:c>
      <x:c r="D13" s="59" t="n">
        <x:f>0</x:f>
        <x:v>0</x:v>
      </x:c>
    </x:row>
    <x:row r="14">
      <x:c r="A14" t="str">
        <x:v>136</x:v>
      </x:c>
      <x:c r="B14" t="str">
        <x:v>Phải thu ngắn hạn khác</x:v>
      </x:c>
      <x:c r="D14" s="59" t="n">
        <x:f>0</x:f>
        <x:v>0</x:v>
      </x:c>
    </x:row>
    <x:row r="15">
      <x:c r="A15" t="str">
        <x:v>137</x:v>
      </x:c>
      <x:c r="B15" t="str">
        <x:v>Dự phòng phải thu ngắn hạn khó đòi</x:v>
      </x:c>
      <x:c r="D15" s="59" t="n">
        <x:f>0</x:f>
        <x:v>0</x:v>
      </x:c>
    </x:row>
    <x:row r="16">
      <x:c r="A16" t="str">
        <x:v>140</x:v>
      </x:c>
      <x:c r="B16" t="str">
        <x:v>Hàng tồn kho</x:v>
      </x:c>
      <x:c r="D16" s="59" t="n">
        <x:f>SUM(D17:D18)</x:f>
        <x:v>3920</x:v>
      </x:c>
    </x:row>
    <x:row r="17">
      <x:c r="A17" t="str">
        <x:v>141</x:v>
      </x:c>
      <x:c r="B17" t="str">
        <x:v>Hàng tồn kho/BĐS dở dang</x:v>
      </x:c>
      <x:c r="D17" s="59" t="n">
        <x:f>SUMIFS('23_BCTC_Chi_tiet'!$P$4:$P$33,'23_BCTC_Chi_tiet'!$A$4:$A$33,$B$2,'23_BCTC_Chi_tiet'!$B$4:$B$33,$B$3)</x:f>
        <x:v>3920</x:v>
      </x:c>
    </x:row>
    <x:row r="18">
      <x:c r="A18" t="str">
        <x:v>149</x:v>
      </x:c>
      <x:c r="B18" t="str">
        <x:v>Dự phòng giảm giá hàng tồn kho</x:v>
      </x:c>
      <x:c r="D18" s="59" t="n">
        <x:f>0</x:f>
        <x:v>0</x:v>
      </x:c>
    </x:row>
    <x:row r="19">
      <x:c r="A19" t="str">
        <x:v>150</x:v>
      </x:c>
      <x:c r="B19" t="str">
        <x:v>Tài sản ngắn hạn khác</x:v>
      </x:c>
      <x:c r="D19" s="59" t="n">
        <x:f>SUM(D20:D22)</x:f>
        <x:v>0</x:v>
      </x:c>
    </x:row>
    <x:row r="20">
      <x:c r="A20" t="str">
        <x:v>151</x:v>
      </x:c>
      <x:c r="B20" t="str">
        <x:v>Chi phí trả trước ngắn hạn</x:v>
      </x:c>
      <x:c r="D20" s="59" t="n">
        <x:f>0</x:f>
        <x:v>0</x:v>
      </x:c>
    </x:row>
    <x:row r="21">
      <x:c r="A21" t="str">
        <x:v>152</x:v>
      </x:c>
      <x:c r="B21" t="str">
        <x:v>Thuế GTGT được khấu trừ</x:v>
      </x:c>
      <x:c r="D21" s="59" t="n">
        <x:f>SUMIFS('23_BCTC_Chi_tiet'!$Q$4:$Q$33,'23_BCTC_Chi_tiet'!$A$4:$A$33,$B$2,'23_BCTC_Chi_tiet'!$B$4:$B$33,$B$3)</x:f>
        <x:v>0</x:v>
      </x:c>
    </x:row>
    <x:row r="22">
      <x:c r="A22" t="str">
        <x:v>153</x:v>
      </x:c>
      <x:c r="B22" t="str">
        <x:v>Thuế và các khoản khác phải thu Nhà nước</x:v>
      </x:c>
      <x:c r="D22" s="59" t="n">
        <x:f>0</x:f>
        <x:v>0</x:v>
      </x:c>
    </x:row>
    <x:row r="23">
      <x:c r="A23" t="str">
        <x:v>200</x:v>
      </x:c>
      <x:c r="B23" t="str">
        <x:v>TÀI SẢN DÀI HẠN</x:v>
      </x:c>
      <x:c r="D23" s="59" t="n">
        <x:f>SUM(D24,D26,D29,D31,D32)</x:f>
        <x:v>750.7439999999999</x:v>
      </x:c>
    </x:row>
    <x:row r="24">
      <x:c r="A24" t="str">
        <x:v>210</x:v>
      </x:c>
      <x:c r="B24" t="str">
        <x:v>Các khoản phải thu dài hạn</x:v>
      </x:c>
      <x:c r="D24" s="59" t="n">
        <x:f>0</x:f>
        <x:v>0</x:v>
      </x:c>
    </x:row>
    <x:row r="25">
      <x:c r="A25" t="str">
        <x:v>220</x:v>
      </x:c>
      <x:c r="B25" t="str">
        <x:v>Tài sản cố định</x:v>
      </x:c>
      <x:c r="D25" s="59" t="n">
        <x:f>SUM(D27:D28)</x:f>
        <x:v>0</x:v>
      </x:c>
    </x:row>
    <x:row r="26">
      <x:c r="A26" t="str">
        <x:v>221</x:v>
      </x:c>
      <x:c r="B26" t="str">
        <x:v>TSCĐ hữu hình</x:v>
      </x:c>
      <x:c r="D26" s="59" t="n">
        <x:f>SUMIFS('23_BCTC_Chi_tiet'!$R$4:$R$33,'23_BCTC_Chi_tiet'!$A$4:$A$33,$B$2,'23_BCTC_Chi_tiet'!$B$4:$B$33,$B$3)</x:f>
        <x:v>456.74399999999997</x:v>
      </x:c>
    </x:row>
    <x:row r="27">
      <x:c r="A27" t="str">
        <x:v>227</x:v>
      </x:c>
      <x:c r="B27" t="str">
        <x:v>TSCĐ vô hình</x:v>
      </x:c>
      <x:c r="D27" s="59" t="n">
        <x:f>0</x:f>
        <x:v>0</x:v>
      </x:c>
    </x:row>
    <x:row r="28">
      <x:c r="A28" t="str">
        <x:v>240</x:v>
      </x:c>
      <x:c r="B28" t="str">
        <x:v>Bất động sản đầu tư</x:v>
      </x:c>
      <x:c r="D28" s="59" t="n">
        <x:f>0</x:f>
        <x:v>0</x:v>
      </x:c>
    </x:row>
    <x:row r="29">
      <x:c r="A29" t="str">
        <x:v>250</x:v>
      </x:c>
      <x:c r="B29" t="str">
        <x:v>Tài sản dở dang dài hạn</x:v>
      </x:c>
      <x:c r="D29" s="59" t="n">
        <x:f>D30</x:f>
        <x:v>0</x:v>
      </x:c>
    </x:row>
    <x:row r="30">
      <x:c r="A30" t="str">
        <x:v>252</x:v>
      </x:c>
      <x:c r="B30" t="str">
        <x:v>Chi phí XDCB dở dang</x:v>
      </x:c>
      <x:c r="D30" s="59" t="n">
        <x:f>0</x:f>
        <x:v>0</x:v>
      </x:c>
    </x:row>
    <x:row r="31">
      <x:c r="A31" t="str">
        <x:v>260</x:v>
      </x:c>
      <x:c r="B31" t="str">
        <x:v>Đầu tư tài chính dài hạn</x:v>
      </x:c>
      <x:c r="D31" s="59" t="n">
        <x:f>0</x:f>
        <x:v>0</x:v>
      </x:c>
    </x:row>
    <x:row r="32">
      <x:c r="A32" t="str">
        <x:v>270</x:v>
      </x:c>
      <x:c r="B32" t="str">
        <x:v>Tài sản dài hạn khác</x:v>
      </x:c>
      <x:c r="D32" s="59" t="n">
        <x:f>SUM(D33:D34)</x:f>
        <x:v>294</x:v>
      </x:c>
    </x:row>
    <x:row r="33">
      <x:c r="A33" t="str">
        <x:v>271</x:v>
      </x:c>
      <x:c r="B33" t="str">
        <x:v>Chi phí trả trước dài hạn</x:v>
      </x:c>
      <x:c r="D33" s="59" t="n">
        <x:f>SUMIFS('23_BCTC_Chi_tiet'!$S$4:$S$33,'23_BCTC_Chi_tiet'!$A$4:$A$33,$B$2,'23_BCTC_Chi_tiet'!$B$4:$B$33,$B$3)</x:f>
        <x:v>294</x:v>
      </x:c>
    </x:row>
    <x:row r="34">
      <x:c r="A34" t="str">
        <x:v>272</x:v>
      </x:c>
      <x:c r="B34" t="str">
        <x:v>Tài sản thuế TNDN hoãn lại</x:v>
      </x:c>
      <x:c r="D34" s="59" t="n">
        <x:f>0</x:f>
        <x:v>0</x:v>
      </x:c>
    </x:row>
    <x:row r="35">
      <x:c r="A35" t="str">
        <x:v>280</x:v>
      </x:c>
      <x:c r="B35" t="str">
        <x:v>TỔNG CỘNG TÀI SẢN</x:v>
      </x:c>
      <x:c r="D35" s="59" t="n">
        <x:f>D6+D23</x:f>
        <x:v>4670.744</x:v>
      </x:c>
    </x:row>
    <x:row r="36">
      <x:c r="A36" t="str">
        <x:v>300</x:v>
      </x:c>
      <x:c r="B36" t="str">
        <x:v>NỢ PHẢI TRẢ</x:v>
      </x:c>
      <x:c r="D36" s="59" t="n">
        <x:f>D37+D44</x:f>
        <x:v>6537.322372152274</x:v>
      </x:c>
    </x:row>
    <x:row r="37">
      <x:c r="A37" t="str">
        <x:v>310</x:v>
      </x:c>
      <x:c r="B37" t="str">
        <x:v>Nợ ngắn hạn</x:v>
      </x:c>
      <x:c r="D37" s="59" t="n">
        <x:f>SUM(D38:D43)</x:f>
        <x:v>4296.718830253296</x:v>
      </x:c>
    </x:row>
    <x:row r="38">
      <x:c r="A38" t="str">
        <x:v>311</x:v>
      </x:c>
      <x:c r="B38" t="str">
        <x:v>Phải trả người bán ngắn hạn</x:v>
      </x:c>
      <x:c r="D38" s="59" t="n">
        <x:f>SUMIFS('23_BCTC_Chi_tiet'!$U$4:$U$33,'23_BCTC_Chi_tiet'!$A$4:$A$33,$B$2,'23_BCTC_Chi_tiet'!$B$4:$B$33,$B$3)</x:f>
        <x:v>0</x:v>
      </x:c>
    </x:row>
    <x:row r="39">
      <x:c r="A39" t="str">
        <x:v>312</x:v>
      </x:c>
      <x:c r="B39" t="str">
        <x:v>Người mua trả tiền trước ngắn hạn</x:v>
      </x:c>
      <x:c r="D39" s="59" t="n">
        <x:f>SUMIFS('23_BCTC_Chi_tiet'!$V$4:$V$33,'23_BCTC_Chi_tiet'!$A$4:$A$33,$B$2,'23_BCTC_Chi_tiet'!$B$4:$B$33,$B$3)</x:f>
        <x:v>3090.24</x:v>
      </x:c>
    </x:row>
    <x:row r="40">
      <x:c r="A40" t="str">
        <x:v>313</x:v>
      </x:c>
      <x:c r="B40" t="str">
        <x:v>Thuế và các khoản phải nộp Nhà nước</x:v>
      </x:c>
      <x:c r="D40" s="59" t="n">
        <x:f>SUMIFS('23_BCTC_Chi_tiet'!$W$4:$W$33,'23_BCTC_Chi_tiet'!$A$4:$A$33,$B$2,'23_BCTC_Chi_tiet'!$B$4:$B$33,$B$3)</x:f>
        <x:v>0</x:v>
      </x:c>
    </x:row>
    <x:row r="41">
      <x:c r="A41" t="str">
        <x:v>315</x:v>
      </x:c>
      <x:c r="B41" t="str">
        <x:v>Chi phí phải trả ngắn hạn</x:v>
      </x:c>
      <x:c r="D41" s="59" t="n">
        <x:f>0</x:f>
        <x:v>0</x:v>
      </x:c>
    </x:row>
    <x:row r="42">
      <x:c r="A42" t="str">
        <x:v>319</x:v>
      </x:c>
      <x:c r="B42" t="str">
        <x:v>Phải trả ngắn hạn khác</x:v>
      </x:c>
      <x:c r="D42" s="59" t="n">
        <x:f>SUMIFS('23_BCTC_Chi_tiet'!$X$4:$X$33,'23_BCTC_Chi_tiet'!$A$4:$A$33,$B$2,'23_BCTC_Chi_tiet'!$B$4:$B$33,$B$3)</x:f>
        <x:v>0</x:v>
      </x:c>
    </x:row>
    <x:row r="43">
      <x:c r="A43" t="str">
        <x:v>320</x:v>
      </x:c>
      <x:c r="B43" t="str">
        <x:v>Vay và nợ thuê tài chính ngắn hạn</x:v>
      </x:c>
      <x:c r="D43" s="59" t="n">
        <x:f>SUMIFS('23_BCTC_Chi_tiet'!$Y$4:$Y$33,'23_BCTC_Chi_tiet'!$A$4:$A$33,$B$2,'23_BCTC_Chi_tiet'!$B$4:$B$33,$B$3)</x:f>
        <x:v>1206.4788302532959</x:v>
      </x:c>
    </x:row>
    <x:row r="44">
      <x:c r="A44" t="str">
        <x:v>330</x:v>
      </x:c>
      <x:c r="B44" t="str">
        <x:v>Nợ dài hạn</x:v>
      </x:c>
      <x:c r="D44" s="59" t="n">
        <x:f>D45</x:f>
        <x:v>2240.603541898978</x:v>
      </x:c>
    </x:row>
    <x:row r="45">
      <x:c r="A45" t="str">
        <x:v>338</x:v>
      </x:c>
      <x:c r="B45" t="str">
        <x:v>Vay và nợ thuê tài chính dài hạn</x:v>
      </x:c>
      <x:c r="D45" s="59" t="n">
        <x:f>SUMIFS('23_BCTC_Chi_tiet'!$Z$4:$Z$33,'23_BCTC_Chi_tiet'!$A$4:$A$33,$B$2,'23_BCTC_Chi_tiet'!$B$4:$B$33,$B$3)</x:f>
        <x:v>2240.603541898978</x:v>
      </x:c>
    </x:row>
    <x:row r="46">
      <x:c r="A46" t="str">
        <x:v>400</x:v>
      </x:c>
      <x:c r="B46" t="str">
        <x:v>VỐN CHỦ SỞ HỮU</x:v>
      </x:c>
      <x:c r="D46" s="59" t="n">
        <x:f>D47</x:f>
        <x:v>-1866.578372152274</x:v>
      </x:c>
    </x:row>
    <x:row r="47">
      <x:c r="A47" t="str">
        <x:v>410</x:v>
      </x:c>
      <x:c r="B47" t="str">
        <x:v>Vốn chủ sở hữu</x:v>
      </x:c>
      <x:c r="D47" s="59" t="n">
        <x:f>SUM(D48:D49)</x:f>
        <x:v>-1866.578372152274</x:v>
      </x:c>
    </x:row>
    <x:row r="48">
      <x:c r="A48" t="str">
        <x:v>411</x:v>
      </x:c>
      <x:c r="B48" t="str">
        <x:v>Vốn góp của chủ sở hữu</x:v>
      </x:c>
      <x:c r="D48" s="59" t="n">
        <x:f>SUMIFS('23_BCTC_Chi_tiet'!$AB$4:$AB$33,'23_BCTC_Chi_tiet'!$A$4:$A$33,$B$2,'23_BCTC_Chi_tiet'!$B$4:$B$33,$B$3)</x:f>
        <x:v>2600</x:v>
      </x:c>
    </x:row>
    <x:row r="49">
      <x:c r="A49" t="str">
        <x:v>421</x:v>
      </x:c>
      <x:c r="B49" t="str">
        <x:v>Lợi nhuận sau thuế chưa phân phối</x:v>
      </x:c>
      <x:c r="D49" s="59" t="n">
        <x:f>D35-D36-D48</x:f>
        <x:v>-4466.578372152274</x:v>
      </x:c>
    </x:row>
    <x:row r="50">
      <x:c r="A50" t="str">
        <x:v>440</x:v>
      </x:c>
      <x:c r="B50" t="str">
        <x:v>TỔNG CỘNG NGUỒN VỐN</x:v>
      </x:c>
      <x:c r="D50" s="59" t="n">
        <x:f>D36+D46</x:f>
        <x:v>4670.744</x:v>
      </x:c>
    </x:row>
  </x:sheetData>
  <x:mergeCells>
    <x:mergeCell ref="A1:D1"/>
  </x:mergeCells>
  <x:dataValidations count="2">
    <x:dataValidation type="list" sqref="B2">
      <x:formula1>"DA01,DA02,DA03,DA04,DA05,DA06"</x:formula1>
    </x:dataValidation>
    <x:dataValidation type="list" sqref="B3">
      <x:formula1>"1,2,3,4,5"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</x:cols>
  <x:sheetData>
    <x:row r="1">
      <x:c r="A1" s="81" t="str">
        <x:v>25_B02_DN_KQKD – Báo cáo kết quả hoạt động kinh doanh kế hoạch (B02-DN)</x:v>
      </x:c>
      <x:c r="B1" s="81"/>
      <x:c r="C1" s="81"/>
      <x:c r="D1" s="81"/>
    </x:row>
    <x:row r="2">
      <x:c r="A2" t="str">
        <x:v>Mã dự án</x:v>
      </x:c>
      <x:c r="B2" t="str">
        <x:v>DA03</x:v>
      </x:c>
    </x:row>
    <x:row r="3">
      <x:c r="A3" t="str">
        <x:v>Năm mô hình</x:v>
      </x:c>
      <x:c r="B3" t="n">
        <x:v>1</x:v>
      </x:c>
    </x:row>
    <x:row r="5">
      <x:c r="A5" s="77" t="str">
        <x:v>Mã số</x:v>
      </x:c>
      <x:c r="B5" s="77" t="str">
        <x:v>Chỉ tiêu</x:v>
      </x:c>
      <x:c r="C5" s="77" t="str">
        <x:v>Thuyết minh</x:v>
      </x:c>
      <x:c r="D5" s="77" t="str">
        <x:v>Năm nay (tỷ)</x:v>
      </x:c>
    </x:row>
    <x:row r="6">
      <x:c r="A6" t="str">
        <x:v>01</x:v>
      </x:c>
      <x:c r="B6" t="str">
        <x:v>Doanh thu bán hàng và cung cấp dịch vụ</x:v>
      </x:c>
      <x:c r="D6" s="59" t="n">
        <x:f>SUMIFS('23_BCTC_Chi_tiet'!$C$4:$C$33,'23_BCTC_Chi_tiet'!$A$4:$A$33,$B$2,'23_BCTC_Chi_tiet'!$B$4:$B$33,$B$3)</x:f>
        <x:v>0</x:v>
      </x:c>
    </x:row>
    <x:row r="7">
      <x:c r="A7" t="str">
        <x:v>02</x:v>
      </x:c>
      <x:c r="B7" t="str">
        <x:v>Các khoản giảm trừ doanh thu</x:v>
      </x:c>
      <x:c r="D7" s="59" t="n">
        <x:f>0</x:f>
        <x:v>0</x:v>
      </x:c>
    </x:row>
    <x:row r="8">
      <x:c r="A8" t="str">
        <x:v>10</x:v>
      </x:c>
      <x:c r="B8" t="str">
        <x:v>Doanh thu thuần</x:v>
      </x:c>
      <x:c r="D8" s="59" t="n">
        <x:f>SUMIFS('23_BCTC_Chi_tiet'!$C$4:$C$33,'23_BCTC_Chi_tiet'!$A$4:$A$33,$B$2,'23_BCTC_Chi_tiet'!$B$4:$B$33,$B$3)</x:f>
        <x:v>0</x:v>
      </x:c>
    </x:row>
    <x:row r="9">
      <x:c r="A9" t="str">
        <x:v>11</x:v>
      </x:c>
      <x:c r="B9" t="str">
        <x:v>Giá vốn hàng bán và dịch vụ cung cấp</x:v>
      </x:c>
      <x:c r="D9" s="59" t="n">
        <x:f>SUMIFS('23_BCTC_Chi_tiet'!$D$4:$D$33,'23_BCTC_Chi_tiet'!$A$4:$A$33,$B$2,'23_BCTC_Chi_tiet'!$B$4:$B$33,$B$3)</x:f>
        <x:v>0</x:v>
      </x:c>
    </x:row>
    <x:row r="10">
      <x:c r="A10" t="str">
        <x:v>20</x:v>
      </x:c>
      <x:c r="B10" t="str">
        <x:v>Lợi nhuận gộp</x:v>
      </x:c>
      <x:c r="D10" s="59" t="n">
        <x:f>SUMIFS('23_BCTC_Chi_tiet'!$E$4:$E$33,'23_BCTC_Chi_tiet'!$A$4:$A$33,$B$2,'23_BCTC_Chi_tiet'!$B$4:$B$33,$B$3)</x:f>
        <x:v>0</x:v>
      </x:c>
    </x:row>
    <x:row r="11">
      <x:c r="A11" t="str">
        <x:v>21</x:v>
      </x:c>
      <x:c r="B11" t="str">
        <x:v>Doanh thu hoạt động tài chính</x:v>
      </x:c>
      <x:c r="D11" s="59" t="n">
        <x:f>SUMIFS('23_BCTC_Chi_tiet'!$F$4:$F$33,'23_BCTC_Chi_tiet'!$A$4:$A$33,$B$2,'23_BCTC_Chi_tiet'!$B$4:$B$33,$B$3)</x:f>
        <x:v>0</x:v>
      </x:c>
    </x:row>
    <x:row r="12">
      <x:c r="A12" t="str">
        <x:v>22</x:v>
      </x:c>
      <x:c r="B12" t="str">
        <x:v>Chi phí tài chính</x:v>
      </x:c>
      <x:c r="D12" s="59" t="n">
        <x:f>SUMIFS('23_BCTC_Chi_tiet'!$G$4:$G$33,'23_BCTC_Chi_tiet'!$A$4:$A$33,$B$2,'23_BCTC_Chi_tiet'!$B$4:$B$33,$B$3)</x:f>
        <x:v>350.5073721522751</x:v>
      </x:c>
    </x:row>
    <x:row r="13">
      <x:c r="A13" t="str">
        <x:v>23</x:v>
      </x:c>
      <x:c r="B13" t="str">
        <x:v>Trong đó: Chi phí lãi vay</x:v>
      </x:c>
      <x:c r="D13" s="59" t="n">
        <x:f>SUMIFS('23_BCTC_Chi_tiet'!$H$4:$H$33,'23_BCTC_Chi_tiet'!$A$4:$A$33,$B$2,'23_BCTC_Chi_tiet'!$B$4:$B$33,$B$3)</x:f>
        <x:v>350.5073721522751</x:v>
      </x:c>
    </x:row>
    <x:row r="14">
      <x:c r="A14" t="str">
        <x:v>25</x:v>
      </x:c>
      <x:c r="B14" t="str">
        <x:v>Chi phí bán hàng</x:v>
      </x:c>
      <x:c r="D14" s="59" t="n">
        <x:f>SUMIFS('23_BCTC_Chi_tiet'!$I$4:$I$33,'23_BCTC_Chi_tiet'!$A$4:$A$33,$B$2,'23_BCTC_Chi_tiet'!$B$4:$B$33,$B$3)</x:f>
        <x:v>0</x:v>
      </x:c>
    </x:row>
    <x:row r="15">
      <x:c r="A15" t="str">
        <x:v>26</x:v>
      </x:c>
      <x:c r="B15" t="str">
        <x:v>Chi phí quản lý doanh nghiệp</x:v>
      </x:c>
      <x:c r="D15" s="59" t="n">
        <x:f>SUMIFS('23_BCTC_Chi_tiet'!$J$4:$J$33,'23_BCTC_Chi_tiet'!$A$4:$A$33,$B$2,'23_BCTC_Chi_tiet'!$B$4:$B$33,$B$3)</x:f>
        <x:v>0</x:v>
      </x:c>
    </x:row>
    <x:row r="16">
      <x:c r="A16" t="str">
        <x:v>30</x:v>
      </x:c>
      <x:c r="B16" t="str">
        <x:v>Lợi nhuận thuần từ HĐKD</x:v>
      </x:c>
      <x:c r="D16" s="59" t="n">
        <x:f>D10+D11-D12-D14-D15</x:f>
        <x:v>-350.5073721522751</x:v>
      </x:c>
    </x:row>
    <x:row r="17">
      <x:c r="A17" t="str">
        <x:v>31</x:v>
      </x:c>
      <x:c r="B17" t="str">
        <x:v>Thu nhập khác</x:v>
      </x:c>
      <x:c r="D17" s="59" t="n">
        <x:f>0</x:f>
        <x:v>0</x:v>
      </x:c>
    </x:row>
    <x:row r="18">
      <x:c r="A18" t="str">
        <x:v>32</x:v>
      </x:c>
      <x:c r="B18" t="str">
        <x:v>Chi phí khác</x:v>
      </x:c>
      <x:c r="D18" s="59" t="n">
        <x:f>0</x:f>
        <x:v>0</x:v>
      </x:c>
    </x:row>
    <x:row r="19">
      <x:c r="A19" t="str">
        <x:v>40</x:v>
      </x:c>
      <x:c r="B19" t="str">
        <x:v>Lợi nhuận khác</x:v>
      </x:c>
      <x:c r="D19" s="59" t="n">
        <x:f>0</x:f>
        <x:v>0</x:v>
      </x:c>
    </x:row>
    <x:row r="20">
      <x:c r="A20" t="str">
        <x:v>50</x:v>
      </x:c>
      <x:c r="B20" t="str">
        <x:v>Tổng lợi nhuận kế toán trước thuế</x:v>
      </x:c>
      <x:c r="D20" s="59" t="n">
        <x:f>SUMIFS('23_BCTC_Chi_tiet'!$K$4:$K$33,'23_BCTC_Chi_tiet'!$A$4:$A$33,$B$2,'23_BCTC_Chi_tiet'!$B$4:$B$33,$B$3)</x:f>
        <x:v>-350.5073721522751</x:v>
      </x:c>
    </x:row>
    <x:row r="21">
      <x:c r="A21" t="str">
        <x:v>51</x:v>
      </x:c>
      <x:c r="B21" t="str">
        <x:v>Chi phí thuế TNDN hiện hành</x:v>
      </x:c>
      <x:c r="D21" s="59" t="n">
        <x:f>SUMIFS('23_BCTC_Chi_tiet'!$L$4:$L$33,'23_BCTC_Chi_tiet'!$A$4:$A$33,$B$2,'23_BCTC_Chi_tiet'!$B$4:$B$33,$B$3)</x:f>
        <x:v>0</x:v>
      </x:c>
    </x:row>
    <x:row r="22">
      <x:c r="A22" t="str">
        <x:v>52</x:v>
      </x:c>
      <x:c r="B22" t="str">
        <x:v>Thuế TNDN hoãn lại</x:v>
      </x:c>
      <x:c r="D22" s="59" t="n">
        <x:f>0</x:f>
        <x:v>0</x:v>
      </x:c>
    </x:row>
    <x:row r="23">
      <x:c r="A23" t="str">
        <x:v>60</x:v>
      </x:c>
      <x:c r="B23" t="str">
        <x:v>Lợi nhuận sau thuế TNDN</x:v>
      </x:c>
      <x:c r="D23" s="59" t="n">
        <x:f>SUMIFS('23_BCTC_Chi_tiet'!$M$4:$M$33,'23_BCTC_Chi_tiet'!$A$4:$A$33,$B$2,'23_BCTC_Chi_tiet'!$B$4:$B$33,$B$3)</x:f>
        <x:v>-350.5073721522751</x:v>
      </x:c>
    </x:row>
  </x:sheetData>
  <x:mergeCells>
    <x:mergeCell ref="A1:D1"/>
  </x:mergeCells>
  <x:dataValidations count="2">
    <x:dataValidation type="list" sqref="B2">
      <x:formula1>"DA01,DA02,DA03,DA04,DA05,DA06"</x:formula1>
    </x:dataValidation>
    <x:dataValidation type="list" sqref="B3">
      <x:formula1>"1,2,3,4,5"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</x:cols>
  <x:sheetData>
    <x:row r="1">
      <x:c r="A1" s="81" t="str">
        <x:v>26_B03_DN_LCTT – Báo cáo lưu chuyển tiền tệ kế hoạch, phương pháp gián tiếp (B03-DN)</x:v>
      </x:c>
      <x:c r="B1" s="81"/>
      <x:c r="C1" s="81"/>
      <x:c r="D1" s="81"/>
    </x:row>
    <x:row r="2">
      <x:c r="A2" t="str">
        <x:v>Mã dự án</x:v>
      </x:c>
      <x:c r="B2" t="str">
        <x:v>DA03</x:v>
      </x:c>
    </x:row>
    <x:row r="3">
      <x:c r="A3" t="str">
        <x:v>Năm mô hình</x:v>
      </x:c>
      <x:c r="B3" t="n">
        <x:v>1</x:v>
      </x:c>
    </x:row>
    <x:row r="5">
      <x:c r="A5" s="77" t="str">
        <x:v>Mã số</x:v>
      </x:c>
      <x:c r="B5" s="77" t="str">
        <x:v>Chỉ tiêu</x:v>
      </x:c>
      <x:c r="C5" s="77" t="str">
        <x:v>Thuyết minh</x:v>
      </x:c>
      <x:c r="D5" s="77" t="str">
        <x:v>Năm nay (tỷ)</x:v>
      </x:c>
    </x:row>
    <x:row r="6">
      <x:c r="A6" t="str">
        <x:v>01</x:v>
      </x:c>
      <x:c r="B6" t="str">
        <x:v>Lợi nhuận trước thuế</x:v>
      </x:c>
      <x:c r="D6" s="59" t="n">
        <x:f>SUMIFS('23_BCTC_Chi_tiet'!$K$4:$K$33,'23_BCTC_Chi_tiet'!$A$4:$A$33,$B$2,'23_BCTC_Chi_tiet'!$B$4:$B$33,$B$3)</x:f>
        <x:v>-350.5073721522751</x:v>
      </x:c>
    </x:row>
    <x:row r="7">
      <x:c r="A7" t="str">
        <x:v>02</x:v>
      </x:c>
      <x:c r="B7" t="str">
        <x:v>Khấu hao TSCĐ và BĐSĐT</x:v>
      </x:c>
      <x:c r="D7" s="59" t="n">
        <x:f>SUMIFS('23_BCTC_Chi_tiet'!$R$4:$R$33,'23_BCTC_Chi_tiet'!$A$4:$A$33,$B$2,'23_BCTC_Chi_tiet'!$B$4:$B$33,$B$3)*0.05</x:f>
        <x:v>22.8372</x:v>
      </x:c>
    </x:row>
    <x:row r="8">
      <x:c r="A8" t="str">
        <x:v>03</x:v>
      </x:c>
      <x:c r="B8" t="str">
        <x:v>Các khoản dự phòng</x:v>
      </x:c>
      <x:c r="D8" s="59" t="n">
        <x:f>0</x:f>
        <x:v>0</x:v>
      </x:c>
    </x:row>
    <x:row r="9">
      <x:c r="A9" t="str">
        <x:v>04</x:v>
      </x:c>
      <x:c r="B9" t="str">
        <x:v>Lỗ/(lãi) chênh lệch tỷ giá chưa thực hiện</x:v>
      </x:c>
      <x:c r="D9" s="59" t="n">
        <x:f>0</x:f>
        <x:v>0</x:v>
      </x:c>
    </x:row>
    <x:row r="10">
      <x:c r="A10" t="str">
        <x:v>05</x:v>
      </x:c>
      <x:c r="B10" t="str">
        <x:v>Lãi từ hoạt động đầu tư</x:v>
      </x:c>
      <x:c r="D10" s="59" t="n">
        <x:f>0</x:f>
        <x:v>0</x:v>
      </x:c>
    </x:row>
    <x:row r="11">
      <x:c r="A11" t="str">
        <x:v>06</x:v>
      </x:c>
      <x:c r="B11" t="str">
        <x:v>Chi phí lãi vay</x:v>
      </x:c>
      <x:c r="D11" s="59" t="n">
        <x:f>SUMIFS('23_BCTC_Chi_tiet'!$H$4:$H$33,'23_BCTC_Chi_tiet'!$A$4:$A$33,$B$2,'23_BCTC_Chi_tiet'!$B$4:$B$33,$B$3)</x:f>
        <x:v>350.5073721522751</x:v>
      </x:c>
    </x:row>
    <x:row r="12">
      <x:c r="A12" t="str">
        <x:v>08</x:v>
      </x:c>
      <x:c r="B12" t="str">
        <x:v>Lợi nhuận từ HĐKD trước thay đổi vốn lưu động</x:v>
      </x:c>
      <x:c r="D12" s="59" t="n">
        <x:f>D6+D7+D11</x:f>
        <x:v>22.837199999999996</x:v>
      </x:c>
    </x:row>
    <x:row r="13">
      <x:c r="A13" t="str">
        <x:v>09</x:v>
      </x:c>
      <x:c r="B13" t="str">
        <x:v>Tăng/giảm các khoản phải thu</x:v>
      </x:c>
      <x:c r="D13" s="59" t="n">
        <x:f>-SUMIFS('23_BCTC_Chi_tiet'!$O$4:$O$33,'23_BCTC_Chi_tiet'!$A$4:$A$33,$B$2,'23_BCTC_Chi_tiet'!$B$4:$B$33,$B$3)</x:f>
        <x:v>0</x:v>
      </x:c>
    </x:row>
    <x:row r="14">
      <x:c r="A14" t="str">
        <x:v>10</x:v>
      </x:c>
      <x:c r="B14" t="str">
        <x:v>Tăng/giảm hàng tồn kho</x:v>
      </x:c>
      <x:c r="D14" s="59" t="n">
        <x:f>-SUMIFS('23_BCTC_Chi_tiet'!$P$4:$P$33,'23_BCTC_Chi_tiet'!$A$4:$A$33,$B$2,'23_BCTC_Chi_tiet'!$B$4:$B$33,$B$3)</x:f>
        <x:v>-3920</x:v>
      </x:c>
    </x:row>
    <x:row r="15">
      <x:c r="A15" t="str">
        <x:v>11</x:v>
      </x:c>
      <x:c r="B15" t="str">
        <x:v>Tăng/giảm các khoản phải trả</x:v>
      </x:c>
      <x:c r="D15" s="59" t="n">
        <x:f>SUMIFS('23_BCTC_Chi_tiet'!$U$4:$U$33,'23_BCTC_Chi_tiet'!$A$4:$A$33,$B$2,'23_BCTC_Chi_tiet'!$B$4:$B$33,$B$3)+SUMIFS('23_BCTC_Chi_tiet'!$V$4:$V$33,'23_BCTC_Chi_tiet'!$A$4:$A$33,$B$2,'23_BCTC_Chi_tiet'!$B$4:$B$33,$B$3)</x:f>
        <x:v>3090.24</x:v>
      </x:c>
    </x:row>
    <x:row r="16">
      <x:c r="A16" t="str">
        <x:v>12</x:v>
      </x:c>
      <x:c r="B16" t="str">
        <x:v>Tăng/giảm chi phí trả trước</x:v>
      </x:c>
      <x:c r="D16" s="59" t="n">
        <x:f>0</x:f>
        <x:v>0</x:v>
      </x:c>
    </x:row>
    <x:row r="17">
      <x:c r="A17" t="str">
        <x:v>14</x:v>
      </x:c>
      <x:c r="B17" t="str">
        <x:v>Chi phí lãi vay đã trả</x:v>
      </x:c>
      <x:c r="D17" s="59" t="n">
        <x:f>SUMIFS('23_BCTC_Chi_tiet'!$H$4:$H$33,'23_BCTC_Chi_tiet'!$A$4:$A$33,$B$2,'23_BCTC_Chi_tiet'!$B$4:$B$33,$B$3)</x:f>
        <x:v>350.5073721522751</x:v>
      </x:c>
    </x:row>
    <x:row r="18">
      <x:c r="A18" t="str">
        <x:v>15</x:v>
      </x:c>
      <x:c r="B18" t="str">
        <x:v>Thuế TNDN đã nộp</x:v>
      </x:c>
      <x:c r="D18" s="59" t="n">
        <x:f>-SUMIFS('23_BCTC_Chi_tiet'!$L$4:$L$33,'23_BCTC_Chi_tiet'!$A$4:$A$33,$B$2,'23_BCTC_Chi_tiet'!$B$4:$B$33,$B$3)</x:f>
        <x:v>0</x:v>
      </x:c>
    </x:row>
    <x:row r="19">
      <x:c r="A19" t="str">
        <x:v>20</x:v>
      </x:c>
      <x:c r="B19" t="str">
        <x:v>Lưu chuyển tiền thuần từ HĐKD</x:v>
      </x:c>
      <x:c r="D19" s="59" t="n">
        <x:f>SUMIFS('23_BCTC_Chi_tiet'!$AF$4:$AF$33,'23_BCTC_Chi_tiet'!$A$4:$A$33,$B$2,'23_BCTC_Chi_tiet'!$B$4:$B$33,$B$3)</x:f>
        <x:v>2275.212627847725</x:v>
      </x:c>
    </x:row>
    <x:row r="20">
      <x:c r="A20" t="str">
        <x:v>21</x:v>
      </x:c>
      <x:c r="B20" t="str">
        <x:v>Tiền chi mua sắm, xây dựng TSCĐ và tài sản dài hạn khác</x:v>
      </x:c>
      <x:c r="D20" s="59" t="n">
        <x:f>SUMIFS('23_BCTC_Chi_tiet'!$AG$4:$AG$33,'23_BCTC_Chi_tiet'!$A$4:$A$33,$B$2,'23_BCTC_Chi_tiet'!$B$4:$B$33,$B$3)</x:f>
        <x:v>-2632.2799999999997</x:v>
      </x:c>
    </x:row>
    <x:row r="21">
      <x:c r="A21" t="str">
        <x:v>30</x:v>
      </x:c>
      <x:c r="B21" t="str">
        <x:v>Lưu chuyển tiền thuần từ HĐ đầu tư</x:v>
      </x:c>
      <x:c r="D21" s="59" t="n">
        <x:f>D20</x:f>
        <x:v>-2632.2799999999997</x:v>
      </x:c>
    </x:row>
    <x:row r="22">
      <x:c r="A22" t="str">
        <x:v>33</x:v>
      </x:c>
      <x:c r="B22" t="str">
        <x:v>Tiền thu từ đi vay</x:v>
      </x:c>
      <x:c r="D22" s="59" t="n">
        <x:f>MAX(0,SUMIFS('23_BCTC_Chi_tiet'!$AH$4:$AH$33,'23_BCTC_Chi_tiet'!$A$4:$A$33,$B$2,'23_BCTC_Chi_tiet'!$B$4:$B$33,$B$3))</x:f>
        <x:v>177.06737215227497</x:v>
      </x:c>
    </x:row>
    <x:row r="23">
      <x:c r="A23" t="str">
        <x:v>34</x:v>
      </x:c>
      <x:c r="B23" t="str">
        <x:v>Tiền trả nợ gốc vay</x:v>
      </x:c>
      <x:c r="D23" s="59" t="n">
        <x:f>MIN(0,SUMIFS('23_BCTC_Chi_tiet'!$AH$4:$AH$33,'23_BCTC_Chi_tiet'!$A$4:$A$33,$B$2,'23_BCTC_Chi_tiet'!$B$4:$B$33,$B$3))</x:f>
        <x:v>0</x:v>
      </x:c>
    </x:row>
    <x:row r="24">
      <x:c r="A24" t="str">
        <x:v>36</x:v>
      </x:c>
      <x:c r="B24" t="str">
        <x:v>Cổ tức, lợi nhuận đã trả</x:v>
      </x:c>
      <x:c r="D24" s="59" t="n">
        <x:f>0</x:f>
        <x:v>0</x:v>
      </x:c>
    </x:row>
    <x:row r="25">
      <x:c r="A25" t="str">
        <x:v>40</x:v>
      </x:c>
      <x:c r="B25" t="str">
        <x:v>Lưu chuyển tiền thuần từ HĐ tài chính</x:v>
      </x:c>
      <x:c r="D25" s="59" t="n">
        <x:f>SUMIFS('23_BCTC_Chi_tiet'!$AH$4:$AH$33,'23_BCTC_Chi_tiet'!$A$4:$A$33,$B$2,'23_BCTC_Chi_tiet'!$B$4:$B$33,$B$3)</x:f>
        <x:v>177.06737215227497</x:v>
      </x:c>
    </x:row>
    <x:row r="26">
      <x:c r="A26" t="str">
        <x:v>50</x:v>
      </x:c>
      <x:c r="B26" t="str">
        <x:v>Lưu chuyển tiền thuần trong kỳ</x:v>
      </x:c>
      <x:c r="D26" s="59" t="n">
        <x:f>SUMIFS('23_BCTC_Chi_tiet'!$AI$4:$AI$33,'23_BCTC_Chi_tiet'!$A$4:$A$33,$B$2,'23_BCTC_Chi_tiet'!$B$4:$B$33,$B$3)</x:f>
        <x:v>-179.9999999999999</x:v>
      </x:c>
    </x:row>
    <x:row r="27">
      <x:c r="A27" t="str">
        <x:v>60</x:v>
      </x:c>
      <x:c r="B27" t="str">
        <x:v>Tiền và tương đương tiền đầu kỳ</x:v>
      </x:c>
      <x:c r="D27" s="59" t="n">
        <x:f>0</x:f>
        <x:v>0</x:v>
      </x:c>
    </x:row>
    <x:row r="28">
      <x:c r="A28" t="str">
        <x:v>61</x:v>
      </x:c>
      <x:c r="B28" t="str">
        <x:v>Ảnh hưởng thay đổi tỷ giá</x:v>
      </x:c>
      <x:c r="D28" s="59" t="n">
        <x:f>0</x:f>
        <x:v>0</x:v>
      </x:c>
    </x:row>
    <x:row r="29">
      <x:c r="A29" t="str">
        <x:v>70</x:v>
      </x:c>
      <x:c r="B29" t="str">
        <x:v>Tiền và tương đương tiền cuối kỳ</x:v>
      </x:c>
      <x:c r="D29" s="59" t="n">
        <x:f>SUMIFS('23_BCTC_Chi_tiet'!$N$4:$N$33,'23_BCTC_Chi_tiet'!$A$4:$A$33,$B$2,'23_BCTC_Chi_tiet'!$B$4:$B$33,$B$3)</x:f>
        <x:v>0</x:v>
      </x:c>
    </x:row>
  </x:sheetData>
  <x:mergeCells>
    <x:mergeCell ref="A1:D1"/>
  </x:mergeCells>
  <x:dataValidations count="2">
    <x:dataValidation type="list" sqref="B2">
      <x:formula1>"DA01,DA02,DA03,DA04,DA05,DA06"</x:formula1>
    </x:dataValidation>
    <x:dataValidation type="list" sqref="B3">
      <x:formula1>"1,2,3,4,5"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2" max="2" width="42" hidden="0" customWidth="1"/>
    <x:col min="3" max="3" width="38" hidden="0" customWidth="1"/>
    <x:col min="1" max="1" width="14" hidden="0" customWidth="1"/>
  </x:cols>
  <x:sheetData>
    <x:row r="1">
      <x:c r="A1" s="81" t="str">
        <x:v>27_B04_DN_Thuyet_minh – Thuyết minh BCTC kế hoạch</x:v>
      </x:c>
      <x:c r="B1" s="81"/>
      <x:c r="C1" s="81"/>
    </x:row>
    <x:row r="3">
      <x:c r="A3" s="77" t="str">
        <x:v>Mục</x:v>
      </x:c>
      <x:c r="B3" s="77" t="str">
        <x:v>Nội dung</x:v>
      </x:c>
      <x:c r="C3" s="77" t="str">
        <x:v>Nguồn/Căn cứ</x:v>
      </x:c>
    </x:row>
    <x:row r="4">
      <x:c r="A4" t="str">
        <x:v>Cơ sở lập</x:v>
      </x:c>
      <x:c r="B4" t="str">
        <x:v>BCTC kế hoạch/pro forma phục vụ quản trị, đơn vị tỷ đồng.</x:v>
      </x:c>
      <x:c r="C4" t="str">
        <x:v>Thông tư 99/2025/TT-BTC; mô hình quản trị</x:v>
      </x:c>
    </x:row>
    <x:row r="5">
      <x:c r="A5" t="str">
        <x:v>Kỳ báo cáo</x:v>
      </x:c>
      <x:c r="B5" t="str">
        <x:v>5 năm mô hình, mỗi năm 12 tháng.</x:v>
      </x:c>
      <x:c r="C5" t="str">
        <x:v>18_Mo_hinh_60T</x:v>
      </x:c>
    </x:row>
    <x:row r="6">
      <x:c r="A6" t="str">
        <x:v>Doanh thu</x:v>
      </x:c>
      <x:c r="B6" t="str">
        <x:v>Gắn với lịch mở bán/ghi nhận sau các Legal Gate; khi lập BCTC pháp định phải rà điều kiện ghi nhận thực tế.</x:v>
      </x:c>
      <x:c r="C6" t="str">
        <x:v>17_Gia_dinh_mo_hinh</x:v>
      </x:c>
    </x:row>
    <x:row r="7">
      <x:c r="A7" t="str">
        <x:v>Hàng tồn kho/BĐS dở dang</x:v>
      </x:c>
      <x:c r="B7" t="str">
        <x:v>Phản ánh chi phí phát triển chưa chuyển vào giá vốn theo mô hình kế hoạch.</x:v>
      </x:c>
      <x:c r="C7" t="str">
        <x:v>CAPEX/Tiến độ</x:v>
      </x:c>
    </x:row>
    <x:row r="8">
      <x:c r="A8" t="str">
        <x:v>Chi phí đi vay</x:v>
      </x:c>
      <x:c r="B8" t="str">
        <x:v>Tách theo dư nợ; phần vốn hóa phải đánh giá theo quy định kế toán hiện hành khi lập BCTC pháp định.</x:v>
      </x:c>
      <x:c r="C8" t="str">
        <x:v>18_Mo_hinh_60T</x:v>
      </x:c>
    </x:row>
    <x:row r="9">
      <x:c r="A9" t="str">
        <x:v>Thuế TNDN</x:v>
      </x:c>
      <x:c r="B9" t="str">
        <x:v>Ước tính theo giả định; nghĩa vụ thực tế theo pháp luật thuế.</x:v>
      </x:c>
      <x:c r="C9" t="str">
        <x:v>17_Gia_dinh_mo_hinh</x:v>
      </x:c>
    </x:row>
    <x:row r="10">
      <x:c r="A10" t="str">
        <x:v>Hợp nhất</x:v>
      </x:c>
      <x:c r="B10" t="str">
        <x:v>Tổng hợp quản trị theo dự án; chưa tự động loại trừ giao dịch nội bộ giữa các SPV nếu có.</x:v>
      </x:c>
      <x:c r="C10" t="str">
        <x:v>Cần bổ sung elimination thực tế</x:v>
      </x:c>
    </x:row>
    <x:row r="11">
      <x:c r="A11" t="str">
        <x:v>Chuẩn hiện hành</x:v>
      </x:c>
      <x:c r="B11" t="str">
        <x:v>Áp dụng Thông tư 99/2025/TT-BTC cho năm tài chính bắt đầu từ/sau 01/01/2026.</x:v>
      </x:c>
      <x:c r="C11" t="str">
        <x:v>Bộ Tài chính</x:v>
      </x:c>
    </x:row>
  </x:sheetData>
  <x:mergeCells>
    <x:mergeCell ref="A1:C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</x:cols>
  <x:sheetData>
    <x:row r="1">
      <x:c r="A1" s="81" t="str">
        <x:v>28_Kiem_tra_BCTC – Kiểm tra cân đối và đối chiếu chéo</x:v>
      </x:c>
      <x:c r="B1" s="81"/>
      <x:c r="C1" s="81"/>
      <x:c r="D1" s="81"/>
      <x:c r="E1" s="81"/>
    </x:row>
    <x:row r="3">
      <x:c r="A3" s="77" t="str">
        <x:v>Kiểm tra</x:v>
      </x:c>
      <x:c r="B3" s="77" t="str">
        <x:v>Giá trị</x:v>
      </x:c>
      <x:c r="C3" s="77" t="str">
        <x:v>Ngưỡng</x:v>
      </x:c>
      <x:c r="D3" s="77" t="str">
        <x:v>Trạng thái</x:v>
      </x:c>
      <x:c r="E3" s="77" t="str">
        <x:v>Hành động</x:v>
      </x:c>
    </x:row>
    <x:row r="4">
      <x:c r="A4" t="str">
        <x:v>CĐKT: Tổng tài sản - Tổng nguồn vốn</x:v>
      </x:c>
      <x:c r="B4" t="n">
        <x:f>'24_B01_DN_CDKT'!D35-'24_B01_DN_CDKT'!D50</x:f>
        <x:v>0</x:v>
      </x:c>
      <x:c r="C4" t="n">
        <x:v>0</x:v>
      </x:c>
      <x:c r="D4" t="str">
        <x:f>IF(ABS(B4)&lt;0.1,"OK","LỖI")</x:f>
        <x:v>OK</x:v>
      </x:c>
      <x:c r="E4" t="str">
        <x:v>Rà mapping nếu khác 0</x:v>
      </x:c>
    </x:row>
    <x:row r="5">
      <x:c r="A5" t="str">
        <x:v>KQKD: LNST khớp dữ liệu mô hình</x:v>
      </x:c>
      <x:c r="B5" t="n">
        <x:f>'25_B02_DN_KQKD'!D23-SUMIFS('23_BCTC_Chi_tiet'!$M$4:$M$33,'23_BCTC_Chi_tiet'!$A$4:$A$33,'25_B02_DN_KQKD'!$B$2,'23_BCTC_Chi_tiet'!$B$4:$B$33,'25_B02_DN_KQKD'!$B$3)</x:f>
        <x:v>0</x:v>
      </x:c>
      <x:c r="C5" t="n">
        <x:v>0</x:v>
      </x:c>
      <x:c r="D5" t="str">
        <x:f>IF(ABS(B5)&lt;0.1,"OK","LỖI")</x:f>
        <x:v>OK</x:v>
      </x:c>
      <x:c r="E5" t="str">
        <x:v>Rà KQKD</x:v>
      </x:c>
    </x:row>
    <x:row r="6">
      <x:c r="A6" t="str">
        <x:v>Tiền cuối kỳ LCTT - CĐKT</x:v>
      </x:c>
      <x:c r="B6" t="n">
        <x:f>'26_B03_DN_LCTT'!D29-'24_B01_DN_CDKT'!D7</x:f>
        <x:v>0</x:v>
      </x:c>
      <x:c r="C6" t="n">
        <x:v>0</x:v>
      </x:c>
      <x:c r="D6" t="str">
        <x:f>IF(ABS(B6)&lt;0.1,"OK","LỖI")</x:f>
        <x:v>OK</x:v>
      </x:c>
      <x:c r="E6" t="str">
        <x:v>Rà LCTT/CĐKT</x:v>
      </x:c>
    </x:row>
  </x:sheetData>
  <x:mergeCells>
    <x:mergeCell ref="A1:E1"/>
  </x:mergeCells>
  <x:conditionalFormatting sqref="D4:D6">
    <x:cfRule type="expression" dxfId="3" priority="1">
      <x:formula>D4="LỖI"</x:formula>
    </x:cfRule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>
      <x:c r="A1" s="96" t="str">
        <x:v>29_Danh_muc_phap_nhan – Cấu trúc công ty mẹ, SPV và dự án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  <x:c r="O1" s="14"/>
      <x:c r="P1" s="14"/>
      <x:c r="Q1" s="14"/>
      <x:c r="R1" s="14"/>
      <x:c r="S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</x:row>
    <x:row r="3">
      <x:c r="A3" s="91" t="str">
        <x:v>Mã pháp nhân</x:v>
      </x:c>
      <x:c r="B3" s="91" t="str">
        <x:v>Tên pháp nhân</x:v>
      </x:c>
      <x:c r="C3" s="91" t="str">
        <x:v>Loại pháp nhân</x:v>
      </x:c>
      <x:c r="D3" s="91" t="str">
        <x:v>Mã dự án chính</x:v>
      </x:c>
      <x:c r="E3" s="91" t="str">
        <x:v>Tỷ lệ sở hữu trực tiếp</x:v>
      </x:c>
      <x:c r="F3" s="91" t="str">
        <x:v>Tỷ lệ lợi ích kinh tế</x:v>
      </x:c>
      <x:c r="G3" s="91" t="str">
        <x:v>Phương pháp hợp nhất</x:v>
      </x:c>
      <x:c r="H3" s="91" t="str">
        <x:v>Công ty mẹ trực tiếp</x:v>
      </x:c>
      <x:c r="I3" s="91" t="str">
        <x:v>Được Cash Pool?</x:v>
      </x:c>
      <x:c r="J3" s="91" t="str">
        <x:v>Có bảo lãnh CTM?</x:v>
      </x:c>
      <x:c r="K3" s="91" t="str">
        <x:v>Vốn điều lệ (tỷ)</x:v>
      </x:c>
      <x:c r="L3" s="91" t="str">
        <x:v>Tiền tối thiểu duy trì (tỷ)</x:v>
      </x:c>
      <x:c r="M3" s="91" t="str">
        <x:v>Trạng thái</x:v>
      </x:c>
      <x:c r="N3" s="91" t="str">
        <x:v>Ghi chú</x:v>
      </x:c>
      <x:c r="O3" s="14"/>
      <x:c r="P3" s="14"/>
      <x:c r="Q3" s="14"/>
      <x:c r="R3" s="14"/>
      <x:c r="S3" s="14"/>
    </x:row>
    <x:row r="4">
      <x:c r="A4" s="97" t="str">
        <x:v>CTM</x:v>
      </x:c>
      <x:c r="B4" s="97" t="str">
        <x:v>Công ty Cổ phần Phát triển BĐS Việt Nam</x:v>
      </x:c>
      <x:c r="C4" s="97" t="str">
        <x:v>Công ty mẹ</x:v>
      </x:c>
      <x:c r="D4" s="97" t="str">
        <x:v>-</x:v>
      </x:c>
      <x:c r="E4" s="98" t="n">
        <x:v>1</x:v>
      </x:c>
      <x:c r="F4" s="98" t="n">
        <x:v>1</x:v>
      </x:c>
      <x:c r="G4" s="97" t="str">
        <x:v>Công ty mẹ</x:v>
      </x:c>
      <x:c r="H4" s="97" t="str">
        <x:v>-</x:v>
      </x:c>
      <x:c r="I4" s="97" t="str">
        <x:v>Có</x:v>
      </x:c>
      <x:c r="J4" s="97" t="str">
        <x:v>-</x:v>
      </x:c>
      <x:c r="K4" s="99" t="n">
        <x:v>5000</x:v>
      </x:c>
      <x:c r="L4" s="99" t="n">
        <x:v>300</x:v>
      </x:c>
      <x:c r="M4" s="97" t="str">
        <x:v>Đang hoạt động</x:v>
      </x:c>
      <x:c r="N4" s="97" t="str">
        <x:v>Đầu mối Treasury và quản trị tập đoàn</x:v>
      </x:c>
      <x:c r="O4" s="14"/>
      <x:c r="P4" s="14"/>
      <x:c r="Q4" s="14"/>
      <x:c r="R4" s="14"/>
      <x:c r="S4" s="14"/>
    </x:row>
    <x:row r="5">
      <x:c r="A5" s="97" t="str">
        <x:v>SPV01</x:v>
      </x:c>
      <x:c r="B5" s="97" t="str">
        <x:v>Công ty TNHH Đô thị Tây Hà Nội</x:v>
      </x:c>
      <x:c r="C5" s="97" t="str">
        <x:v>SPV dự án</x:v>
      </x:c>
      <x:c r="D5" s="97" t="str">
        <x:v>DA01</x:v>
      </x:c>
      <x:c r="E5" s="98" t="n">
        <x:v>1</x:v>
      </x:c>
      <x:c r="F5" s="98" t="n">
        <x:v>1</x:v>
      </x:c>
      <x:c r="G5" s="97" t="str">
        <x:v>Hợp nhất toàn bộ</x:v>
      </x:c>
      <x:c r="H5" s="97" t="str">
        <x:v>CTM</x:v>
      </x:c>
      <x:c r="I5" s="97" t="str">
        <x:v>Có</x:v>
      </x:c>
      <x:c r="J5" s="97" t="str">
        <x:v>Có</x:v>
      </x:c>
      <x:c r="K5" s="99" t="n">
        <x:v>1900</x:v>
      </x:c>
      <x:c r="L5" s="99" t="n">
        <x:v>80</x:v>
      </x:c>
      <x:c r="M5" s="97" t="str">
        <x:v>Đang triển khai</x:v>
      </x:c>
      <x:c r="N5" s="97" t="str">
        <x:v>Chuẩn bị đầu tư</x:v>
      </x:c>
      <x:c r="O5" s="14"/>
      <x:c r="P5" s="14"/>
      <x:c r="Q5" s="14"/>
      <x:c r="R5" s="14"/>
      <x:c r="S5" s="14"/>
    </x:row>
    <x:row r="6">
      <x:c r="A6" s="97" t="str">
        <x:v>SPV02</x:v>
      </x:c>
      <x:c r="B6" s="97" t="str">
        <x:v>Công ty TNHH Nhà ở Đông Anh</x:v>
      </x:c>
      <x:c r="C6" s="97" t="str">
        <x:v>SPV dự án</x:v>
      </x:c>
      <x:c r="D6" s="97" t="str">
        <x:v>DA02</x:v>
      </x:c>
      <x:c r="E6" s="98" t="n">
        <x:v>0.9</x:v>
      </x:c>
      <x:c r="F6" s="98" t="n">
        <x:v>0.9</x:v>
      </x:c>
      <x:c r="G6" s="97" t="str">
        <x:v>Hợp nhất toàn bộ</x:v>
      </x:c>
      <x:c r="H6" s="97" t="str">
        <x:v>CTM</x:v>
      </x:c>
      <x:c r="I6" s="97" t="str">
        <x:v>Có</x:v>
      </x:c>
      <x:c r="J6" s="97" t="str">
        <x:v>Có</x:v>
      </x:c>
      <x:c r="K6" s="99" t="n">
        <x:v>2150</x:v>
      </x:c>
      <x:c r="L6" s="99" t="n">
        <x:v>90</x:v>
      </x:c>
      <x:c r="M6" s="97" t="str">
        <x:v>Đang triển khai</x:v>
      </x:c>
      <x:c r="N6" s="97" t="str">
        <x:v>Hoàn thiện pháp lý</x:v>
      </x:c>
      <x:c r="O6" s="14"/>
      <x:c r="P6" s="14"/>
      <x:c r="Q6" s="14"/>
      <x:c r="R6" s="14"/>
      <x:c r="S6" s="14"/>
    </x:row>
    <x:row r="7">
      <x:c r="A7" s="97" t="str">
        <x:v>SPV03</x:v>
      </x:c>
      <x:c r="B7" s="97" t="str">
        <x:v>Công ty CP Đô thị Hưng Yên</x:v>
      </x:c>
      <x:c r="C7" s="97" t="str">
        <x:v>SPV dự án</x:v>
      </x:c>
      <x:c r="D7" s="97" t="str">
        <x:v>DA03</x:v>
      </x:c>
      <x:c r="E7" s="98" t="n">
        <x:v>0.8</x:v>
      </x:c>
      <x:c r="F7" s="98" t="n">
        <x:v>0.8</x:v>
      </x:c>
      <x:c r="G7" s="97" t="str">
        <x:v>Hợp nhất toàn bộ</x:v>
      </x:c>
      <x:c r="H7" s="97" t="str">
        <x:v>CTM</x:v>
      </x:c>
      <x:c r="I7" s="97" t="str">
        <x:v>Có</x:v>
      </x:c>
      <x:c r="J7" s="97" t="str">
        <x:v>Có</x:v>
      </x:c>
      <x:c r="K7" s="99" t="n">
        <x:v>2600</x:v>
      </x:c>
      <x:c r="L7" s="99" t="n">
        <x:v>120</x:v>
      </x:c>
      <x:c r="M7" s="97" t="str">
        <x:v>Đang triển khai</x:v>
      </x:c>
      <x:c r="N7" s="97" t="str">
        <x:v>Thi công</x:v>
      </x:c>
      <x:c r="O7" s="14"/>
      <x:c r="P7" s="14"/>
      <x:c r="Q7" s="14"/>
      <x:c r="R7" s="14"/>
      <x:c r="S7" s="14"/>
    </x:row>
    <x:row r="8">
      <x:c r="A8" s="97" t="str">
        <x:v>SPV04</x:v>
      </x:c>
      <x:c r="B8" s="97" t="str">
        <x:v>Công ty TNHH Tổ hợp Hải Phòng</x:v>
      </x:c>
      <x:c r="C8" s="97" t="str">
        <x:v>SPV dự án</x:v>
      </x:c>
      <x:c r="D8" s="97" t="str">
        <x:v>DA04</x:v>
      </x:c>
      <x:c r="E8" s="98" t="n">
        <x:v>1</x:v>
      </x:c>
      <x:c r="F8" s="98" t="n">
        <x:v>1</x:v>
      </x:c>
      <x:c r="G8" s="97" t="str">
        <x:v>Hợp nhất toàn bộ</x:v>
      </x:c>
      <x:c r="H8" s="97" t="str">
        <x:v>CTM</x:v>
      </x:c>
      <x:c r="I8" s="97" t="str">
        <x:v>Có</x:v>
      </x:c>
      <x:c r="J8" s="97" t="str">
        <x:v>Có</x:v>
      </x:c>
      <x:c r="K8" s="99" t="n">
        <x:v>2500</x:v>
      </x:c>
      <x:c r="L8" s="99" t="n">
        <x:v>100</x:v>
      </x:c>
      <x:c r="M8" s="97" t="str">
        <x:v>Đang triển khai</x:v>
      </x:c>
      <x:c r="N8" s="97" t="str">
        <x:v>Mở bán</x:v>
      </x:c>
      <x:c r="O8" s="14"/>
      <x:c r="P8" s="14"/>
      <x:c r="Q8" s="14"/>
      <x:c r="R8" s="14"/>
      <x:c r="S8" s="14"/>
    </x:row>
    <x:row r="9">
      <x:c r="A9" s="97" t="str">
        <x:v>SPV05</x:v>
      </x:c>
      <x:c r="B9" s="97" t="str">
        <x:v>Công ty CP Nghỉ dưỡng Quảng Ninh</x:v>
      </x:c>
      <x:c r="C9" s="97" t="str">
        <x:v>SPV dự án</x:v>
      </x:c>
      <x:c r="D9" s="97" t="str">
        <x:v>DA05</x:v>
      </x:c>
      <x:c r="E9" s="98" t="n">
        <x:v>0.75</x:v>
      </x:c>
      <x:c r="F9" s="98" t="n">
        <x:v>0.75</x:v>
      </x:c>
      <x:c r="G9" s="97" t="str">
        <x:v>Hợp nhất toàn bộ</x:v>
      </x:c>
      <x:c r="H9" s="97" t="str">
        <x:v>CTM</x:v>
      </x:c>
      <x:c r="I9" s="97" t="str">
        <x:v>Không</x:v>
      </x:c>
      <x:c r="J9" s="97" t="str">
        <x:v>Có</x:v>
      </x:c>
      <x:c r="K9" s="99" t="n">
        <x:v>2100</x:v>
      </x:c>
      <x:c r="L9" s="99" t="n">
        <x:v>120</x:v>
      </x:c>
      <x:c r="M9" s="97" t="str">
        <x:v>Đang bàn giao</x:v>
      </x:c>
      <x:c r="N9" s="97" t="str">
        <x:v>Hạn chế upstream cash theo facility</x:v>
      </x:c>
      <x:c r="O9" s="14"/>
      <x:c r="P9" s="14"/>
      <x:c r="Q9" s="14"/>
      <x:c r="R9" s="14"/>
      <x:c r="S9" s="14"/>
    </x:row>
    <x:row r="10">
      <x:c r="A10" s="97" t="str">
        <x:v>SPV06</x:v>
      </x:c>
      <x:c r="B10" s="97" t="str">
        <x:v>Công ty TNHH M&amp;A Đà Nẵng</x:v>
      </x:c>
      <x:c r="C10" s="97" t="str">
        <x:v>SPV mục tiêu/M&amp;A</x:v>
      </x:c>
      <x:c r="D10" s="97" t="str">
        <x:v>DA06</x:v>
      </x:c>
      <x:c r="E10" s="98" t="n">
        <x:v>0</x:v>
      </x:c>
      <x:c r="F10" s="98" t="n">
        <x:v>0</x:v>
      </x:c>
      <x:c r="G10" s="97" t="str">
        <x:v>Chưa hợp nhất</x:v>
      </x:c>
      <x:c r="H10" s="97" t="str">
        <x:v>CTM</x:v>
      </x:c>
      <x:c r="I10" s="97" t="str">
        <x:v>Không</x:v>
      </x:c>
      <x:c r="J10" s="97" t="str">
        <x:v>Không</x:v>
      </x:c>
      <x:c r="K10" s="99" t="n">
        <x:v>1400</x:v>
      </x:c>
      <x:c r="L10" s="99" t="n">
        <x:v>50</x:v>
      </x:c>
      <x:c r="M10" s="97" t="str">
        <x:v>Đang thẩm định</x:v>
      </x:c>
      <x:c r="N10" s="97" t="str">
        <x:v>Chỉ hợp nhất sau khi hoàn tất M&amp;A</x:v>
      </x:c>
      <x:c r="O10" s="14"/>
      <x:c r="P10" s="14"/>
      <x:c r="Q10" s="14"/>
      <x:c r="R10" s="14"/>
      <x:c r="S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</x:row>
  </x:sheetData>
  <x:mergeCells>
    <x:mergeCell ref="A1:N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>
      <x:c r="A1" s="96" t="str">
        <x:v>30_Giao_dich_noi_bo – Sổ giao dịch nội bộ phục vụ hợp nhất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  <x:c r="O1" s="96"/>
      <x:c r="P1" s="96"/>
      <x:c r="Q1" s="14"/>
      <x:c r="R1" s="14"/>
      <x:c r="S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</x:row>
    <x:row r="3">
      <x:c r="A3" s="91" t="str">
        <x:v>Mã GD</x:v>
      </x:c>
      <x:c r="B3" s="91" t="str">
        <x:v>Năm mô hình</x:v>
      </x:c>
      <x:c r="C3" s="91" t="str">
        <x:v>Bên cung cấp</x:v>
      </x:c>
      <x:c r="D3" s="91" t="str">
        <x:v>Bên nhận</x:v>
      </x:c>
      <x:c r="E3" s="91" t="str">
        <x:v>Loại giao dịch</x:v>
      </x:c>
      <x:c r="F3" s="91" t="str">
        <x:v>Mã dự án</x:v>
      </x:c>
      <x:c r="G3" s="91" t="str">
        <x:v>Giá trị phát sinh (tỷ)</x:v>
      </x:c>
      <x:c r="H3" s="91" t="str">
        <x:v>Số dư cuối kỳ (tỷ)</x:v>
      </x:c>
      <x:c r="I3" s="91" t="str">
        <x:v>Lãi suất/Phí</x:v>
      </x:c>
      <x:c r="J3" s="91" t="str">
        <x:v>Doanh thu nội bộ (tỷ)</x:v>
      </x:c>
      <x:c r="K3" s="91" t="str">
        <x:v>Chi phí nội bộ (tỷ)</x:v>
      </x:c>
      <x:c r="L3" s="91" t="str">
        <x:v>Phải thu nội bộ (tỷ)</x:v>
      </x:c>
      <x:c r="M3" s="91" t="str">
        <x:v>Phải trả nội bộ (tỷ)</x:v>
      </x:c>
      <x:c r="N3" s="91" t="str">
        <x:v>Loại trừ khi hợp nhất?</x:v>
      </x:c>
      <x:c r="O3" s="91" t="str">
        <x:v>Tình trạng đối chiếu</x:v>
      </x:c>
      <x:c r="P3" s="91" t="str">
        <x:v>Ghi chú</x:v>
      </x:c>
      <x:c r="Q3" s="14"/>
      <x:c r="R3" s="14"/>
      <x:c r="S3" s="14"/>
    </x:row>
    <x:row r="4">
      <x:c r="A4" s="97" t="str">
        <x:v>IC001</x:v>
      </x:c>
      <x:c r="B4" s="97" t="n">
        <x:v>1</x:v>
      </x:c>
      <x:c r="C4" s="97" t="str">
        <x:v>CTM</x:v>
      </x:c>
      <x:c r="D4" s="97" t="str">
        <x:v>SPV01</x:v>
      </x:c>
      <x:c r="E4" s="97" t="str">
        <x:v>Cho vay nội bộ</x:v>
      </x:c>
      <x:c r="F4" s="97" t="str">
        <x:v>DA01</x:v>
      </x:c>
      <x:c r="G4" s="99" t="n">
        <x:v>300</x:v>
      </x:c>
      <x:c r="H4" s="99" t="n">
        <x:v>300</x:v>
      </x:c>
      <x:c r="I4" s="98" t="n">
        <x:v>0.075</x:v>
      </x:c>
      <x:c r="J4" s="99" t="n">
        <x:v>22.5</x:v>
      </x:c>
      <x:c r="K4" s="99" t="n">
        <x:v>22.5</x:v>
      </x:c>
      <x:c r="L4" s="99" t="n">
        <x:v>300</x:v>
      </x:c>
      <x:c r="M4" s="99" t="n">
        <x:v>300</x:v>
      </x:c>
      <x:c r="N4" s="97" t="str">
        <x:v>Có</x:v>
      </x:c>
      <x:c r="O4" s="97" t="str">
        <x:v>Khớp</x:v>
      </x:c>
      <x:c r="P4" s="97" t="str">
        <x:v>Bổ sung vốn trước mở bán</x:v>
      </x:c>
      <x:c r="Q4" s="14"/>
      <x:c r="R4" s="14"/>
      <x:c r="S4" s="14"/>
    </x:row>
    <x:row r="5">
      <x:c r="A5" s="97" t="str">
        <x:v>IC002</x:v>
      </x:c>
      <x:c r="B5" s="97" t="n">
        <x:v>1</x:v>
      </x:c>
      <x:c r="C5" s="97" t="str">
        <x:v>CTM</x:v>
      </x:c>
      <x:c r="D5" s="97" t="str">
        <x:v>SPV02</x:v>
      </x:c>
      <x:c r="E5" s="97" t="str">
        <x:v>Cho vay nội bộ</x:v>
      </x:c>
      <x:c r="F5" s="97" t="str">
        <x:v>DA02</x:v>
      </x:c>
      <x:c r="G5" s="99" t="n">
        <x:v>450</x:v>
      </x:c>
      <x:c r="H5" s="99" t="n">
        <x:v>450</x:v>
      </x:c>
      <x:c r="I5" s="98" t="n">
        <x:v>0.075</x:v>
      </x:c>
      <x:c r="J5" s="99" t="n">
        <x:v>33.8</x:v>
      </x:c>
      <x:c r="K5" s="99" t="n">
        <x:v>33.8</x:v>
      </x:c>
      <x:c r="L5" s="99" t="n">
        <x:v>450</x:v>
      </x:c>
      <x:c r="M5" s="99" t="n">
        <x:v>450</x:v>
      </x:c>
      <x:c r="N5" s="97" t="str">
        <x:v>Có</x:v>
      </x:c>
      <x:c r="O5" s="97" t="str">
        <x:v>Khớp</x:v>
      </x:c>
      <x:c r="P5" s="97" t="str">
        <x:v>Nghĩa vụ tài chính đất</x:v>
      </x:c>
      <x:c r="Q5" s="14"/>
      <x:c r="R5" s="14"/>
      <x:c r="S5" s="14"/>
    </x:row>
    <x:row r="6">
      <x:c r="A6" s="97" t="str">
        <x:v>IC003</x:v>
      </x:c>
      <x:c r="B6" s="97" t="n">
        <x:v>1</x:v>
      </x:c>
      <x:c r="C6" s="97" t="str">
        <x:v>CTM</x:v>
      </x:c>
      <x:c r="D6" s="97" t="str">
        <x:v>SPV03</x:v>
      </x:c>
      <x:c r="E6" s="97" t="str">
        <x:v>Cho vay nội bộ</x:v>
      </x:c>
      <x:c r="F6" s="97" t="str">
        <x:v>DA03</x:v>
      </x:c>
      <x:c r="G6" s="99" t="n">
        <x:v>250</x:v>
      </x:c>
      <x:c r="H6" s="99" t="n">
        <x:v>180</x:v>
      </x:c>
      <x:c r="I6" s="98" t="n">
        <x:v>0.075</x:v>
      </x:c>
      <x:c r="J6" s="99" t="n">
        <x:v>13.5</x:v>
      </x:c>
      <x:c r="K6" s="99" t="n">
        <x:v>13.5</x:v>
      </x:c>
      <x:c r="L6" s="99" t="n">
        <x:v>180</x:v>
      </x:c>
      <x:c r="M6" s="99" t="n">
        <x:v>180</x:v>
      </x:c>
      <x:c r="N6" s="97" t="str">
        <x:v>Có</x:v>
      </x:c>
      <x:c r="O6" s="97" t="str">
        <x:v>Khớp</x:v>
      </x:c>
      <x:c r="P6" s="97" t="str">
        <x:v>Bổ sung vốn thi công</x:v>
      </x:c>
      <x:c r="Q6" s="14"/>
      <x:c r="R6" s="14"/>
      <x:c r="S6" s="14"/>
    </x:row>
    <x:row r="7">
      <x:c r="A7" s="97" t="str">
        <x:v>IC004</x:v>
      </x:c>
      <x:c r="B7" s="97" t="n">
        <x:v>1</x:v>
      </x:c>
      <x:c r="C7" s="97" t="str">
        <x:v>CTM</x:v>
      </x:c>
      <x:c r="D7" s="97" t="str">
        <x:v>SPV04</x:v>
      </x:c>
      <x:c r="E7" s="97" t="str">
        <x:v>Phí quản lý</x:v>
      </x:c>
      <x:c r="F7" s="97" t="str">
        <x:v>DA04</x:v>
      </x:c>
      <x:c r="G7" s="99" t="n">
        <x:v>45</x:v>
      </x:c>
      <x:c r="H7" s="99" t="n">
        <x:v>0</x:v>
      </x:c>
      <x:c r="I7" s="98" t="n">
        <x:v>0</x:v>
      </x:c>
      <x:c r="J7" s="99" t="n">
        <x:v>45</x:v>
      </x:c>
      <x:c r="K7" s="99" t="n">
        <x:v>45</x:v>
      </x:c>
      <x:c r="L7" s="99" t="n">
        <x:v>0</x:v>
      </x:c>
      <x:c r="M7" s="99" t="n">
        <x:v>0</x:v>
      </x:c>
      <x:c r="N7" s="97" t="str">
        <x:v>Có</x:v>
      </x:c>
      <x:c r="O7" s="97" t="str">
        <x:v>Khớp</x:v>
      </x:c>
      <x:c r="P7" s="97" t="str">
        <x:v>Phí quản lý dự án</x:v>
      </x:c>
      <x:c r="Q7" s="14"/>
      <x:c r="R7" s="14"/>
      <x:c r="S7" s="14"/>
    </x:row>
    <x:row r="8">
      <x:c r="A8" s="97" t="str">
        <x:v>IC005</x:v>
      </x:c>
      <x:c r="B8" s="97" t="n">
        <x:v>1</x:v>
      </x:c>
      <x:c r="C8" s="97" t="str">
        <x:v>SPV04</x:v>
      </x:c>
      <x:c r="D8" s="97" t="str">
        <x:v>CTM</x:v>
      </x:c>
      <x:c r="E8" s="97" t="str">
        <x:v>Hoàn trả vốn nội bộ</x:v>
      </x:c>
      <x:c r="F8" s="97" t="str">
        <x:v>DA04</x:v>
      </x:c>
      <x:c r="G8" s="99" t="n">
        <x:v>120</x:v>
      </x:c>
      <x:c r="H8" s="99" t="n">
        <x:v>0</x:v>
      </x:c>
      <x:c r="I8" s="98" t="n">
        <x:v>0</x:v>
      </x:c>
      <x:c r="J8" s="99" t="n">
        <x:v>0</x:v>
      </x:c>
      <x:c r="K8" s="99" t="n">
        <x:v>0</x:v>
      </x:c>
      <x:c r="L8" s="99" t="n">
        <x:v>0</x:v>
      </x:c>
      <x:c r="M8" s="99" t="n">
        <x:v>0</x:v>
      </x:c>
      <x:c r="N8" s="97" t="str">
        <x:v>Có</x:v>
      </x:c>
      <x:c r="O8" s="97" t="str">
        <x:v>Khớp</x:v>
      </x:c>
      <x:c r="P8" s="97" t="str">
        <x:v>Hoàn vốn tạm thời</x:v>
      </x:c>
      <x:c r="Q8" s="14"/>
      <x:c r="R8" s="14"/>
      <x:c r="S8" s="14"/>
    </x:row>
    <x:row r="9">
      <x:c r="A9" s="97" t="str">
        <x:v>IC006</x:v>
      </x:c>
      <x:c r="B9" s="97" t="n">
        <x:v>1</x:v>
      </x:c>
      <x:c r="C9" s="97" t="str">
        <x:v>CTM</x:v>
      </x:c>
      <x:c r="D9" s="97" t="str">
        <x:v>SPV05</x:v>
      </x:c>
      <x:c r="E9" s="97" t="str">
        <x:v>Cho vay nội bộ</x:v>
      </x:c>
      <x:c r="F9" s="97" t="str">
        <x:v>DA05</x:v>
      </x:c>
      <x:c r="G9" s="99" t="n">
        <x:v>100</x:v>
      </x:c>
      <x:c r="H9" s="99" t="n">
        <x:v>100</x:v>
      </x:c>
      <x:c r="I9" s="98" t="n">
        <x:v>0.08</x:v>
      </x:c>
      <x:c r="J9" s="99" t="n">
        <x:v>8</x:v>
      </x:c>
      <x:c r="K9" s="99" t="n">
        <x:v>8</x:v>
      </x:c>
      <x:c r="L9" s="99" t="n">
        <x:v>100</x:v>
      </x:c>
      <x:c r="M9" s="99" t="n">
        <x:v>100</x:v>
      </x:c>
      <x:c r="N9" s="97" t="str">
        <x:v>Có</x:v>
      </x:c>
      <x:c r="O9" s="97" t="str">
        <x:v>Khớp</x:v>
      </x:c>
      <x:c r="P9" s="97" t="str">
        <x:v>Phục vụ bàn giao</x:v>
      </x:c>
      <x:c r="Q9" s="14"/>
      <x:c r="R9" s="14"/>
      <x:c r="S9" s="14"/>
    </x:row>
    <x:row r="10">
      <x:c r="A10" s="97" t="str">
        <x:v>IC007</x:v>
      </x:c>
      <x:c r="B10" s="97" t="n">
        <x:v>1</x:v>
      </x:c>
      <x:c r="C10" s="97" t="str">
        <x:v>CTM</x:v>
      </x:c>
      <x:c r="D10" s="97" t="str">
        <x:v>SPV06</x:v>
      </x:c>
      <x:c r="E10" s="97" t="str">
        <x:v>Chi phí DD/M&amp;A</x:v>
      </x:c>
      <x:c r="F10" s="97" t="str">
        <x:v>DA06</x:v>
      </x:c>
      <x:c r="G10" s="99" t="n">
        <x:v>25</x:v>
      </x:c>
      <x:c r="H10" s="99" t="n">
        <x:v>0</x:v>
      </x:c>
      <x:c r="I10" s="98" t="n">
        <x:v>0</x:v>
      </x:c>
      <x:c r="J10" s="99" t="n">
        <x:v>25</x:v>
      </x:c>
      <x:c r="K10" s="99" t="n">
        <x:v>25</x:v>
      </x:c>
      <x:c r="L10" s="99" t="n">
        <x:v>0</x:v>
      </x:c>
      <x:c r="M10" s="99" t="n">
        <x:v>0</x:v>
      </x:c>
      <x:c r="N10" s="97" t="str">
        <x:v>Không</x:v>
      </x:c>
      <x:c r="O10" s="97" t="str">
        <x:v>Khớp</x:v>
      </x:c>
      <x:c r="P10" s="97" t="str">
        <x:v>SPV06 chưa hợp nhất</x:v>
      </x:c>
      <x:c r="Q10" s="14"/>
      <x:c r="R10" s="14"/>
      <x:c r="S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</x:row>
  </x:sheetData>
  <x:mergeCells>
    <x:mergeCell ref="A1:P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>
      <x:c r="A1" s="96" t="str">
        <x:v>31_Loai_tru_hop_nhat – Bút toán loại trừ tự động từ giao dịch nội bộ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14"/>
      <x:c r="N1" s="14"/>
      <x:c r="O1" s="14"/>
      <x:c r="P1" s="14"/>
      <x:c r="Q1" s="14"/>
      <x:c r="R1" s="14"/>
      <x:c r="S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</x:row>
    <x:row r="3">
      <x:c r="A3" s="91" t="str">
        <x:v>Năm mô hình</x:v>
      </x:c>
      <x:c r="B3" s="91" t="str">
        <x:v>Nhóm loại trừ</x:v>
      </x:c>
      <x:c r="C3" s="91" t="str">
        <x:v>Doanh thu loại trừ</x:v>
      </x:c>
      <x:c r="D3" s="91" t="str">
        <x:v>Chi phí loại trừ</x:v>
      </x:c>
      <x:c r="E3" s="91" t="str">
        <x:v>Phải thu loại trừ</x:v>
      </x:c>
      <x:c r="F3" s="91" t="str">
        <x:v>Phải trả loại trừ</x:v>
      </x:c>
      <x:c r="G3" s="91" t="str">
        <x:v>Cho vay nội bộ loại trừ</x:v>
      </x:c>
      <x:c r="H3" s="91" t="str">
        <x:v>Vay nội bộ loại trừ</x:v>
      </x:c>
      <x:c r="I3" s="91" t="str">
        <x:v>Cổ tức nội bộ loại trừ</x:v>
      </x:c>
      <x:c r="J3" s="91" t="str">
        <x:v>Chênh lệch chưa khớp</x:v>
      </x:c>
      <x:c r="K3" s="91" t="str">
        <x:v>Trạng thái</x:v>
      </x:c>
      <x:c r="L3" s="91" t="str">
        <x:v>Ghi chú</x:v>
      </x:c>
      <x:c r="M3" s="14"/>
      <x:c r="N3" s="14"/>
      <x:c r="O3" s="14"/>
      <x:c r="P3" s="14"/>
      <x:c r="Q3" s="14"/>
      <x:c r="R3" s="14"/>
      <x:c r="S3" s="14"/>
    </x:row>
    <x:row r="4">
      <x:c r="A4" s="14" t="n">
        <x:v>1</x:v>
      </x:c>
      <x:c r="B4" s="14" t="str">
        <x:v>Loại trừ nội bộ</x:v>
      </x:c>
      <x:c r="C4" s="100" t="n">
        <x:f>SUMIFS('30_Giao_dich_noi_bo'!$J$4:$J$200,'30_Giao_dich_noi_bo'!$B$4:$B$200,$A4,'30_Giao_dich_noi_bo'!$N$4:$N$200,"Có")</x:f>
        <x:v>122.8</x:v>
      </x:c>
      <x:c r="D4" s="100" t="n">
        <x:f>SUMIFS('30_Giao_dich_noi_bo'!$K$4:$K$200,'30_Giao_dich_noi_bo'!$B$4:$B$200,$A4,'30_Giao_dich_noi_bo'!$N$4:$N$200,"Có")</x:f>
        <x:v>122.8</x:v>
      </x:c>
      <x:c r="E4" s="100" t="n">
        <x:f>SUMIFS('30_Giao_dich_noi_bo'!$L$4:$L$200,'30_Giao_dich_noi_bo'!$B$4:$B$200,$A4,'30_Giao_dich_noi_bo'!$N$4:$N$200,"Có")</x:f>
        <x:v>1030</x:v>
      </x:c>
      <x:c r="F4" s="100" t="n">
        <x:f>SUMIFS('30_Giao_dich_noi_bo'!$M$4:$M$200,'30_Giao_dich_noi_bo'!$B$4:$B$200,$A4,'30_Giao_dich_noi_bo'!$N$4:$N$200,"Có")</x:f>
        <x:v>1030</x:v>
      </x:c>
      <x:c r="G4" s="100" t="n">
        <x:f>SUMIFS('30_Giao_dich_noi_bo'!$H$4:$H$200,'30_Giao_dich_noi_bo'!$B$4:$B$200,$A4,'30_Giao_dich_noi_bo'!$E$4:$E$200,"Cho vay nội bộ",'30_Giao_dich_noi_bo'!$N$4:$N$200,"Có")</x:f>
        <x:v>1030</x:v>
      </x:c>
      <x:c r="H4" s="100" t="n">
        <x:f>G4</x:f>
        <x:v>1030</x:v>
      </x:c>
      <x:c r="I4" s="100" t="n">
        <x:f>0</x:f>
        <x:v>0</x:v>
      </x:c>
      <x:c r="J4" s="100" t="n">
        <x:f>ABS(C4-D4)+ABS(E4-F4)</x:f>
        <x:v>0</x:v>
      </x:c>
      <x:c r="K4" s="14" t="str">
        <x:f>IF(J4&lt;0.1,"OK","CẦN ĐỐI CHIẾU")</x:f>
        <x:v>OK</x:v>
      </x:c>
      <x:c r="L4" s="14" t="str">
        <x:v>Nguồn: 30_Giao_dich_noi_bo</x:v>
      </x:c>
      <x:c r="M4" s="14"/>
      <x:c r="N4" s="14"/>
      <x:c r="O4" s="14"/>
      <x:c r="P4" s="14"/>
      <x:c r="Q4" s="14"/>
      <x:c r="R4" s="14"/>
      <x:c r="S4" s="14"/>
    </x:row>
    <x:row r="5">
      <x:c r="A5" s="14" t="n">
        <x:v>2</x:v>
      </x:c>
      <x:c r="B5" s="14" t="str">
        <x:v>Loại trừ nội bộ</x:v>
      </x:c>
      <x:c r="C5" s="100" t="n">
        <x:f>SUMIFS('30_Giao_dich_noi_bo'!$J$4:$J$200,'30_Giao_dich_noi_bo'!$B$4:$B$200,$A5,'30_Giao_dich_noi_bo'!$N$4:$N$200,"Có")</x:f>
        <x:v>0</x:v>
      </x:c>
      <x:c r="D5" s="100" t="n">
        <x:f>SUMIFS('30_Giao_dich_noi_bo'!$K$4:$K$200,'30_Giao_dich_noi_bo'!$B$4:$B$200,$A5,'30_Giao_dich_noi_bo'!$N$4:$N$200,"Có")</x:f>
        <x:v>0</x:v>
      </x:c>
      <x:c r="E5" s="100" t="n">
        <x:f>SUMIFS('30_Giao_dich_noi_bo'!$L$4:$L$200,'30_Giao_dich_noi_bo'!$B$4:$B$200,$A5,'30_Giao_dich_noi_bo'!$N$4:$N$200,"Có")</x:f>
        <x:v>0</x:v>
      </x:c>
      <x:c r="F5" s="100" t="n">
        <x:f>SUMIFS('30_Giao_dich_noi_bo'!$M$4:$M$200,'30_Giao_dich_noi_bo'!$B$4:$B$200,$A5,'30_Giao_dich_noi_bo'!$N$4:$N$200,"Có")</x:f>
        <x:v>0</x:v>
      </x:c>
      <x:c r="G5" s="100" t="n">
        <x:f>SUMIFS('30_Giao_dich_noi_bo'!$H$4:$H$200,'30_Giao_dich_noi_bo'!$B$4:$B$200,$A5,'30_Giao_dich_noi_bo'!$E$4:$E$200,"Cho vay nội bộ",'30_Giao_dich_noi_bo'!$N$4:$N$200,"Có")</x:f>
        <x:v>0</x:v>
      </x:c>
      <x:c r="H5" s="100" t="n">
        <x:f>G5</x:f>
        <x:v>0</x:v>
      </x:c>
      <x:c r="I5" s="100" t="n">
        <x:f>0</x:f>
        <x:v>0</x:v>
      </x:c>
      <x:c r="J5" s="100" t="n">
        <x:f>ABS(C5-D5)+ABS(E5-F5)</x:f>
        <x:v>0</x:v>
      </x:c>
      <x:c r="K5" s="14" t="str">
        <x:f>IF(J5&lt;0.1,"OK","CẦN ĐỐI CHIẾU")</x:f>
        <x:v>OK</x:v>
      </x:c>
      <x:c r="L5" s="14" t="str">
        <x:v>Nguồn: 30_Giao_dich_noi_bo</x:v>
      </x:c>
      <x:c r="M5" s="14"/>
      <x:c r="N5" s="14"/>
      <x:c r="O5" s="14"/>
      <x:c r="P5" s="14"/>
      <x:c r="Q5" s="14"/>
      <x:c r="R5" s="14"/>
      <x:c r="S5" s="14"/>
    </x:row>
    <x:row r="6">
      <x:c r="A6" s="14" t="n">
        <x:v>3</x:v>
      </x:c>
      <x:c r="B6" s="14" t="str">
        <x:v>Loại trừ nội bộ</x:v>
      </x:c>
      <x:c r="C6" s="100" t="n">
        <x:f>SUMIFS('30_Giao_dich_noi_bo'!$J$4:$J$200,'30_Giao_dich_noi_bo'!$B$4:$B$200,$A6,'30_Giao_dich_noi_bo'!$N$4:$N$200,"Có")</x:f>
        <x:v>0</x:v>
      </x:c>
      <x:c r="D6" s="100" t="n">
        <x:f>SUMIFS('30_Giao_dich_noi_bo'!$K$4:$K$200,'30_Giao_dich_noi_bo'!$B$4:$B$200,$A6,'30_Giao_dich_noi_bo'!$N$4:$N$200,"Có")</x:f>
        <x:v>0</x:v>
      </x:c>
      <x:c r="E6" s="100" t="n">
        <x:f>SUMIFS('30_Giao_dich_noi_bo'!$L$4:$L$200,'30_Giao_dich_noi_bo'!$B$4:$B$200,$A6,'30_Giao_dich_noi_bo'!$N$4:$N$200,"Có")</x:f>
        <x:v>0</x:v>
      </x:c>
      <x:c r="F6" s="100" t="n">
        <x:f>SUMIFS('30_Giao_dich_noi_bo'!$M$4:$M$200,'30_Giao_dich_noi_bo'!$B$4:$B$200,$A6,'30_Giao_dich_noi_bo'!$N$4:$N$200,"Có")</x:f>
        <x:v>0</x:v>
      </x:c>
      <x:c r="G6" s="100" t="n">
        <x:f>SUMIFS('30_Giao_dich_noi_bo'!$H$4:$H$200,'30_Giao_dich_noi_bo'!$B$4:$B$200,$A6,'30_Giao_dich_noi_bo'!$E$4:$E$200,"Cho vay nội bộ",'30_Giao_dich_noi_bo'!$N$4:$N$200,"Có")</x:f>
        <x:v>0</x:v>
      </x:c>
      <x:c r="H6" s="100" t="n">
        <x:f>G6</x:f>
        <x:v>0</x:v>
      </x:c>
      <x:c r="I6" s="100" t="n">
        <x:f>0</x:f>
        <x:v>0</x:v>
      </x:c>
      <x:c r="J6" s="100" t="n">
        <x:f>ABS(C6-D6)+ABS(E6-F6)</x:f>
        <x:v>0</x:v>
      </x:c>
      <x:c r="K6" s="14" t="str">
        <x:f>IF(J6&lt;0.1,"OK","CẦN ĐỐI CHIẾU")</x:f>
        <x:v>OK</x:v>
      </x:c>
      <x:c r="L6" s="14" t="str">
        <x:v>Nguồn: 30_Giao_dich_noi_bo</x:v>
      </x:c>
      <x:c r="M6" s="14"/>
      <x:c r="N6" s="14"/>
      <x:c r="O6" s="14"/>
      <x:c r="P6" s="14"/>
      <x:c r="Q6" s="14"/>
      <x:c r="R6" s="14"/>
      <x:c r="S6" s="14"/>
    </x:row>
    <x:row r="7">
      <x:c r="A7" s="14" t="n">
        <x:v>4</x:v>
      </x:c>
      <x:c r="B7" s="14" t="str">
        <x:v>Loại trừ nội bộ</x:v>
      </x:c>
      <x:c r="C7" s="100" t="n">
        <x:f>SUMIFS('30_Giao_dich_noi_bo'!$J$4:$J$200,'30_Giao_dich_noi_bo'!$B$4:$B$200,$A7,'30_Giao_dich_noi_bo'!$N$4:$N$200,"Có")</x:f>
        <x:v>0</x:v>
      </x:c>
      <x:c r="D7" s="100" t="n">
        <x:f>SUMIFS('30_Giao_dich_noi_bo'!$K$4:$K$200,'30_Giao_dich_noi_bo'!$B$4:$B$200,$A7,'30_Giao_dich_noi_bo'!$N$4:$N$200,"Có")</x:f>
        <x:v>0</x:v>
      </x:c>
      <x:c r="E7" s="100" t="n">
        <x:f>SUMIFS('30_Giao_dich_noi_bo'!$L$4:$L$200,'30_Giao_dich_noi_bo'!$B$4:$B$200,$A7,'30_Giao_dich_noi_bo'!$N$4:$N$200,"Có")</x:f>
        <x:v>0</x:v>
      </x:c>
      <x:c r="F7" s="100" t="n">
        <x:f>SUMIFS('30_Giao_dich_noi_bo'!$M$4:$M$200,'30_Giao_dich_noi_bo'!$B$4:$B$200,$A7,'30_Giao_dich_noi_bo'!$N$4:$N$200,"Có")</x:f>
        <x:v>0</x:v>
      </x:c>
      <x:c r="G7" s="100" t="n">
        <x:f>SUMIFS('30_Giao_dich_noi_bo'!$H$4:$H$200,'30_Giao_dich_noi_bo'!$B$4:$B$200,$A7,'30_Giao_dich_noi_bo'!$E$4:$E$200,"Cho vay nội bộ",'30_Giao_dich_noi_bo'!$N$4:$N$200,"Có")</x:f>
        <x:v>0</x:v>
      </x:c>
      <x:c r="H7" s="100" t="n">
        <x:f>G7</x:f>
        <x:v>0</x:v>
      </x:c>
      <x:c r="I7" s="100" t="n">
        <x:f>0</x:f>
        <x:v>0</x:v>
      </x:c>
      <x:c r="J7" s="100" t="n">
        <x:f>ABS(C7-D7)+ABS(E7-F7)</x:f>
        <x:v>0</x:v>
      </x:c>
      <x:c r="K7" s="14" t="str">
        <x:f>IF(J7&lt;0.1,"OK","CẦN ĐỐI CHIẾU")</x:f>
        <x:v>OK</x:v>
      </x:c>
      <x:c r="L7" s="14" t="str">
        <x:v>Nguồn: 30_Giao_dich_noi_bo</x:v>
      </x:c>
      <x:c r="M7" s="14"/>
      <x:c r="N7" s="14"/>
      <x:c r="O7" s="14"/>
      <x:c r="P7" s="14"/>
      <x:c r="Q7" s="14"/>
      <x:c r="R7" s="14"/>
      <x:c r="S7" s="14"/>
    </x:row>
    <x:row r="8">
      <x:c r="A8" s="14" t="n">
        <x:v>5</x:v>
      </x:c>
      <x:c r="B8" s="14" t="str">
        <x:v>Loại trừ nội bộ</x:v>
      </x:c>
      <x:c r="C8" s="100" t="n">
        <x:f>SUMIFS('30_Giao_dich_noi_bo'!$J$4:$J$200,'30_Giao_dich_noi_bo'!$B$4:$B$200,$A8,'30_Giao_dich_noi_bo'!$N$4:$N$200,"Có")</x:f>
        <x:v>0</x:v>
      </x:c>
      <x:c r="D8" s="100" t="n">
        <x:f>SUMIFS('30_Giao_dich_noi_bo'!$K$4:$K$200,'30_Giao_dich_noi_bo'!$B$4:$B$200,$A8,'30_Giao_dich_noi_bo'!$N$4:$N$200,"Có")</x:f>
        <x:v>0</x:v>
      </x:c>
      <x:c r="E8" s="100" t="n">
        <x:f>SUMIFS('30_Giao_dich_noi_bo'!$L$4:$L$200,'30_Giao_dich_noi_bo'!$B$4:$B$200,$A8,'30_Giao_dich_noi_bo'!$N$4:$N$200,"Có")</x:f>
        <x:v>0</x:v>
      </x:c>
      <x:c r="F8" s="100" t="n">
        <x:f>SUMIFS('30_Giao_dich_noi_bo'!$M$4:$M$200,'30_Giao_dich_noi_bo'!$B$4:$B$200,$A8,'30_Giao_dich_noi_bo'!$N$4:$N$200,"Có")</x:f>
        <x:v>0</x:v>
      </x:c>
      <x:c r="G8" s="100" t="n">
        <x:f>SUMIFS('30_Giao_dich_noi_bo'!$H$4:$H$200,'30_Giao_dich_noi_bo'!$B$4:$B$200,$A8,'30_Giao_dich_noi_bo'!$E$4:$E$200,"Cho vay nội bộ",'30_Giao_dich_noi_bo'!$N$4:$N$200,"Có")</x:f>
        <x:v>0</x:v>
      </x:c>
      <x:c r="H8" s="100" t="n">
        <x:f>G8</x:f>
        <x:v>0</x:v>
      </x:c>
      <x:c r="I8" s="100" t="n">
        <x:f>0</x:f>
        <x:v>0</x:v>
      </x:c>
      <x:c r="J8" s="100" t="n">
        <x:f>ABS(C8-D8)+ABS(E8-F8)</x:f>
        <x:v>0</x:v>
      </x:c>
      <x:c r="K8" s="14" t="str">
        <x:f>IF(J8&lt;0.1,"OK","CẦN ĐỐI CHIẾU")</x:f>
        <x:v>OK</x:v>
      </x:c>
      <x:c r="L8" s="14" t="str">
        <x:v>Nguồn: 30_Giao_dich_noi_bo</x:v>
      </x:c>
      <x:c r="M8" s="14"/>
      <x:c r="N8" s="14"/>
      <x:c r="O8" s="14"/>
      <x:c r="P8" s="14"/>
      <x:c r="Q8" s="14"/>
      <x:c r="R8" s="14"/>
      <x:c r="S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</x:row>
  </x:sheetData>
  <x:mergeCells>
    <x:mergeCell ref="A1:L1"/>
  </x:mergeCells>
  <x:conditionalFormatting sqref="K4:K8">
    <x:cfRule type="expression" dxfId="4" priority="1">
      <x:formula>K4="CẦN ĐỐI CHIẾU"</x:formula>
    </x:cfRule>
  </x:conditionalFormatting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>
      <x:c r="A1" s="96" t="str">
        <x:v>32_Treasury_Cash_Pool – Điều phối thanh khoản toàn tập đoàn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  <x:c r="O1" s="96"/>
      <x:c r="P1" s="14"/>
      <x:c r="Q1" s="14"/>
      <x:c r="R1" s="14"/>
      <x:c r="S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</x:row>
    <x:row r="3">
      <x:c r="A3" s="91" t="str">
        <x:v>Mã pháp nhân</x:v>
      </x:c>
      <x:c r="B3" s="91" t="str">
        <x:v>Mã dự án</x:v>
      </x:c>
      <x:c r="C3" s="91" t="str">
        <x:v>Tiền hiện có (tỷ)</x:v>
      </x:c>
      <x:c r="D3" s="91" t="str">
        <x:v>Tiền tối thiểu (tỷ)</x:v>
      </x:c>
      <x:c r="E3" s="91" t="str">
        <x:v>Thặng dư/(Thiếu hụt)</x:v>
      </x:c>
      <x:c r="F3" s="91" t="str">
        <x:v>Funding gap 12T (tỷ)</x:v>
      </x:c>
      <x:c r="G3" s="91" t="str">
        <x:v>Được Cash Pool?</x:v>
      </x:c>
      <x:c r="H3" s="91" t="str">
        <x:v>Hạn chế facility/covenant</x:v>
      </x:c>
      <x:c r="I3" s="91" t="str">
        <x:v>Khả năng chuyển về CTM</x:v>
      </x:c>
      <x:c r="J3" s="91" t="str">
        <x:v>Nhu cầu nhận từ CTM</x:v>
      </x:c>
      <x:c r="K3" s="91" t="str">
        <x:v>Ưu tiên</x:v>
      </x:c>
      <x:c r="L3" s="91" t="str">
        <x:v>Khuyến nghị chuyển tiền (tỷ)</x:v>
      </x:c>
      <x:c r="M3" s="91" t="str">
        <x:v>Sau điều phối (tỷ)</x:v>
      </x:c>
      <x:c r="N3" s="91" t="str">
        <x:v>Cảnh báo</x:v>
      </x:c>
      <x:c r="O3" s="91" t="str">
        <x:v>Ghi chú</x:v>
      </x:c>
      <x:c r="P3" s="14"/>
      <x:c r="Q3" s="14"/>
      <x:c r="R3" s="14"/>
      <x:c r="S3" s="14"/>
    </x:row>
    <x:row r="4">
      <x:c r="A4" s="14" t="str">
        <x:v>CTM</x:v>
      </x:c>
      <x:c r="B4" s="14" t="str">
        <x:v>-</x:v>
      </x:c>
      <x:c r="C4" s="100" t="n">
        <x:v>650</x:v>
      </x:c>
      <x:c r="D4" s="100" t="n">
        <x:f>'29_Danh_muc_phap_nhan'!L4</x:f>
        <x:v>300</x:v>
      </x:c>
      <x:c r="E4" s="100" t="n">
        <x:f>C4-D4</x:f>
        <x:v>350</x:v>
      </x:c>
      <x:c r="F4" s="100" t="n">
        <x:v>0</x:v>
      </x:c>
      <x:c r="G4" s="14" t="str">
        <x:f>'29_Danh_muc_phap_nhan'!I4</x:f>
        <x:v>Có</x:v>
      </x:c>
      <x:c r="H4" s="14" t="str">
        <x:v>Không áp dụng</x:v>
      </x:c>
      <x:c r="I4" s="100" t="n">
        <x:f>IF(AND(G4="Có",E4&gt;0),E4,0)</x:f>
        <x:v>350</x:v>
      </x:c>
      <x:c r="J4" s="100" t="n">
        <x:f>MAX(0,-E4)+F4</x:f>
        <x:v>0</x:v>
      </x:c>
      <x:c r="K4" s="100" t="str">
        <x:f>IF(J4&gt;300,"1 - Khẩn cấp",IF(J4&gt;100,"2 - Cao","3 - Theo dõi"))</x:f>
        <x:v>3 - Theo dõi</x:v>
      </x:c>
      <x:c r="L4" s="100" t="n">
        <x:f>IF(AND(G4="Có",I4&gt;0),MIN(I4,MAX(0,SUM($J$4:$J$10)-SUM($I$4:$I$10))),0)</x:f>
        <x:v>350</x:v>
      </x:c>
      <x:c r="M4" s="100" t="n">
        <x:f>C4-L4</x:f>
        <x:v>300</x:v>
      </x:c>
      <x:c r="N4" s="14" t="str">
        <x:f>IF(F4&gt;0,"CÓ FUNDING GAP",IF(M4&lt;D4,"DƯỚI MỨC TIỀN TỐI THIỂU","OK"))</x:f>
        <x:v>OK</x:v>
      </x:c>
      <x:c r="O4" s="14"/>
      <x:c r="P4" s="14"/>
      <x:c r="Q4" s="14"/>
      <x:c r="R4" s="14"/>
      <x:c r="S4" s="14"/>
    </x:row>
    <x:row r="5">
      <x:c r="A5" s="14" t="str">
        <x:v>SPV01</x:v>
      </x:c>
      <x:c r="B5" s="14" t="str">
        <x:v>DA01</x:v>
      </x:c>
      <x:c r="C5" s="100" t="n">
        <x:v>120</x:v>
      </x:c>
      <x:c r="D5" s="100" t="n">
        <x:f>'29_Danh_muc_phap_nhan'!L5</x:f>
        <x:v>80</x:v>
      </x:c>
      <x:c r="E5" s="100" t="n">
        <x:f>C5-D5</x:f>
        <x:v>40</x:v>
      </x:c>
      <x:c r="F5" s="100" t="n">
        <x:v>435.4</x:v>
      </x:c>
      <x:c r="G5" s="14" t="str">
        <x:f>'29_Danh_muc_phap_nhan'!I5</x:f>
        <x:v>Có</x:v>
      </x:c>
      <x:c r="H5" s="14" t="str">
        <x:v>Kiểm tra facility</x:v>
      </x:c>
      <x:c r="I5" s="100" t="n">
        <x:f>IF(AND(G5="Có",E5&gt;0),E5,0)</x:f>
        <x:v>40</x:v>
      </x:c>
      <x:c r="J5" s="100" t="n">
        <x:f>MAX(0,-E5)+F5</x:f>
        <x:v>435.4</x:v>
      </x:c>
      <x:c r="K5" s="100" t="str">
        <x:f>IF(J5&gt;300,"1 - Khẩn cấp",IF(J5&gt;100,"2 - Cao","3 - Theo dõi"))</x:f>
        <x:v>1 - Khẩn cấp</x:v>
      </x:c>
      <x:c r="L5" s="100" t="n">
        <x:f>IF(AND(G5="Có",I5&gt;0),MIN(I5,MAX(0,SUM($J$4:$J$10)-SUM($I$4:$I$10))),0)</x:f>
        <x:v>40</x:v>
      </x:c>
      <x:c r="M5" s="100" t="n">
        <x:f>C5-L5</x:f>
        <x:v>80</x:v>
      </x:c>
      <x:c r="N5" s="14" t="str">
        <x:f>IF(F5&gt;0,"CÓ FUNDING GAP",IF(M5&lt;D5,"DƯỚI MỨC TIỀN TỐI THIỂU","OK"))</x:f>
        <x:v>CÓ FUNDING GAP</x:v>
      </x:c>
      <x:c r="O5" s="14"/>
      <x:c r="P5" s="14"/>
      <x:c r="Q5" s="14"/>
      <x:c r="R5" s="14"/>
      <x:c r="S5" s="14"/>
    </x:row>
    <x:row r="6">
      <x:c r="A6" s="14" t="str">
        <x:v>SPV02</x:v>
      </x:c>
      <x:c r="B6" s="14" t="str">
        <x:v>DA02</x:v>
      </x:c>
      <x:c r="C6" s="100" t="n">
        <x:v>140</x:v>
      </x:c>
      <x:c r="D6" s="100" t="n">
        <x:f>'29_Danh_muc_phap_nhan'!L6</x:f>
        <x:v>90</x:v>
      </x:c>
      <x:c r="E6" s="100" t="n">
        <x:f>C6-D6</x:f>
        <x:v>50</x:v>
      </x:c>
      <x:c r="F6" s="100" t="n">
        <x:v>269.6</x:v>
      </x:c>
      <x:c r="G6" s="14" t="str">
        <x:f>'29_Danh_muc_phap_nhan'!I6</x:f>
        <x:v>Có</x:v>
      </x:c>
      <x:c r="H6" s="14" t="str">
        <x:v>Kiểm tra facility</x:v>
      </x:c>
      <x:c r="I6" s="100" t="n">
        <x:f>IF(AND(G6="Có",E6&gt;0),E6,0)</x:f>
        <x:v>50</x:v>
      </x:c>
      <x:c r="J6" s="100" t="n">
        <x:f>MAX(0,-E6)+F6</x:f>
        <x:v>269.6</x:v>
      </x:c>
      <x:c r="K6" s="100" t="str">
        <x:f>IF(J6&gt;300,"1 - Khẩn cấp",IF(J6&gt;100,"2 - Cao","3 - Theo dõi"))</x:f>
        <x:v>2 - Cao</x:v>
      </x:c>
      <x:c r="L6" s="100" t="n">
        <x:f>IF(AND(G6="Có",I6&gt;0),MIN(I6,MAX(0,SUM($J$4:$J$10)-SUM($I$4:$I$10))),0)</x:f>
        <x:v>50</x:v>
      </x:c>
      <x:c r="M6" s="100" t="n">
        <x:f>C6-L6</x:f>
        <x:v>90</x:v>
      </x:c>
      <x:c r="N6" s="14" t="str">
        <x:f>IF(F6&gt;0,"CÓ FUNDING GAP",IF(M6&lt;D6,"DƯỚI MỨC TIỀN TỐI THIỂU","OK"))</x:f>
        <x:v>CÓ FUNDING GAP</x:v>
      </x:c>
      <x:c r="O6" s="14"/>
      <x:c r="P6" s="14"/>
      <x:c r="Q6" s="14"/>
      <x:c r="R6" s="14"/>
      <x:c r="S6" s="14"/>
    </x:row>
    <x:row r="7">
      <x:c r="A7" s="14" t="str">
        <x:v>SPV03</x:v>
      </x:c>
      <x:c r="B7" s="14" t="str">
        <x:v>DA03</x:v>
      </x:c>
      <x:c r="C7" s="100" t="n">
        <x:v>180</x:v>
      </x:c>
      <x:c r="D7" s="100" t="n">
        <x:f>'29_Danh_muc_phap_nhan'!L7</x:f>
        <x:v>120</x:v>
      </x:c>
      <x:c r="E7" s="100" t="n">
        <x:f>C7-D7</x:f>
        <x:v>60</x:v>
      </x:c>
      <x:c r="F7" s="100" t="n">
        <x:v>124.6</x:v>
      </x:c>
      <x:c r="G7" s="14" t="str">
        <x:f>'29_Danh_muc_phap_nhan'!I7</x:f>
        <x:v>Có</x:v>
      </x:c>
      <x:c r="H7" s="14" t="str">
        <x:v>Kiểm tra facility</x:v>
      </x:c>
      <x:c r="I7" s="100" t="n">
        <x:f>IF(AND(G7="Có",E7&gt;0),E7,0)</x:f>
        <x:v>60</x:v>
      </x:c>
      <x:c r="J7" s="100" t="n">
        <x:f>MAX(0,-E7)+F7</x:f>
        <x:v>124.6</x:v>
      </x:c>
      <x:c r="K7" s="100" t="str">
        <x:f>IF(J7&gt;300,"1 - Khẩn cấp",IF(J7&gt;100,"2 - Cao","3 - Theo dõi"))</x:f>
        <x:v>2 - Cao</x:v>
      </x:c>
      <x:c r="L7" s="100" t="n">
        <x:f>IF(AND(G7="Có",I7&gt;0),MIN(I7,MAX(0,SUM($J$4:$J$10)-SUM($I$4:$I$10))),0)</x:f>
        <x:v>60</x:v>
      </x:c>
      <x:c r="M7" s="100" t="n">
        <x:f>C7-L7</x:f>
        <x:v>120</x:v>
      </x:c>
      <x:c r="N7" s="14" t="str">
        <x:f>IF(F7&gt;0,"CÓ FUNDING GAP",IF(M7&lt;D7,"DƯỚI MỨC TIỀN TỐI THIỂU","OK"))</x:f>
        <x:v>CÓ FUNDING GAP</x:v>
      </x:c>
      <x:c r="O7" s="14"/>
      <x:c r="P7" s="14"/>
      <x:c r="Q7" s="14"/>
      <x:c r="R7" s="14"/>
      <x:c r="S7" s="14"/>
    </x:row>
    <x:row r="8">
      <x:c r="A8" s="14" t="str">
        <x:v>SPV04</x:v>
      </x:c>
      <x:c r="B8" s="14" t="str">
        <x:v>DA04</x:v>
      </x:c>
      <x:c r="C8" s="100" t="n">
        <x:v>220</x:v>
      </x:c>
      <x:c r="D8" s="100" t="n">
        <x:f>'29_Danh_muc_phap_nhan'!L8</x:f>
        <x:v>100</x:v>
      </x:c>
      <x:c r="E8" s="100" t="n">
        <x:f>C8-D8</x:f>
        <x:v>120</x:v>
      </x:c>
      <x:c r="F8" s="100" t="n">
        <x:v>0</x:v>
      </x:c>
      <x:c r="G8" s="14" t="str">
        <x:f>'29_Danh_muc_phap_nhan'!I8</x:f>
        <x:v>Có</x:v>
      </x:c>
      <x:c r="H8" s="14" t="str">
        <x:v>Kiểm tra facility</x:v>
      </x:c>
      <x:c r="I8" s="100" t="n">
        <x:f>IF(AND(G8="Có",E8&gt;0),E8,0)</x:f>
        <x:v>120</x:v>
      </x:c>
      <x:c r="J8" s="100" t="n">
        <x:f>MAX(0,-E8)+F8</x:f>
        <x:v>0</x:v>
      </x:c>
      <x:c r="K8" s="100" t="str">
        <x:f>IF(J8&gt;300,"1 - Khẩn cấp",IF(J8&gt;100,"2 - Cao","3 - Theo dõi"))</x:f>
        <x:v>3 - Theo dõi</x:v>
      </x:c>
      <x:c r="L8" s="100" t="n">
        <x:f>IF(AND(G8="Có",I8&gt;0),MIN(I8,MAX(0,SUM($J$4:$J$10)-SUM($I$4:$I$10))),0)</x:f>
        <x:v>120</x:v>
      </x:c>
      <x:c r="M8" s="100" t="n">
        <x:f>C8-L8</x:f>
        <x:v>100</x:v>
      </x:c>
      <x:c r="N8" s="14" t="str">
        <x:f>IF(F8&gt;0,"CÓ FUNDING GAP",IF(M8&lt;D8,"DƯỚI MỨC TIỀN TỐI THIỂU","OK"))</x:f>
        <x:v>OK</x:v>
      </x:c>
      <x:c r="O8" s="14"/>
      <x:c r="P8" s="14"/>
      <x:c r="Q8" s="14"/>
      <x:c r="R8" s="14"/>
      <x:c r="S8" s="14"/>
    </x:row>
    <x:row r="9">
      <x:c r="A9" s="14" t="str">
        <x:v>SPV05</x:v>
      </x:c>
      <x:c r="B9" s="14" t="str">
        <x:v>DA05</x:v>
      </x:c>
      <x:c r="C9" s="100" t="n">
        <x:v>260</x:v>
      </x:c>
      <x:c r="D9" s="100" t="n">
        <x:f>'29_Danh_muc_phap_nhan'!L9</x:f>
        <x:v>120</x:v>
      </x:c>
      <x:c r="E9" s="100" t="n">
        <x:f>C9-D9</x:f>
        <x:v>140</x:v>
      </x:c>
      <x:c r="F9" s="100" t="n">
        <x:v>0</x:v>
      </x:c>
      <x:c r="G9" s="14" t="str">
        <x:f>'29_Danh_muc_phap_nhan'!I9</x:f>
        <x:v>Không</x:v>
      </x:c>
      <x:c r="H9" s="14" t="str">
        <x:v>Facility hạn chế upstream cash</x:v>
      </x:c>
      <x:c r="I9" s="100" t="n">
        <x:f>IF(AND(G9="Có",E9&gt;0),E9,0)</x:f>
        <x:v>0</x:v>
      </x:c>
      <x:c r="J9" s="100" t="n">
        <x:f>MAX(0,-E9)+F9</x:f>
        <x:v>0</x:v>
      </x:c>
      <x:c r="K9" s="100" t="str">
        <x:f>IF(J9&gt;300,"1 - Khẩn cấp",IF(J9&gt;100,"2 - Cao","3 - Theo dõi"))</x:f>
        <x:v>3 - Theo dõi</x:v>
      </x:c>
      <x:c r="L9" s="100" t="n">
        <x:f>IF(AND(G9="Có",I9&gt;0),MIN(I9,MAX(0,SUM($J$4:$J$10)-SUM($I$4:$I$10))),0)</x:f>
        <x:v>0</x:v>
      </x:c>
      <x:c r="M9" s="100" t="n">
        <x:f>C9-L9</x:f>
        <x:v>260</x:v>
      </x:c>
      <x:c r="N9" s="14" t="str">
        <x:f>IF(F9&gt;0,"CÓ FUNDING GAP",IF(M9&lt;D9,"DƯỚI MỨC TIỀN TỐI THIỂU","OK"))</x:f>
        <x:v>OK</x:v>
      </x:c>
      <x:c r="O9" s="14"/>
      <x:c r="P9" s="14"/>
      <x:c r="Q9" s="14"/>
      <x:c r="R9" s="14"/>
      <x:c r="S9" s="14"/>
    </x:row>
    <x:row r="10">
      <x:c r="A10" s="14" t="str">
        <x:v>SPV06</x:v>
      </x:c>
      <x:c r="B10" s="14" t="str">
        <x:v>DA06</x:v>
      </x:c>
      <x:c r="C10" s="100" t="n">
        <x:v>100</x:v>
      </x:c>
      <x:c r="D10" s="100" t="n">
        <x:f>'29_Danh_muc_phap_nhan'!L10</x:f>
        <x:v>50</x:v>
      </x:c>
      <x:c r="E10" s="100" t="n">
        <x:f>C10-D10</x:f>
        <x:v>50</x:v>
      </x:c>
      <x:c r="F10" s="100" t="n">
        <x:v>467.7</x:v>
      </x:c>
      <x:c r="G10" s="14" t="str">
        <x:f>'29_Danh_muc_phap_nhan'!I10</x:f>
        <x:v>Không</x:v>
      </x:c>
      <x:c r="H10" s="14" t="str">
        <x:v>Chưa hợp nhất</x:v>
      </x:c>
      <x:c r="I10" s="100" t="n">
        <x:f>IF(AND(G10="Có",E10&gt;0),E10,0)</x:f>
        <x:v>0</x:v>
      </x:c>
      <x:c r="J10" s="100" t="n">
        <x:f>MAX(0,-E10)+F10</x:f>
        <x:v>467.7</x:v>
      </x:c>
      <x:c r="K10" s="100" t="str">
        <x:f>IF(J10&gt;300,"1 - Khẩn cấp",IF(J10&gt;100,"2 - Cao","3 - Theo dõi"))</x:f>
        <x:v>1 - Khẩn cấp</x:v>
      </x:c>
      <x:c r="L10" s="100" t="n">
        <x:f>IF(AND(G10="Có",I10&gt;0),MIN(I10,MAX(0,SUM($J$4:$J$10)-SUM($I$4:$I$10))),0)</x:f>
        <x:v>0</x:v>
      </x:c>
      <x:c r="M10" s="100" t="n">
        <x:f>C10-L10</x:f>
        <x:v>100</x:v>
      </x:c>
      <x:c r="N10" s="14" t="str">
        <x:f>IF(F10&gt;0,"CÓ FUNDING GAP",IF(M10&lt;D10,"DƯỚI MỨC TIỀN TỐI THIỂU","OK"))</x:f>
        <x:v>CÓ FUNDING GAP</x:v>
      </x:c>
      <x:c r="O10" s="14"/>
      <x:c r="P10" s="14"/>
      <x:c r="Q10" s="14"/>
      <x:c r="R10" s="14"/>
      <x:c r="S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</x:row>
  </x:sheetData>
  <x:mergeCells>
    <x:mergeCell ref="A1:O1"/>
  </x:mergeCells>
  <x:conditionalFormatting sqref="N4:N10">
    <x:cfRule type="expression" dxfId="5" priority="1">
      <x:formula>N4&lt;&gt;"OK"</x:formula>
    </x:cfRule>
  </x:conditionalFormatting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>
      <x:c r="A1" s="96" t="str">
        <x:v>33_No_vay_Covenant – Danh mục khoản vay, đáo hạn và covenant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  <x:c r="O1" s="96"/>
      <x:c r="P1" s="96"/>
      <x:c r="Q1" s="96"/>
      <x:c r="R1" s="96"/>
      <x:c r="S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</x:row>
    <x:row r="3">
      <x:c r="A3" s="91" t="str">
        <x:v>Mã khoản vay</x:v>
      </x:c>
      <x:c r="B3" s="91" t="str">
        <x:v>Bên vay</x:v>
      </x:c>
      <x:c r="C3" s="91" t="str">
        <x:v>Mã dự án</x:v>
      </x:c>
      <x:c r="D3" s="91" t="str">
        <x:v>Ngân hàng/Trái chủ</x:v>
      </x:c>
      <x:c r="E3" s="91" t="str">
        <x:v>Loại facility</x:v>
      </x:c>
      <x:c r="F3" s="91" t="str">
        <x:v>Hạn mức (tỷ)</x:v>
      </x:c>
      <x:c r="G3" s="91" t="str">
        <x:v>Dư nợ hiện tại (tỷ)</x:v>
      </x:c>
      <x:c r="H3" s="91" t="str">
        <x:v>Lãi suất</x:v>
      </x:c>
      <x:c r="I3" s="91" t="str">
        <x:v>Ngày đáo hạn</x:v>
      </x:c>
      <x:c r="J3" s="91" t="str">
        <x:v>Tài sản bảo đảm</x:v>
      </x:c>
      <x:c r="K3" s="91" t="str">
        <x:v>LTV tối đa</x:v>
      </x:c>
      <x:c r="L3" s="91" t="str">
        <x:v>LTV hiện tại</x:v>
      </x:c>
      <x:c r="M3" s="91" t="str">
        <x:v>DSCR tối thiểu</x:v>
      </x:c>
      <x:c r="N3" s="91" t="str">
        <x:v>DSCR dự báo</x:v>
      </x:c>
      <x:c r="O3" s="91" t="str">
        <x:v>Covenant khác</x:v>
      </x:c>
      <x:c r="P3" s="91" t="str">
        <x:v>Headroom (tỷ)</x:v>
      </x:c>
      <x:c r="Q3" s="91" t="str">
        <x:v>Trạng thái</x:v>
      </x:c>
      <x:c r="R3" s="91" t="str">
        <x:v>Hành động</x:v>
      </x:c>
      <x:c r="S3" s="14"/>
    </x:row>
    <x:row r="4">
      <x:c r="A4" s="97" t="str">
        <x:v>LN01</x:v>
      </x:c>
      <x:c r="B4" s="97" t="str">
        <x:v>SPV01</x:v>
      </x:c>
      <x:c r="C4" s="97" t="str">
        <x:v>DA01</x:v>
      </x:c>
      <x:c r="D4" s="97" t="str">
        <x:v>Ngân hàng A</x:v>
      </x:c>
      <x:c r="E4" s="97" t="str">
        <x:v>Project Finance</x:v>
      </x:c>
      <x:c r="F4" s="99" t="n">
        <x:v>2925</x:v>
      </x:c>
      <x:c r="G4" s="99" t="n">
        <x:v>914.1</x:v>
      </x:c>
      <x:c r="H4" s="98" t="n">
        <x:v>0.095</x:v>
      </x:c>
      <x:c r="I4" s="101" t="n">
        <x:v>47664</x:v>
      </x:c>
      <x:c r="J4" s="97" t="str">
        <x:v>Quyền tài sản dự án</x:v>
      </x:c>
      <x:c r="K4" s="102" t="n">
        <x:v>0.7</x:v>
      </x:c>
      <x:c r="L4" s="102" t="n">
        <x:v>0.48</x:v>
      </x:c>
      <x:c r="M4" s="102" t="n">
        <x:v>1.2</x:v>
      </x:c>
      <x:c r="N4" s="102" t="n">
        <x:v>1.05</x:v>
      </x:c>
      <x:c r="O4" s="97" t="str">
        <x:v>Hạn chế cổ tức</x:v>
      </x:c>
      <x:c r="P4" s="99" t="n">
        <x:v>2010.9</x:v>
      </x:c>
      <x:c r="Q4" s="97" t="str">
        <x:v>Cảnh báo</x:v>
      </x:c>
      <x:c r="R4" s="97" t="str">
        <x:v>Đàm phán grace period/bridge</x:v>
      </x:c>
      <x:c r="S4" s="14"/>
    </x:row>
    <x:row r="5">
      <x:c r="A5" s="97" t="str">
        <x:v>LN02</x:v>
      </x:c>
      <x:c r="B5" s="97" t="str">
        <x:v>SPV02</x:v>
      </x:c>
      <x:c r="C5" s="97" t="str">
        <x:v>DA02</x:v>
      </x:c>
      <x:c r="D5" s="97" t="str">
        <x:v>Ngân hàng B</x:v>
      </x:c>
      <x:c r="E5" s="97" t="str">
        <x:v>Project Finance</x:v>
      </x:c>
      <x:c r="F5" s="99" t="n">
        <x:v>3240</x:v>
      </x:c>
      <x:c r="G5" s="99" t="n">
        <x:v>1918.1</x:v>
      </x:c>
      <x:c r="H5" s="98" t="n">
        <x:v>0.095</x:v>
      </x:c>
      <x:c r="I5" s="101" t="n">
        <x:v>47848</x:v>
      </x:c>
      <x:c r="J5" s="97" t="str">
        <x:v>QSDĐ + tài sản hình thành</x:v>
      </x:c>
      <x:c r="K5" s="102" t="n">
        <x:v>0.7</x:v>
      </x:c>
      <x:c r="L5" s="102" t="n">
        <x:v>0.58</x:v>
      </x:c>
      <x:c r="M5" s="102" t="n">
        <x:v>1.2</x:v>
      </x:c>
      <x:c r="N5" s="102" t="n">
        <x:v>1.12</x:v>
      </x:c>
      <x:c r="O5" s="97" t="str">
        <x:v>Legal milestone</x:v>
      </x:c>
      <x:c r="P5" s="99" t="n">
        <x:v>1321.9</x:v>
      </x:c>
      <x:c r="Q5" s="97" t="str">
        <x:v>Cảnh báo</x:v>
      </x:c>
      <x:c r="R5" s="97" t="str">
        <x:v>Đẩy nghĩa vụ tài chính đất</x:v>
      </x:c>
      <x:c r="S5" s="14"/>
    </x:row>
    <x:row r="6">
      <x:c r="A6" s="97" t="str">
        <x:v>LN03</x:v>
      </x:c>
      <x:c r="B6" s="97" t="str">
        <x:v>SPV03</x:v>
      </x:c>
      <x:c r="C6" s="97" t="str">
        <x:v>DA03</x:v>
      </x:c>
      <x:c r="D6" s="97" t="str">
        <x:v>Ngân hàng C</x:v>
      </x:c>
      <x:c r="E6" s="97" t="str">
        <x:v>Project Finance</x:v>
      </x:c>
      <x:c r="F6" s="99" t="n">
        <x:v>4410</x:v>
      </x:c>
      <x:c r="G6" s="99" t="n">
        <x:v>3270</x:v>
      </x:c>
      <x:c r="H6" s="98" t="n">
        <x:v>0.095</x:v>
      </x:c>
      <x:c r="I6" s="101" t="n">
        <x:v>48029</x:v>
      </x:c>
      <x:c r="J6" s="97" t="str">
        <x:v>Dự án + dòng tiền</x:v>
      </x:c>
      <x:c r="K6" s="102" t="n">
        <x:v>0.72</x:v>
      </x:c>
      <x:c r="L6" s="102" t="n">
        <x:v>0.66</x:v>
      </x:c>
      <x:c r="M6" s="102" t="n">
        <x:v>1.2</x:v>
      </x:c>
      <x:c r="N6" s="102" t="n">
        <x:v>1.28</x:v>
      </x:c>
      <x:c r="O6" s="97" t="str">
        <x:v>Cost overrun test</x:v>
      </x:c>
      <x:c r="P6" s="99" t="n">
        <x:v>1140</x:v>
      </x:c>
      <x:c r="Q6" s="97" t="str">
        <x:v>OK</x:v>
      </x:c>
      <x:c r="R6" s="97" t="str">
        <x:v>Theo dõi CAPEX/EAC</x:v>
      </x:c>
      <x:c r="S6" s="14"/>
    </x:row>
    <x:row r="7">
      <x:c r="A7" s="97" t="str">
        <x:v>LN04</x:v>
      </x:c>
      <x:c r="B7" s="97" t="str">
        <x:v>SPV04</x:v>
      </x:c>
      <x:c r="C7" s="97" t="str">
        <x:v>DA04</x:v>
      </x:c>
      <x:c r="D7" s="97" t="str">
        <x:v>Ngân hàng D</x:v>
      </x:c>
      <x:c r="E7" s="97" t="str">
        <x:v>Term Loan</x:v>
      </x:c>
      <x:c r="F7" s="99" t="n">
        <x:v>3780</x:v>
      </x:c>
      <x:c r="G7" s="99" t="n">
        <x:v>3024</x:v>
      </x:c>
      <x:c r="H7" s="98" t="n">
        <x:v>0.095</x:v>
      </x:c>
      <x:c r="I7" s="101" t="n">
        <x:v>47483</x:v>
      </x:c>
      <x:c r="J7" s="97" t="str">
        <x:v>Quyền tài sản &amp; tài khoản</x:v>
      </x:c>
      <x:c r="K7" s="102" t="n">
        <x:v>0.7</x:v>
      </x:c>
      <x:c r="L7" s="102" t="n">
        <x:v>0.63</x:v>
      </x:c>
      <x:c r="M7" s="102" t="n">
        <x:v>1.15</x:v>
      </x:c>
      <x:c r="N7" s="102" t="n">
        <x:v>1.34</x:v>
      </x:c>
      <x:c r="O7" s="97" t="str">
        <x:v>Cash sweep</x:v>
      </x:c>
      <x:c r="P7" s="99" t="n">
        <x:v>756</x:v>
      </x:c>
      <x:c r="Q7" s="97" t="str">
        <x:v>OK</x:v>
      </x:c>
      <x:c r="R7" s="97" t="str">
        <x:v>Duy trì sales velocity</x:v>
      </x:c>
      <x:c r="S7" s="14"/>
    </x:row>
    <x:row r="8">
      <x:c r="A8" s="97" t="str">
        <x:v>LN05</x:v>
      </x:c>
      <x:c r="B8" s="97" t="str">
        <x:v>SPV05</x:v>
      </x:c>
      <x:c r="C8" s="97" t="str">
        <x:v>DA05</x:v>
      </x:c>
      <x:c r="D8" s="97" t="str">
        <x:v>Ngân hàng E</x:v>
      </x:c>
      <x:c r="E8" s="97" t="str">
        <x:v>Project Finance</x:v>
      </x:c>
      <x:c r="F8" s="99" t="n">
        <x:v>2790</x:v>
      </x:c>
      <x:c r="G8" s="99" t="n">
        <x:v>2232</x:v>
      </x:c>
      <x:c r="H8" s="98" t="n">
        <x:v>0.095</x:v>
      </x:c>
      <x:c r="I8" s="101" t="n">
        <x:v>47026</x:v>
      </x:c>
      <x:c r="J8" s="97" t="str">
        <x:v>Tài sản dự án</x:v>
      </x:c>
      <x:c r="K8" s="102" t="n">
        <x:v>0.65</x:v>
      </x:c>
      <x:c r="L8" s="102" t="n">
        <x:v>0.6</x:v>
      </x:c>
      <x:c r="M8" s="102" t="n">
        <x:v>1.2</x:v>
      </x:c>
      <x:c r="N8" s="102" t="n">
        <x:v>1.18</x:v>
      </x:c>
      <x:c r="O8" s="97" t="str">
        <x:v>Hạn chế cash upstream</x:v>
      </x:c>
      <x:c r="P8" s="99" t="n">
        <x:v>558</x:v>
      </x:c>
      <x:c r="Q8" s="97" t="str">
        <x:v>Cảnh báo</x:v>
      </x:c>
      <x:c r="R8" s="97" t="str">
        <x:v>Giữ cash buffer tại SPV05</x:v>
      </x:c>
      <x:c r="S8" s="14"/>
    </x:row>
    <x:row r="9">
      <x:c r="A9" s="97" t="str">
        <x:v>LN06</x:v>
      </x:c>
      <x:c r="B9" s="97" t="str">
        <x:v>SPV06</x:v>
      </x:c>
      <x:c r="C9" s="97" t="str">
        <x:v>DA06</x:v>
      </x:c>
      <x:c r="D9" s="97" t="str">
        <x:v>Chưa xác định</x:v>
      </x:c>
      <x:c r="E9" s="97" t="str">
        <x:v>Acquisition Facility</x:v>
      </x:c>
      <x:c r="F9" s="99" t="n">
        <x:v>2025</x:v>
      </x:c>
      <x:c r="G9" s="99" t="n">
        <x:v>501.2</x:v>
      </x:c>
      <x:c r="H9" s="98" t="n">
        <x:v>0.095</x:v>
      </x:c>
      <x:c r="I9" s="101" t="n">
        <x:v>48213</x:v>
      </x:c>
      <x:c r="J9" s="97" t="str">
        <x:v>Dự kiến cổ phần SPV</x:v>
      </x:c>
      <x:c r="K9" s="102" t="n">
        <x:v>0.65</x:v>
      </x:c>
      <x:c r="L9" s="102" t="n">
        <x:v>0.25</x:v>
      </x:c>
      <x:c r="M9" s="102" t="n">
        <x:v>1.2</x:v>
      </x:c>
      <x:c r="N9" s="102" t="n">
        <x:v>0.9</x:v>
      </x:c>
      <x:c r="O9" s="97" t="str">
        <x:v>Điều kiện hoàn tất M&amp;A</x:v>
      </x:c>
      <x:c r="P9" s="99" t="n">
        <x:v>1523.8</x:v>
      </x:c>
      <x:c r="Q9" s="97" t="str">
        <x:v>Chưa hiệu lực</x:v>
      </x:c>
      <x:c r="R9" s="97" t="str">
        <x:v>Không giải ngân trước CP</x:v>
      </x:c>
      <x:c r="S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</x:row>
  </x:sheetData>
  <x:mergeCells>
    <x:mergeCell ref="A1:R1"/>
  </x:mergeCells>
  <x:conditionalFormatting sqref="Q4:Q9">
    <x:cfRule type="expression" dxfId="6" priority="1">
      <x:formula>Q4="Cảnh báo"</x:formula>
    </x:cfRule>
  </x:conditionalFormatting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>
      <x:c r="A1" s="96" t="str">
        <x:v>34_Waterfall_Nguon_von – Thứ tự sử dụng nguồn vốn theo dự án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  <x:c r="O1" s="96"/>
      <x:c r="P1" s="96"/>
      <x:c r="Q1" s="14"/>
      <x:c r="R1" s="14"/>
      <x:c r="S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</x:row>
    <x:row r="3">
      <x:c r="A3" s="91" t="str">
        <x:v>Mã dự án</x:v>
      </x:c>
      <x:c r="B3" s="91" t="str">
        <x:v>Thứ tự</x:v>
      </x:c>
      <x:c r="C3" s="91" t="str">
        <x:v>Nguồn vốn</x:v>
      </x:c>
      <x:c r="D3" s="91" t="str">
        <x:v>Hạn mức/Khả dụng (tỷ)</x:v>
      </x:c>
      <x:c r="E3" s="91" t="str">
        <x:v>Chi phí vốn</x:v>
      </x:c>
      <x:c r="F3" s="91" t="str">
        <x:v>Điều kiện sử dụng</x:v>
      </x:c>
      <x:c r="G3" s="91" t="str">
        <x:v>Mốc pháp lý yêu cầu</x:v>
      </x:c>
      <x:c r="H3" s="91" t="str">
        <x:v>Tỷ lệ tối đa trong TMĐT</x:v>
      </x:c>
      <x:c r="I3" s="91" t="str">
        <x:v>Đã sử dụng (tỷ)</x:v>
      </x:c>
      <x:c r="J3" s="91" t="str">
        <x:v>Còn khả dụng (tỷ)</x:v>
      </x:c>
      <x:c r="K3" s="91" t="str">
        <x:v>Nhu cầu 12T (tỷ)</x:v>
      </x:c>
      <x:c r="L3" s="91" t="str">
        <x:v>Phân bổ đề xuất (tỷ)</x:v>
      </x:c>
      <x:c r="M3" s="91" t="str">
        <x:v>Thiếu hụt sau waterfall</x:v>
      </x:c>
      <x:c r="N3" s="91" t="str">
        <x:v>Trạng thái</x:v>
      </x:c>
      <x:c r="O3" s="91" t="str">
        <x:v>Người phụ trách</x:v>
      </x:c>
      <x:c r="P3" s="91" t="str">
        <x:v>Ghi chú</x:v>
      </x:c>
      <x:c r="Q3" s="14"/>
      <x:c r="R3" s="14"/>
      <x:c r="S3" s="14"/>
    </x:row>
    <x:row r="4">
      <x:c r="A4" s="14" t="str">
        <x:v>DA01</x:v>
      </x:c>
      <x:c r="B4" s="14" t="n">
        <x:v>1</x:v>
      </x:c>
      <x:c r="C4" s="14" t="str">
        <x:v>Tiền khách hàng</x:v>
      </x:c>
      <x:c r="D4" s="100" t="n">
        <x:v>1340.6</x:v>
      </x:c>
      <x:c r="E4" s="103" t="n">
        <x:v>0</x:v>
      </x:c>
      <x:c r="F4" s="14" t="str">
        <x:v>Chỉ sử dụng khi đáp ứng điều kiện huy động/thu tiền</x:v>
      </x:c>
      <x:c r="G4" s="14" t="str">
        <x:v>Điều kiện kinh doanh/mở bán</x:v>
      </x:c>
      <x:c r="H4" s="103" t="n">
        <x:v>0.4</x:v>
      </x:c>
      <x:c r="I4" s="100" t="n">
        <x:v>0</x:v>
      </x:c>
      <x:c r="J4" s="100" t="n">
        <x:f>MAX(0,D4-I4)</x:f>
        <x:v>1340.6</x:v>
      </x:c>
      <x:c r="K4" s="100" t="n">
        <x:v>435.4</x:v>
      </x:c>
      <x:c r="L4" s="100" t="n">
        <x:f>MIN(J4,K4)</x:f>
        <x:v>435.4</x:v>
      </x:c>
      <x:c r="M4" s="100" t="n">
        <x:f>MAX(0,K4-SUMIFS($L$4:L4,$A$4:A4,A4))</x:f>
        <x:v>0</x:v>
      </x:c>
      <x:c r="N4" s="14" t="str">
        <x:f>IF(M4&gt;0,"THIẾU VỐN",IF(L4&gt;0,"PHÂN BỔ","CHƯA CẦN"))</x:f>
        <x:v>PHÂN BỔ</x:v>
      </x:c>
      <x:c r="O4" s="14" t="str">
        <x:v>Kinh doanh/Tài chính</x:v>
      </x:c>
      <x:c r="P4" s="14" t="str">
        <x:v>Ưu tiên nguồn không lãi</x:v>
      </x:c>
      <x:c r="Q4" s="14"/>
      <x:c r="R4" s="14"/>
      <x:c r="S4" s="14"/>
    </x:row>
    <x:row r="5">
      <x:c r="A5" s="14" t="str">
        <x:v>DA01</x:v>
      </x:c>
      <x:c r="B5" s="14" t="n">
        <x:v>2</x:v>
      </x:c>
      <x:c r="C5" s="14" t="str">
        <x:v>Vốn chủ sở hữu</x:v>
      </x:c>
      <x:c r="D5" s="100" t="n">
        <x:v>1117.2</x:v>
      </x:c>
      <x:c r="E5" s="103" t="n">
        <x:v>0</x:v>
      </x:c>
      <x:c r="F5" s="14" t="str">
        <x:v>Theo phê duyệt đầu tư &amp; hạn mức vốn chủ</x:v>
      </x:c>
      <x:c r="G5" s="14" t="str">
        <x:v>Nghị quyết/Quyết định nội bộ</x:v>
      </x:c>
      <x:c r="H5" s="103" t="n">
        <x:v>0.3</x:v>
      </x:c>
      <x:c r="I5" s="100" t="n">
        <x:v>0</x:v>
      </x:c>
      <x:c r="J5" s="100" t="n">
        <x:f>MAX(0,D5-I5)</x:f>
        <x:v>1117.2</x:v>
      </x:c>
      <x:c r="K5" s="100" t="n">
        <x:v>435.4</x:v>
      </x:c>
      <x:c r="L5" s="100" t="n">
        <x:f>MIN(J5,MAX(0,K5-SUMIFS($L$4:L4,$A$4:A4,A5)))</x:f>
        <x:v>0</x:v>
      </x:c>
      <x:c r="M5" s="100" t="n">
        <x:f>MAX(0,K5-SUMIFS($L$4:L5,$A$4:A5,A5))</x:f>
        <x:v>0</x:v>
      </x:c>
      <x:c r="N5" s="14" t="str">
        <x:f>IF(M5&gt;0,"THIẾU VỐN",IF(L5&gt;0,"PHÂN BỔ","CHƯA CẦN"))</x:f>
        <x:v>CHƯA CẦN</x:v>
      </x:c>
      <x:c r="O5" s="14" t="str">
        <x:v>CFO/TGĐ</x:v>
      </x:c>
      <x:c r="P5" s="14" t="str">
        <x:v>Bảo đảm equity commitment</x:v>
      </x:c>
      <x:c r="Q5" s="14"/>
      <x:c r="R5" s="14"/>
      <x:c r="S5" s="14"/>
    </x:row>
    <x:row r="6">
      <x:c r="A6" s="14" t="str">
        <x:v>DA01</x:v>
      </x:c>
      <x:c r="B6" s="14" t="n">
        <x:v>3</x:v>
      </x:c>
      <x:c r="C6" s="14" t="str">
        <x:v>Vay ngân hàng</x:v>
      </x:c>
      <x:c r="D6" s="100" t="n">
        <x:v>2010.9</x:v>
      </x:c>
      <x:c r="E6" s="103" t="n">
        <x:v>0.095</x:v>
      </x:c>
      <x:c r="F6" s="14" t="str">
        <x:v>Đáp ứng CP, covenant và điều kiện giải ngân</x:v>
      </x:c>
      <x:c r="G6" s="14" t="str">
        <x:v>Legal Gate + hồ sơ giải ngân</x:v>
      </x:c>
      <x:c r="H6" s="103" t="n">
        <x:v>0.5</x:v>
      </x:c>
      <x:c r="I6" s="100" t="n">
        <x:v>0</x:v>
      </x:c>
      <x:c r="J6" s="100" t="n">
        <x:f>MAX(0,D6-I6)</x:f>
        <x:v>2010.9</x:v>
      </x:c>
      <x:c r="K6" s="100" t="n">
        <x:v>435.4</x:v>
      </x:c>
      <x:c r="L6" s="100" t="n">
        <x:f>MIN(J6,MAX(0,K6-SUMIFS($L$4:L5,$A$4:A5,A6)))</x:f>
        <x:v>0</x:v>
      </x:c>
      <x:c r="M6" s="100" t="n">
        <x:f>MAX(0,K6-SUMIFS($L$4:L6,$A$4:A6,A6))</x:f>
        <x:v>0</x:v>
      </x:c>
      <x:c r="N6" s="14" t="str">
        <x:f>IF(M6&gt;0,"THIẾU VỐN",IF(L6&gt;0,"PHÂN BỔ","CHƯA CẦN"))</x:f>
        <x:v>CHƯA CẦN</x:v>
      </x:c>
      <x:c r="O6" s="14" t="str">
        <x:v>Treasury/Project Finance</x:v>
      </x:c>
      <x:c r="P6" s="14" t="str">
        <x:v>Nguồn vốn có chi phí</x:v>
      </x:c>
      <x:c r="Q6" s="14"/>
      <x:c r="R6" s="14"/>
      <x:c r="S6" s="14"/>
    </x:row>
    <x:row r="7">
      <x:c r="A7" s="14" t="str">
        <x:v>DA01</x:v>
      </x:c>
      <x:c r="B7" s="14" t="n">
        <x:v>4</x:v>
      </x:c>
      <x:c r="C7" s="14" t="str">
        <x:v>Bridge/Intercompany</x:v>
      </x:c>
      <x:c r="D7" s="100" t="n">
        <x:v>500</x:v>
      </x:c>
      <x:c r="E7" s="103" t="n">
        <x:v>0.075</x:v>
      </x:c>
      <x:c r="F7" s="14" t="str">
        <x:v>Chỉ dùng khi có gap tạm thời, có kế hoạch take-out</x:v>
      </x:c>
      <x:c r="G7" s="14" t="str">
        <x:v>Phê duyệt CTM</x:v>
      </x:c>
      <x:c r="H7" s="103" t="n">
        <x:v>0.15</x:v>
      </x:c>
      <x:c r="I7" s="100" t="n">
        <x:v>0</x:v>
      </x:c>
      <x:c r="J7" s="100" t="n">
        <x:f>MAX(0,D7-I7)</x:f>
        <x:v>500</x:v>
      </x:c>
      <x:c r="K7" s="100" t="n">
        <x:v>435.4</x:v>
      </x:c>
      <x:c r="L7" s="100" t="n">
        <x:f>MIN(J7,MAX(0,K7-SUMIFS($L$4:L6,$A$4:A6,A7)))</x:f>
        <x:v>0</x:v>
      </x:c>
      <x:c r="M7" s="100" t="n">
        <x:f>MAX(0,K7-SUMIFS($L$4:L7,$A$4:A7,A7))</x:f>
        <x:v>0</x:v>
      </x:c>
      <x:c r="N7" s="14" t="str">
        <x:f>IF(M7&gt;0,"THIẾU VỐN",IF(L7&gt;0,"PHÂN BỔ","CHƯA CẦN"))</x:f>
        <x:v>CHƯA CẦN</x:v>
      </x:c>
      <x:c r="O7" s="14" t="str">
        <x:v>Treasury</x:v>
      </x:c>
      <x:c r="P7" s="14" t="str">
        <x:v>Không dùng thay vốn dài hạn</x:v>
      </x:c>
      <x:c r="Q7" s="14"/>
      <x:c r="R7" s="14"/>
      <x:c r="S7" s="14"/>
    </x:row>
    <x:row r="8">
      <x:c r="A8" s="14" t="str">
        <x:v>DA02</x:v>
      </x:c>
      <x:c r="B8" s="14" t="n">
        <x:v>1</x:v>
      </x:c>
      <x:c r="C8" s="14" t="str">
        <x:v>Tiền khách hàng</x:v>
      </x:c>
      <x:c r="D8" s="100" t="n">
        <x:v>881.3</x:v>
      </x:c>
      <x:c r="E8" s="103" t="n">
        <x:v>0</x:v>
      </x:c>
      <x:c r="F8" s="14" t="str">
        <x:v>Chỉ sử dụng khi đáp ứng điều kiện huy động/thu tiền</x:v>
      </x:c>
      <x:c r="G8" s="14" t="str">
        <x:v>Điều kiện kinh doanh/mở bán</x:v>
      </x:c>
      <x:c r="H8" s="103" t="n">
        <x:v>0.4</x:v>
      </x:c>
      <x:c r="I8" s="100" t="n">
        <x:v>0</x:v>
      </x:c>
      <x:c r="J8" s="100" t="n">
        <x:f>MAX(0,D8-I8)</x:f>
        <x:v>881.3</x:v>
      </x:c>
      <x:c r="K8" s="100" t="n">
        <x:v>269.6</x:v>
      </x:c>
      <x:c r="L8" s="100" t="n">
        <x:f>MIN(J8,MAX(0,K8-SUMIFS($L$4:L7,$A$4:A7,A8)))</x:f>
        <x:v>269.6</x:v>
      </x:c>
      <x:c r="M8" s="100" t="n">
        <x:f>MAX(0,K8-SUMIFS($L$4:L8,$A$4:A8,A8))</x:f>
        <x:v>0</x:v>
      </x:c>
      <x:c r="N8" s="14" t="str">
        <x:f>IF(M8&gt;0,"THIẾU VỐN",IF(L8&gt;0,"PHÂN BỔ","CHƯA CẦN"))</x:f>
        <x:v>PHÂN BỔ</x:v>
      </x:c>
      <x:c r="O8" s="14" t="str">
        <x:v>Kinh doanh/Tài chính</x:v>
      </x:c>
      <x:c r="P8" s="14" t="str">
        <x:v>Ưu tiên nguồn không lãi</x:v>
      </x:c>
      <x:c r="Q8" s="14"/>
      <x:c r="R8" s="14"/>
      <x:c r="S8" s="14"/>
    </x:row>
    <x:row r="9">
      <x:c r="A9" s="14" t="str">
        <x:v>DA02</x:v>
      </x:c>
      <x:c r="B9" s="14" t="n">
        <x:v>2</x:v>
      </x:c>
      <x:c r="C9" s="14" t="str">
        <x:v>Vốn chủ sở hữu</x:v>
      </x:c>
      <x:c r="D9" s="100" t="n">
        <x:v>734.4</x:v>
      </x:c>
      <x:c r="E9" s="103" t="n">
        <x:v>0</x:v>
      </x:c>
      <x:c r="F9" s="14" t="str">
        <x:v>Theo phê duyệt đầu tư &amp; hạn mức vốn chủ</x:v>
      </x:c>
      <x:c r="G9" s="14" t="str">
        <x:v>Nghị quyết/Quyết định nội bộ</x:v>
      </x:c>
      <x:c r="H9" s="103" t="n">
        <x:v>0.3</x:v>
      </x:c>
      <x:c r="I9" s="100" t="n">
        <x:v>0</x:v>
      </x:c>
      <x:c r="J9" s="100" t="n">
        <x:f>MAX(0,D9-I9)</x:f>
        <x:v>734.4</x:v>
      </x:c>
      <x:c r="K9" s="100" t="n">
        <x:v>269.6</x:v>
      </x:c>
      <x:c r="L9" s="100" t="n">
        <x:f>MIN(J9,MAX(0,K9-SUMIFS($L$4:L8,$A$4:A8,A9)))</x:f>
        <x:v>0</x:v>
      </x:c>
      <x:c r="M9" s="100" t="n">
        <x:f>MAX(0,K9-SUMIFS($L$4:L9,$A$4:A9,A9))</x:f>
        <x:v>0</x:v>
      </x:c>
      <x:c r="N9" s="14" t="str">
        <x:f>IF(M9&gt;0,"THIẾU VỐN",IF(L9&gt;0,"PHÂN BỔ","CHƯA CẦN"))</x:f>
        <x:v>CHƯA CẦN</x:v>
      </x:c>
      <x:c r="O9" s="14" t="str">
        <x:v>CFO/TGĐ</x:v>
      </x:c>
      <x:c r="P9" s="14" t="str">
        <x:v>Bảo đảm equity commitment</x:v>
      </x:c>
      <x:c r="Q9" s="14"/>
      <x:c r="R9" s="14"/>
      <x:c r="S9" s="14"/>
    </x:row>
    <x:row r="10">
      <x:c r="A10" s="14" t="str">
        <x:v>DA02</x:v>
      </x:c>
      <x:c r="B10" s="14" t="n">
        <x:v>3</x:v>
      </x:c>
      <x:c r="C10" s="14" t="str">
        <x:v>Vay ngân hàng</x:v>
      </x:c>
      <x:c r="D10" s="100" t="n">
        <x:v>1321.9</x:v>
      </x:c>
      <x:c r="E10" s="103" t="n">
        <x:v>0.095</x:v>
      </x:c>
      <x:c r="F10" s="14" t="str">
        <x:v>Đáp ứng CP, covenant và điều kiện giải ngân</x:v>
      </x:c>
      <x:c r="G10" s="14" t="str">
        <x:v>Legal Gate + hồ sơ giải ngân</x:v>
      </x:c>
      <x:c r="H10" s="103" t="n">
        <x:v>0.5</x:v>
      </x:c>
      <x:c r="I10" s="100" t="n">
        <x:v>0</x:v>
      </x:c>
      <x:c r="J10" s="100" t="n">
        <x:f>MAX(0,D10-I10)</x:f>
        <x:v>1321.9</x:v>
      </x:c>
      <x:c r="K10" s="100" t="n">
        <x:v>269.6</x:v>
      </x:c>
      <x:c r="L10" s="100" t="n">
        <x:f>MIN(J10,MAX(0,K10-SUMIFS($L$4:L9,$A$4:A9,A10)))</x:f>
        <x:v>0</x:v>
      </x:c>
      <x:c r="M10" s="100" t="n">
        <x:f>MAX(0,K10-SUMIFS($L$4:L10,$A$4:A10,A10))</x:f>
        <x:v>0</x:v>
      </x:c>
      <x:c r="N10" s="14" t="str">
        <x:f>IF(M10&gt;0,"THIẾU VỐN",IF(L10&gt;0,"PHÂN BỔ","CHƯA CẦN"))</x:f>
        <x:v>CHƯA CẦN</x:v>
      </x:c>
      <x:c r="O10" s="14" t="str">
        <x:v>Treasury/Project Finance</x:v>
      </x:c>
      <x:c r="P10" s="14" t="str">
        <x:v>Nguồn vốn có chi phí</x:v>
      </x:c>
      <x:c r="Q10" s="14"/>
      <x:c r="R10" s="14"/>
      <x:c r="S10" s="14"/>
    </x:row>
    <x:row r="11">
      <x:c r="A11" s="14" t="str">
        <x:v>DA02</x:v>
      </x:c>
      <x:c r="B11" s="14" t="n">
        <x:v>4</x:v>
      </x:c>
      <x:c r="C11" s="14" t="str">
        <x:v>Bridge/Intercompany</x:v>
      </x:c>
      <x:c r="D11" s="100" t="n">
        <x:v>500</x:v>
      </x:c>
      <x:c r="E11" s="103" t="n">
        <x:v>0.075</x:v>
      </x:c>
      <x:c r="F11" s="14" t="str">
        <x:v>Chỉ dùng khi có gap tạm thời, có kế hoạch take-out</x:v>
      </x:c>
      <x:c r="G11" s="14" t="str">
        <x:v>Phê duyệt CTM</x:v>
      </x:c>
      <x:c r="H11" s="103" t="n">
        <x:v>0.15</x:v>
      </x:c>
      <x:c r="I11" s="100" t="n">
        <x:v>0</x:v>
      </x:c>
      <x:c r="J11" s="100" t="n">
        <x:f>MAX(0,D11-I11)</x:f>
        <x:v>500</x:v>
      </x:c>
      <x:c r="K11" s="100" t="n">
        <x:v>269.6</x:v>
      </x:c>
      <x:c r="L11" s="100" t="n">
        <x:f>MIN(J11,MAX(0,K11-SUMIFS($L$4:L10,$A$4:A10,A11)))</x:f>
        <x:v>0</x:v>
      </x:c>
      <x:c r="M11" s="100" t="n">
        <x:f>MAX(0,K11-SUMIFS($L$4:L11,$A$4:A11,A11))</x:f>
        <x:v>0</x:v>
      </x:c>
      <x:c r="N11" s="14" t="str">
        <x:f>IF(M11&gt;0,"THIẾU VỐN",IF(L11&gt;0,"PHÂN BỔ","CHƯA CẦN"))</x:f>
        <x:v>CHƯA CẦN</x:v>
      </x:c>
      <x:c r="O11" s="14" t="str">
        <x:v>Treasury</x:v>
      </x:c>
      <x:c r="P11" s="14" t="str">
        <x:v>Không dùng thay vốn dài hạn</x:v>
      </x:c>
      <x:c r="Q11" s="14"/>
      <x:c r="R11" s="14"/>
      <x:c r="S11" s="14"/>
    </x:row>
    <x:row r="12">
      <x:c r="A12" s="14" t="str">
        <x:v>DA03</x:v>
      </x:c>
      <x:c r="B12" s="14" t="n">
        <x:v>1</x:v>
      </x:c>
      <x:c r="C12" s="14" t="str">
        <x:v>Tiền khách hàng</x:v>
      </x:c>
      <x:c r="D12" s="100" t="n">
        <x:v>760</x:v>
      </x:c>
      <x:c r="E12" s="103" t="n">
        <x:v>0</x:v>
      </x:c>
      <x:c r="F12" s="14" t="str">
        <x:v>Chỉ sử dụng khi đáp ứng điều kiện huy động/thu tiền</x:v>
      </x:c>
      <x:c r="G12" s="14" t="str">
        <x:v>Điều kiện kinh doanh/mở bán</x:v>
      </x:c>
      <x:c r="H12" s="103" t="n">
        <x:v>0.4</x:v>
      </x:c>
      <x:c r="I12" s="100" t="n">
        <x:v>0</x:v>
      </x:c>
      <x:c r="J12" s="100" t="n">
        <x:f>MAX(0,D12-I12)</x:f>
        <x:v>760</x:v>
      </x:c>
      <x:c r="K12" s="100" t="n">
        <x:v>124.6</x:v>
      </x:c>
      <x:c r="L12" s="100" t="n">
        <x:f>MIN(J12,MAX(0,K12-SUMIFS($L$4:L11,$A$4:A11,A12)))</x:f>
        <x:v>124.6</x:v>
      </x:c>
      <x:c r="M12" s="100" t="n">
        <x:f>MAX(0,K12-SUMIFS($L$4:L12,$A$4:A12,A12))</x:f>
        <x:v>0</x:v>
      </x:c>
      <x:c r="N12" s="14" t="str">
        <x:f>IF(M12&gt;0,"THIẾU VỐN",IF(L12&gt;0,"PHÂN BỔ","CHƯA CẦN"))</x:f>
        <x:v>PHÂN BỔ</x:v>
      </x:c>
      <x:c r="O12" s="14" t="str">
        <x:v>Kinh doanh/Tài chính</x:v>
      </x:c>
      <x:c r="P12" s="14" t="str">
        <x:v>Ưu tiên nguồn không lãi</x:v>
      </x:c>
      <x:c r="Q12" s="14"/>
      <x:c r="R12" s="14"/>
      <x:c r="S12" s="14"/>
    </x:row>
    <x:row r="13">
      <x:c r="A13" s="14" t="str">
        <x:v>DA03</x:v>
      </x:c>
      <x:c r="B13" s="14" t="n">
        <x:v>2</x:v>
      </x:c>
      <x:c r="C13" s="14" t="str">
        <x:v>Vốn chủ sở hữu</x:v>
      </x:c>
      <x:c r="D13" s="100" t="n">
        <x:v>633.3</x:v>
      </x:c>
      <x:c r="E13" s="103" t="n">
        <x:v>0</x:v>
      </x:c>
      <x:c r="F13" s="14" t="str">
        <x:v>Theo phê duyệt đầu tư &amp; hạn mức vốn chủ</x:v>
      </x:c>
      <x:c r="G13" s="14" t="str">
        <x:v>Nghị quyết/Quyết định nội bộ</x:v>
      </x:c>
      <x:c r="H13" s="103" t="n">
        <x:v>0.3</x:v>
      </x:c>
      <x:c r="I13" s="100" t="n">
        <x:v>0</x:v>
      </x:c>
      <x:c r="J13" s="100" t="n">
        <x:f>MAX(0,D13-I13)</x:f>
        <x:v>633.3</x:v>
      </x:c>
      <x:c r="K13" s="100" t="n">
        <x:v>124.6</x:v>
      </x:c>
      <x:c r="L13" s="100" t="n">
        <x:f>MIN(J13,MAX(0,K13-SUMIFS($L$4:L12,$A$4:A12,A13)))</x:f>
        <x:v>0</x:v>
      </x:c>
      <x:c r="M13" s="100" t="n">
        <x:f>MAX(0,K13-SUMIFS($L$4:L13,$A$4:A13,A13))</x:f>
        <x:v>0</x:v>
      </x:c>
      <x:c r="N13" s="14" t="str">
        <x:f>IF(M13&gt;0,"THIẾU VỐN",IF(L13&gt;0,"PHÂN BỔ","CHƯA CẦN"))</x:f>
        <x:v>CHƯA CẦN</x:v>
      </x:c>
      <x:c r="O13" s="14" t="str">
        <x:v>CFO/TGĐ</x:v>
      </x:c>
      <x:c r="P13" s="14" t="str">
        <x:v>Bảo đảm equity commitment</x:v>
      </x:c>
      <x:c r="Q13" s="14"/>
      <x:c r="R13" s="14"/>
      <x:c r="S13" s="14"/>
    </x:row>
    <x:row r="14">
      <x:c r="A14" s="14" t="str">
        <x:v>DA03</x:v>
      </x:c>
      <x:c r="B14" s="14" t="n">
        <x:v>3</x:v>
      </x:c>
      <x:c r="C14" s="14" t="str">
        <x:v>Vay ngân hàng</x:v>
      </x:c>
      <x:c r="D14" s="100" t="n">
        <x:v>1140</x:v>
      </x:c>
      <x:c r="E14" s="103" t="n">
        <x:v>0.095</x:v>
      </x:c>
      <x:c r="F14" s="14" t="str">
        <x:v>Đáp ứng CP, covenant và điều kiện giải ngân</x:v>
      </x:c>
      <x:c r="G14" s="14" t="str">
        <x:v>Legal Gate + hồ sơ giải ngân</x:v>
      </x:c>
      <x:c r="H14" s="103" t="n">
        <x:v>0.5</x:v>
      </x:c>
      <x:c r="I14" s="100" t="n">
        <x:v>0</x:v>
      </x:c>
      <x:c r="J14" s="100" t="n">
        <x:f>MAX(0,D14-I14)</x:f>
        <x:v>1140</x:v>
      </x:c>
      <x:c r="K14" s="100" t="n">
        <x:v>124.6</x:v>
      </x:c>
      <x:c r="L14" s="100" t="n">
        <x:f>MIN(J14,MAX(0,K14-SUMIFS($L$4:L13,$A$4:A13,A14)))</x:f>
        <x:v>0</x:v>
      </x:c>
      <x:c r="M14" s="100" t="n">
        <x:f>MAX(0,K14-SUMIFS($L$4:L14,$A$4:A14,A14))</x:f>
        <x:v>0</x:v>
      </x:c>
      <x:c r="N14" s="14" t="str">
        <x:f>IF(M14&gt;0,"THIẾU VỐN",IF(L14&gt;0,"PHÂN BỔ","CHƯA CẦN"))</x:f>
        <x:v>CHƯA CẦN</x:v>
      </x:c>
      <x:c r="O14" s="14" t="str">
        <x:v>Treasury/Project Finance</x:v>
      </x:c>
      <x:c r="P14" s="14" t="str">
        <x:v>Nguồn vốn có chi phí</x:v>
      </x:c>
      <x:c r="Q14" s="14"/>
      <x:c r="R14" s="14"/>
      <x:c r="S14" s="14"/>
    </x:row>
    <x:row r="15">
      <x:c r="A15" s="14" t="str">
        <x:v>DA03</x:v>
      </x:c>
      <x:c r="B15" s="14" t="n">
        <x:v>4</x:v>
      </x:c>
      <x:c r="C15" s="14" t="str">
        <x:v>Bridge/Intercompany</x:v>
      </x:c>
      <x:c r="D15" s="100" t="n">
        <x:v>500</x:v>
      </x:c>
      <x:c r="E15" s="103" t="n">
        <x:v>0.075</x:v>
      </x:c>
      <x:c r="F15" s="14" t="str">
        <x:v>Chỉ dùng khi có gap tạm thời, có kế hoạch take-out</x:v>
      </x:c>
      <x:c r="G15" s="14" t="str">
        <x:v>Phê duyệt CTM</x:v>
      </x:c>
      <x:c r="H15" s="103" t="n">
        <x:v>0.15</x:v>
      </x:c>
      <x:c r="I15" s="100" t="n">
        <x:v>0</x:v>
      </x:c>
      <x:c r="J15" s="100" t="n">
        <x:f>MAX(0,D15-I15)</x:f>
        <x:v>500</x:v>
      </x:c>
      <x:c r="K15" s="100" t="n">
        <x:v>124.6</x:v>
      </x:c>
      <x:c r="L15" s="100" t="n">
        <x:f>MIN(J15,MAX(0,K15-SUMIFS($L$4:L14,$A$4:A14,A15)))</x:f>
        <x:v>0</x:v>
      </x:c>
      <x:c r="M15" s="100" t="n">
        <x:f>MAX(0,K15-SUMIFS($L$4:L15,$A$4:A15,A15))</x:f>
        <x:v>0</x:v>
      </x:c>
      <x:c r="N15" s="14" t="str">
        <x:f>IF(M15&gt;0,"THIẾU VỐN",IF(L15&gt;0,"PHÂN BỔ","CHƯA CẦN"))</x:f>
        <x:v>CHƯA CẦN</x:v>
      </x:c>
      <x:c r="O15" s="14" t="str">
        <x:v>Treasury</x:v>
      </x:c>
      <x:c r="P15" s="14" t="str">
        <x:v>Không dùng thay vốn dài hạn</x:v>
      </x:c>
      <x:c r="Q15" s="14"/>
      <x:c r="R15" s="14"/>
      <x:c r="S15" s="14"/>
    </x:row>
    <x:row r="16">
      <x:c r="A16" s="14" t="str">
        <x:v>DA04</x:v>
      </x:c>
      <x:c r="B16" s="14" t="n">
        <x:v>1</x:v>
      </x:c>
      <x:c r="C16" s="14" t="str">
        <x:v>Tiền khách hàng</x:v>
      </x:c>
      <x:c r="D16" s="100" t="n">
        <x:v>504</x:v>
      </x:c>
      <x:c r="E16" s="103" t="n">
        <x:v>0</x:v>
      </x:c>
      <x:c r="F16" s="14" t="str">
        <x:v>Chỉ sử dụng khi đáp ứng điều kiện huy động/thu tiền</x:v>
      </x:c>
      <x:c r="G16" s="14" t="str">
        <x:v>Điều kiện kinh doanh/mở bán</x:v>
      </x:c>
      <x:c r="H16" s="103" t="n">
        <x:v>0.4</x:v>
      </x:c>
      <x:c r="I16" s="100" t="n">
        <x:v>0</x:v>
      </x:c>
      <x:c r="J16" s="100" t="n">
        <x:f>MAX(0,D16-I16)</x:f>
        <x:v>504</x:v>
      </x:c>
      <x:c r="K16" s="100" t="n">
        <x:v>0</x:v>
      </x:c>
      <x:c r="L16" s="100" t="n">
        <x:f>MIN(J16,MAX(0,K16-SUMIFS($L$4:L15,$A$4:A15,A16)))</x:f>
        <x:v>0</x:v>
      </x:c>
      <x:c r="M16" s="100" t="n">
        <x:f>MAX(0,K16-SUMIFS($L$4:L16,$A$4:A16,A16))</x:f>
        <x:v>0</x:v>
      </x:c>
      <x:c r="N16" s="14" t="str">
        <x:f>IF(M16&gt;0,"THIẾU VỐN",IF(L16&gt;0,"PHÂN BỔ","CHƯA CẦN"))</x:f>
        <x:v>CHƯA CẦN</x:v>
      </x:c>
      <x:c r="O16" s="14" t="str">
        <x:v>Kinh doanh/Tài chính</x:v>
      </x:c>
      <x:c r="P16" s="14" t="str">
        <x:v>Ưu tiên nguồn không lãi</x:v>
      </x:c>
      <x:c r="Q16" s="14"/>
      <x:c r="R16" s="14"/>
      <x:c r="S16" s="14"/>
    </x:row>
    <x:row r="17">
      <x:c r="A17" s="14" t="str">
        <x:v>DA04</x:v>
      </x:c>
      <x:c r="B17" s="14" t="n">
        <x:v>2</x:v>
      </x:c>
      <x:c r="C17" s="14" t="str">
        <x:v>Vốn chủ sở hữu</x:v>
      </x:c>
      <x:c r="D17" s="100" t="n">
        <x:v>420</x:v>
      </x:c>
      <x:c r="E17" s="103" t="n">
        <x:v>0</x:v>
      </x:c>
      <x:c r="F17" s="14" t="str">
        <x:v>Theo phê duyệt đầu tư &amp; hạn mức vốn chủ</x:v>
      </x:c>
      <x:c r="G17" s="14" t="str">
        <x:v>Nghị quyết/Quyết định nội bộ</x:v>
      </x:c>
      <x:c r="H17" s="103" t="n">
        <x:v>0.3</x:v>
      </x:c>
      <x:c r="I17" s="100" t="n">
        <x:v>0</x:v>
      </x:c>
      <x:c r="J17" s="100" t="n">
        <x:f>MAX(0,D17-I17)</x:f>
        <x:v>420</x:v>
      </x:c>
      <x:c r="K17" s="100" t="n">
        <x:v>0</x:v>
      </x:c>
      <x:c r="L17" s="100" t="n">
        <x:f>MIN(J17,MAX(0,K17-SUMIFS($L$4:L16,$A$4:A16,A17)))</x:f>
        <x:v>0</x:v>
      </x:c>
      <x:c r="M17" s="100" t="n">
        <x:f>MAX(0,K17-SUMIFS($L$4:L17,$A$4:A17,A17))</x:f>
        <x:v>0</x:v>
      </x:c>
      <x:c r="N17" s="14" t="str">
        <x:f>IF(M17&gt;0,"THIẾU VỐN",IF(L17&gt;0,"PHÂN BỔ","CHƯA CẦN"))</x:f>
        <x:v>CHƯA CẦN</x:v>
      </x:c>
      <x:c r="O17" s="14" t="str">
        <x:v>CFO/TGĐ</x:v>
      </x:c>
      <x:c r="P17" s="14" t="str">
        <x:v>Bảo đảm equity commitment</x:v>
      </x:c>
      <x:c r="Q17" s="14"/>
      <x:c r="R17" s="14"/>
      <x:c r="S17" s="14"/>
    </x:row>
    <x:row r="18">
      <x:c r="A18" s="14" t="str">
        <x:v>DA04</x:v>
      </x:c>
      <x:c r="B18" s="14" t="n">
        <x:v>3</x:v>
      </x:c>
      <x:c r="C18" s="14" t="str">
        <x:v>Vay ngân hàng</x:v>
      </x:c>
      <x:c r="D18" s="100" t="n">
        <x:v>756</x:v>
      </x:c>
      <x:c r="E18" s="103" t="n">
        <x:v>0.095</x:v>
      </x:c>
      <x:c r="F18" s="14" t="str">
        <x:v>Đáp ứng CP, covenant và điều kiện giải ngân</x:v>
      </x:c>
      <x:c r="G18" s="14" t="str">
        <x:v>Legal Gate + hồ sơ giải ngân</x:v>
      </x:c>
      <x:c r="H18" s="103" t="n">
        <x:v>0.5</x:v>
      </x:c>
      <x:c r="I18" s="100" t="n">
        <x:v>0</x:v>
      </x:c>
      <x:c r="J18" s="100" t="n">
        <x:f>MAX(0,D18-I18)</x:f>
        <x:v>756</x:v>
      </x:c>
      <x:c r="K18" s="100" t="n">
        <x:v>0</x:v>
      </x:c>
      <x:c r="L18" s="100" t="n">
        <x:f>MIN(J18,MAX(0,K18-SUMIFS($L$4:L17,$A$4:A17,A18)))</x:f>
        <x:v>0</x:v>
      </x:c>
      <x:c r="M18" s="100" t="n">
        <x:f>MAX(0,K18-SUMIFS($L$4:L18,$A$4:A18,A18))</x:f>
        <x:v>0</x:v>
      </x:c>
      <x:c r="N18" s="14" t="str">
        <x:f>IF(M18&gt;0,"THIẾU VỐN",IF(L18&gt;0,"PHÂN BỔ","CHƯA CẦN"))</x:f>
        <x:v>CHƯA CẦN</x:v>
      </x:c>
      <x:c r="O18" s="14" t="str">
        <x:v>Treasury/Project Finance</x:v>
      </x:c>
      <x:c r="P18" s="14" t="str">
        <x:v>Nguồn vốn có chi phí</x:v>
      </x:c>
      <x:c r="Q18" s="14"/>
      <x:c r="R18" s="14"/>
      <x:c r="S18" s="14"/>
    </x:row>
    <x:row r="19">
      <x:c r="A19" s="14" t="str">
        <x:v>DA04</x:v>
      </x:c>
      <x:c r="B19" s="14" t="n">
        <x:v>4</x:v>
      </x:c>
      <x:c r="C19" s="14" t="str">
        <x:v>Bridge/Intercompany</x:v>
      </x:c>
      <x:c r="D19" s="100" t="n">
        <x:v>500</x:v>
      </x:c>
      <x:c r="E19" s="103" t="n">
        <x:v>0.075</x:v>
      </x:c>
      <x:c r="F19" s="14" t="str">
        <x:v>Chỉ dùng khi có gap tạm thời, có kế hoạch take-out</x:v>
      </x:c>
      <x:c r="G19" s="14" t="str">
        <x:v>Phê duyệt CTM</x:v>
      </x:c>
      <x:c r="H19" s="103" t="n">
        <x:v>0.15</x:v>
      </x:c>
      <x:c r="I19" s="100" t="n">
        <x:v>0</x:v>
      </x:c>
      <x:c r="J19" s="100" t="n">
        <x:f>MAX(0,D19-I19)</x:f>
        <x:v>500</x:v>
      </x:c>
      <x:c r="K19" s="100" t="n">
        <x:v>0</x:v>
      </x:c>
      <x:c r="L19" s="100" t="n">
        <x:f>MIN(J19,MAX(0,K19-SUMIFS($L$4:L18,$A$4:A18,A19)))</x:f>
        <x:v>0</x:v>
      </x:c>
      <x:c r="M19" s="100" t="n">
        <x:f>MAX(0,K19-SUMIFS($L$4:L19,$A$4:A19,A19))</x:f>
        <x:v>0</x:v>
      </x:c>
      <x:c r="N19" s="14" t="str">
        <x:f>IF(M19&gt;0,"THIẾU VỐN",IF(L19&gt;0,"PHÂN BỔ","CHƯA CẦN"))</x:f>
        <x:v>CHƯA CẦN</x:v>
      </x:c>
      <x:c r="O19" s="14" t="str">
        <x:v>Treasury</x:v>
      </x:c>
      <x:c r="P19" s="14" t="str">
        <x:v>Không dùng thay vốn dài hạn</x:v>
      </x:c>
      <x:c r="Q19" s="14"/>
      <x:c r="R19" s="14"/>
      <x:c r="S19" s="14"/>
    </x:row>
    <x:row r="20">
      <x:c r="A20" s="14" t="str">
        <x:v>DA05</x:v>
      </x:c>
      <x:c r="B20" s="14" t="n">
        <x:v>1</x:v>
      </x:c>
      <x:c r="C20" s="14" t="str">
        <x:v>Tiền khách hàng</x:v>
      </x:c>
      <x:c r="D20" s="100" t="n">
        <x:v>372</x:v>
      </x:c>
      <x:c r="E20" s="103" t="n">
        <x:v>0</x:v>
      </x:c>
      <x:c r="F20" s="14" t="str">
        <x:v>Chỉ sử dụng khi đáp ứng điều kiện huy động/thu tiền</x:v>
      </x:c>
      <x:c r="G20" s="14" t="str">
        <x:v>Điều kiện kinh doanh/mở bán</x:v>
      </x:c>
      <x:c r="H20" s="103" t="n">
        <x:v>0.4</x:v>
      </x:c>
      <x:c r="I20" s="100" t="n">
        <x:v>0</x:v>
      </x:c>
      <x:c r="J20" s="100" t="n">
        <x:f>MAX(0,D20-I20)</x:f>
        <x:v>372</x:v>
      </x:c>
      <x:c r="K20" s="100" t="n">
        <x:v>0</x:v>
      </x:c>
      <x:c r="L20" s="100" t="n">
        <x:f>MIN(J20,MAX(0,K20-SUMIFS($L$4:L19,$A$4:A19,A20)))</x:f>
        <x:v>0</x:v>
      </x:c>
      <x:c r="M20" s="100" t="n">
        <x:f>MAX(0,K20-SUMIFS($L$4:L20,$A$4:A20,A20))</x:f>
        <x:v>0</x:v>
      </x:c>
      <x:c r="N20" s="14" t="str">
        <x:f>IF(M20&gt;0,"THIẾU VỐN",IF(L20&gt;0,"PHÂN BỔ","CHƯA CẦN"))</x:f>
        <x:v>CHƯA CẦN</x:v>
      </x:c>
      <x:c r="O20" s="14" t="str">
        <x:v>Kinh doanh/Tài chính</x:v>
      </x:c>
      <x:c r="P20" s="14" t="str">
        <x:v>Ưu tiên nguồn không lãi</x:v>
      </x:c>
      <x:c r="Q20" s="14"/>
      <x:c r="R20" s="14"/>
      <x:c r="S20" s="14"/>
    </x:row>
    <x:row r="21">
      <x:c r="A21" s="14" t="str">
        <x:v>DA05</x:v>
      </x:c>
      <x:c r="B21" s="14" t="n">
        <x:v>2</x:v>
      </x:c>
      <x:c r="C21" s="14" t="str">
        <x:v>Vốn chủ sở hữu</x:v>
      </x:c>
      <x:c r="D21" s="100" t="n">
        <x:v>310</x:v>
      </x:c>
      <x:c r="E21" s="103" t="n">
        <x:v>0</x:v>
      </x:c>
      <x:c r="F21" s="14" t="str">
        <x:v>Theo phê duyệt đầu tư &amp; hạn mức vốn chủ</x:v>
      </x:c>
      <x:c r="G21" s="14" t="str">
        <x:v>Nghị quyết/Quyết định nội bộ</x:v>
      </x:c>
      <x:c r="H21" s="103" t="n">
        <x:v>0.3</x:v>
      </x:c>
      <x:c r="I21" s="100" t="n">
        <x:v>0</x:v>
      </x:c>
      <x:c r="J21" s="100" t="n">
        <x:f>MAX(0,D21-I21)</x:f>
        <x:v>310</x:v>
      </x:c>
      <x:c r="K21" s="100" t="n">
        <x:v>0</x:v>
      </x:c>
      <x:c r="L21" s="100" t="n">
        <x:f>MIN(J21,MAX(0,K21-SUMIFS($L$4:L20,$A$4:A20,A21)))</x:f>
        <x:v>0</x:v>
      </x:c>
      <x:c r="M21" s="100" t="n">
        <x:f>MAX(0,K21-SUMIFS($L$4:L21,$A$4:A21,A21))</x:f>
        <x:v>0</x:v>
      </x:c>
      <x:c r="N21" s="14" t="str">
        <x:f>IF(M21&gt;0,"THIẾU VỐN",IF(L21&gt;0,"PHÂN BỔ","CHƯA CẦN"))</x:f>
        <x:v>CHƯA CẦN</x:v>
      </x:c>
      <x:c r="O21" s="14" t="str">
        <x:v>CFO/TGĐ</x:v>
      </x:c>
      <x:c r="P21" s="14" t="str">
        <x:v>Bảo đảm equity commitment</x:v>
      </x:c>
      <x:c r="Q21" s="14"/>
      <x:c r="R21" s="14"/>
      <x:c r="S21" s="14"/>
    </x:row>
    <x:row r="22">
      <x:c r="A22" s="14" t="str">
        <x:v>DA05</x:v>
      </x:c>
      <x:c r="B22" s="14" t="n">
        <x:v>3</x:v>
      </x:c>
      <x:c r="C22" s="14" t="str">
        <x:v>Vay ngân hàng</x:v>
      </x:c>
      <x:c r="D22" s="100" t="n">
        <x:v>558</x:v>
      </x:c>
      <x:c r="E22" s="103" t="n">
        <x:v>0.095</x:v>
      </x:c>
      <x:c r="F22" s="14" t="str">
        <x:v>Đáp ứng CP, covenant và điều kiện giải ngân</x:v>
      </x:c>
      <x:c r="G22" s="14" t="str">
        <x:v>Legal Gate + hồ sơ giải ngân</x:v>
      </x:c>
      <x:c r="H22" s="103" t="n">
        <x:v>0.5</x:v>
      </x:c>
      <x:c r="I22" s="100" t="n">
        <x:v>0</x:v>
      </x:c>
      <x:c r="J22" s="100" t="n">
        <x:f>MAX(0,D22-I22)</x:f>
        <x:v>558</x:v>
      </x:c>
      <x:c r="K22" s="100" t="n">
        <x:v>0</x:v>
      </x:c>
      <x:c r="L22" s="100" t="n">
        <x:f>MIN(J22,MAX(0,K22-SUMIFS($L$4:L21,$A$4:A21,A22)))</x:f>
        <x:v>0</x:v>
      </x:c>
      <x:c r="M22" s="100" t="n">
        <x:f>MAX(0,K22-SUMIFS($L$4:L22,$A$4:A22,A22))</x:f>
        <x:v>0</x:v>
      </x:c>
      <x:c r="N22" s="14" t="str">
        <x:f>IF(M22&gt;0,"THIẾU VỐN",IF(L22&gt;0,"PHÂN BỔ","CHƯA CẦN"))</x:f>
        <x:v>CHƯA CẦN</x:v>
      </x:c>
      <x:c r="O22" s="14" t="str">
        <x:v>Treasury/Project Finance</x:v>
      </x:c>
      <x:c r="P22" s="14" t="str">
        <x:v>Nguồn vốn có chi phí</x:v>
      </x:c>
      <x:c r="Q22" s="14"/>
      <x:c r="R22" s="14"/>
      <x:c r="S22" s="14"/>
    </x:row>
    <x:row r="23">
      <x:c r="A23" s="14" t="str">
        <x:v>DA05</x:v>
      </x:c>
      <x:c r="B23" s="14" t="n">
        <x:v>4</x:v>
      </x:c>
      <x:c r="C23" s="14" t="str">
        <x:v>Bridge/Intercompany</x:v>
      </x:c>
      <x:c r="D23" s="100" t="n">
        <x:v>500</x:v>
      </x:c>
      <x:c r="E23" s="103" t="n">
        <x:v>0.075</x:v>
      </x:c>
      <x:c r="F23" s="14" t="str">
        <x:v>Chỉ dùng khi có gap tạm thời, có kế hoạch take-out</x:v>
      </x:c>
      <x:c r="G23" s="14" t="str">
        <x:v>Phê duyệt CTM</x:v>
      </x:c>
      <x:c r="H23" s="103" t="n">
        <x:v>0.15</x:v>
      </x:c>
      <x:c r="I23" s="100" t="n">
        <x:v>0</x:v>
      </x:c>
      <x:c r="J23" s="100" t="n">
        <x:f>MAX(0,D23-I23)</x:f>
        <x:v>500</x:v>
      </x:c>
      <x:c r="K23" s="100" t="n">
        <x:v>0</x:v>
      </x:c>
      <x:c r="L23" s="100" t="n">
        <x:f>MIN(J23,MAX(0,K23-SUMIFS($L$4:L22,$A$4:A22,A23)))</x:f>
        <x:v>0</x:v>
      </x:c>
      <x:c r="M23" s="100" t="n">
        <x:f>MAX(0,K23-SUMIFS($L$4:L23,$A$4:A23,A23))</x:f>
        <x:v>0</x:v>
      </x:c>
      <x:c r="N23" s="14" t="str">
        <x:f>IF(M23&gt;0,"THIẾU VỐN",IF(L23&gt;0,"PHÂN BỔ","CHƯA CẦN"))</x:f>
        <x:v>CHƯA CẦN</x:v>
      </x:c>
      <x:c r="O23" s="14" t="str">
        <x:v>Treasury</x:v>
      </x:c>
      <x:c r="P23" s="14" t="str">
        <x:v>Không dùng thay vốn dài hạn</x:v>
      </x:c>
      <x:c r="Q23" s="14"/>
      <x:c r="R23" s="14"/>
      <x:c r="S23" s="14"/>
    </x:row>
    <x:row r="24">
      <x:c r="A24" s="14" t="str">
        <x:v>DA06</x:v>
      </x:c>
      <x:c r="B24" s="14" t="n">
        <x:v>1</x:v>
      </x:c>
      <x:c r="C24" s="14" t="str">
        <x:v>Tiền khách hàng</x:v>
      </x:c>
      <x:c r="D24" s="100" t="n">
        <x:v>1015.9</x:v>
      </x:c>
      <x:c r="E24" s="103" t="n">
        <x:v>0</x:v>
      </x:c>
      <x:c r="F24" s="14" t="str">
        <x:v>Chỉ sử dụng khi đáp ứng điều kiện huy động/thu tiền</x:v>
      </x:c>
      <x:c r="G24" s="14" t="str">
        <x:v>Điều kiện kinh doanh/mở bán</x:v>
      </x:c>
      <x:c r="H24" s="103" t="n">
        <x:v>0.4</x:v>
      </x:c>
      <x:c r="I24" s="100" t="n">
        <x:v>0</x:v>
      </x:c>
      <x:c r="J24" s="100" t="n">
        <x:f>MAX(0,D24-I24)</x:f>
        <x:v>1015.9</x:v>
      </x:c>
      <x:c r="K24" s="100" t="n">
        <x:v>467.7</x:v>
      </x:c>
      <x:c r="L24" s="100" t="n">
        <x:f>MIN(J24,MAX(0,K24-SUMIFS($L$4:L23,$A$4:A23,A24)))</x:f>
        <x:v>467.7</x:v>
      </x:c>
      <x:c r="M24" s="100" t="n">
        <x:f>MAX(0,K24-SUMIFS($L$4:L24,$A$4:A24,A24))</x:f>
        <x:v>0</x:v>
      </x:c>
      <x:c r="N24" s="14" t="str">
        <x:f>IF(M24&gt;0,"THIẾU VỐN",IF(L24&gt;0,"PHÂN BỔ","CHƯA CẦN"))</x:f>
        <x:v>PHÂN BỔ</x:v>
      </x:c>
      <x:c r="O24" s="14" t="str">
        <x:v>Kinh doanh/Tài chính</x:v>
      </x:c>
      <x:c r="P24" s="14" t="str">
        <x:v>Ưu tiên nguồn không lãi</x:v>
      </x:c>
      <x:c r="Q24" s="14"/>
      <x:c r="R24" s="14"/>
      <x:c r="S24" s="14"/>
    </x:row>
    <x:row r="25">
      <x:c r="A25" s="14" t="str">
        <x:v>DA06</x:v>
      </x:c>
      <x:c r="B25" s="14" t="n">
        <x:v>2</x:v>
      </x:c>
      <x:c r="C25" s="14" t="str">
        <x:v>Vốn chủ sở hữu</x:v>
      </x:c>
      <x:c r="D25" s="100" t="n">
        <x:v>846.6</x:v>
      </x:c>
      <x:c r="E25" s="103" t="n">
        <x:v>0</x:v>
      </x:c>
      <x:c r="F25" s="14" t="str">
        <x:v>Theo phê duyệt đầu tư &amp; hạn mức vốn chủ</x:v>
      </x:c>
      <x:c r="G25" s="14" t="str">
        <x:v>Nghị quyết/Quyết định nội bộ</x:v>
      </x:c>
      <x:c r="H25" s="103" t="n">
        <x:v>0.3</x:v>
      </x:c>
      <x:c r="I25" s="100" t="n">
        <x:v>0</x:v>
      </x:c>
      <x:c r="J25" s="100" t="n">
        <x:f>MAX(0,D25-I25)</x:f>
        <x:v>846.6</x:v>
      </x:c>
      <x:c r="K25" s="100" t="n">
        <x:v>467.7</x:v>
      </x:c>
      <x:c r="L25" s="100" t="n">
        <x:f>MIN(J25,MAX(0,K25-SUMIFS($L$4:L24,$A$4:A24,A25)))</x:f>
        <x:v>0</x:v>
      </x:c>
      <x:c r="M25" s="100" t="n">
        <x:f>MAX(0,K25-SUMIFS($L$4:L25,$A$4:A25,A25))</x:f>
        <x:v>0</x:v>
      </x:c>
      <x:c r="N25" s="14" t="str">
        <x:f>IF(M25&gt;0,"THIẾU VỐN",IF(L25&gt;0,"PHÂN BỔ","CHƯA CẦN"))</x:f>
        <x:v>CHƯA CẦN</x:v>
      </x:c>
      <x:c r="O25" s="14" t="str">
        <x:v>CFO/TGĐ</x:v>
      </x:c>
      <x:c r="P25" s="14" t="str">
        <x:v>Bảo đảm equity commitment</x:v>
      </x:c>
      <x:c r="Q25" s="14"/>
      <x:c r="R25" s="14"/>
      <x:c r="S25" s="14"/>
    </x:row>
    <x:row r="26">
      <x:c r="A26" s="14" t="str">
        <x:v>DA06</x:v>
      </x:c>
      <x:c r="B26" s="14" t="n">
        <x:v>3</x:v>
      </x:c>
      <x:c r="C26" s="14" t="str">
        <x:v>Vay ngân hàng</x:v>
      </x:c>
      <x:c r="D26" s="100" t="n">
        <x:v>1523.8</x:v>
      </x:c>
      <x:c r="E26" s="103" t="n">
        <x:v>0.095</x:v>
      </x:c>
      <x:c r="F26" s="14" t="str">
        <x:v>Đáp ứng CP, covenant và điều kiện giải ngân</x:v>
      </x:c>
      <x:c r="G26" s="14" t="str">
        <x:v>Legal Gate + hồ sơ giải ngân</x:v>
      </x:c>
      <x:c r="H26" s="103" t="n">
        <x:v>0.5</x:v>
      </x:c>
      <x:c r="I26" s="100" t="n">
        <x:v>0</x:v>
      </x:c>
      <x:c r="J26" s="100" t="n">
        <x:f>MAX(0,D26-I26)</x:f>
        <x:v>1523.8</x:v>
      </x:c>
      <x:c r="K26" s="100" t="n">
        <x:v>467.7</x:v>
      </x:c>
      <x:c r="L26" s="100" t="n">
        <x:f>MIN(J26,MAX(0,K26-SUMIFS($L$4:L25,$A$4:A25,A26)))</x:f>
        <x:v>0</x:v>
      </x:c>
      <x:c r="M26" s="100" t="n">
        <x:f>MAX(0,K26-SUMIFS($L$4:L26,$A$4:A26,A26))</x:f>
        <x:v>0</x:v>
      </x:c>
      <x:c r="N26" s="14" t="str">
        <x:f>IF(M26&gt;0,"THIẾU VỐN",IF(L26&gt;0,"PHÂN BỔ","CHƯA CẦN"))</x:f>
        <x:v>CHƯA CẦN</x:v>
      </x:c>
      <x:c r="O26" s="14" t="str">
        <x:v>Treasury/Project Finance</x:v>
      </x:c>
      <x:c r="P26" s="14" t="str">
        <x:v>Nguồn vốn có chi phí</x:v>
      </x:c>
      <x:c r="Q26" s="14"/>
      <x:c r="R26" s="14"/>
      <x:c r="S26" s="14"/>
    </x:row>
    <x:row r="27">
      <x:c r="A27" s="14" t="str">
        <x:v>DA06</x:v>
      </x:c>
      <x:c r="B27" s="14" t="n">
        <x:v>4</x:v>
      </x:c>
      <x:c r="C27" s="14" t="str">
        <x:v>Bridge/Intercompany</x:v>
      </x:c>
      <x:c r="D27" s="100" t="n">
        <x:v>500</x:v>
      </x:c>
      <x:c r="E27" s="103" t="n">
        <x:v>0.075</x:v>
      </x:c>
      <x:c r="F27" s="14" t="str">
        <x:v>Chỉ dùng khi có gap tạm thời, có kế hoạch take-out</x:v>
      </x:c>
      <x:c r="G27" s="14" t="str">
        <x:v>Phê duyệt CTM</x:v>
      </x:c>
      <x:c r="H27" s="103" t="n">
        <x:v>0.15</x:v>
      </x:c>
      <x:c r="I27" s="100" t="n">
        <x:v>0</x:v>
      </x:c>
      <x:c r="J27" s="100" t="n">
        <x:f>MAX(0,D27-I27)</x:f>
        <x:v>500</x:v>
      </x:c>
      <x:c r="K27" s="100" t="n">
        <x:v>467.7</x:v>
      </x:c>
      <x:c r="L27" s="100" t="n">
        <x:f>MIN(J27,MAX(0,K27-SUMIFS($L$4:L26,$A$4:A26,A27)))</x:f>
        <x:v>0</x:v>
      </x:c>
      <x:c r="M27" s="100" t="n">
        <x:f>MAX(0,K27-SUMIFS($L$4:L27,$A$4:A27,A27))</x:f>
        <x:v>0</x:v>
      </x:c>
      <x:c r="N27" s="14" t="str">
        <x:f>IF(M27&gt;0,"THIẾU VỐN",IF(L27&gt;0,"PHÂN BỔ","CHƯA CẦN"))</x:f>
        <x:v>CHƯA CẦN</x:v>
      </x:c>
      <x:c r="O27" s="14" t="str">
        <x:v>Treasury</x:v>
      </x:c>
      <x:c r="P27" s="14" t="str">
        <x:v>Không dùng thay vốn dài hạn</x:v>
      </x:c>
      <x:c r="Q27" s="14"/>
      <x:c r="R27" s="14"/>
      <x:c r="S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</x:row>
  </x:sheetData>
  <x:mergeCells>
    <x:mergeCell ref="A1:P1"/>
  </x:mergeCells>
  <x:conditionalFormatting sqref="N4:N27">
    <x:cfRule type="expression" dxfId="7" priority="1">
      <x:formula>N4="THIẾU VỐN"</x:formula>
    </x:cfRule>
  </x:conditionalFormatting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>
      <x:c r="A1" s="96" t="str">
        <x:v>35_BCTC_Hop_nhat_Data – Dữ liệu hợp nhất sau loại trừ nội bộ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  <x:c r="O1" s="96"/>
      <x:c r="P1" s="96"/>
      <x:c r="Q1" s="96"/>
      <x:c r="R1" s="96"/>
      <x:c r="S1" s="96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</x:row>
    <x:row r="3">
      <x:c r="A3" s="91" t="str">
        <x:v>Năm mô hình</x:v>
      </x:c>
      <x:c r="B3" s="91" t="str">
        <x:v>Doanh thu trước LT</x:v>
      </x:c>
      <x:c r="C3" s="91" t="str">
        <x:v>Loại trừ DT</x:v>
      </x:c>
      <x:c r="D3" s="91" t="str">
        <x:v>Doanh thu hợp nhất</x:v>
      </x:c>
      <x:c r="E3" s="91" t="str">
        <x:v>Giá vốn/CP trước LT</x:v>
      </x:c>
      <x:c r="F3" s="91" t="str">
        <x:v>Loại trừ CP</x:v>
      </x:c>
      <x:c r="G3" s="91" t="str">
        <x:v>LNST trước LT</x:v>
      </x:c>
      <x:c r="H3" s="91" t="str">
        <x:v>Điều chỉnh LNST do LT</x:v>
      </x:c>
      <x:c r="I3" s="91" t="str">
        <x:v>LNST hợp nhất</x:v>
      </x:c>
      <x:c r="J3" s="91" t="str">
        <x:v>Tổng tài sản trước LT</x:v>
      </x:c>
      <x:c r="K3" s="91" t="str">
        <x:v>Loại trừ tài sản nội bộ</x:v>
      </x:c>
      <x:c r="L3" s="91" t="str">
        <x:v>Tổng tài sản hợp nhất</x:v>
      </x:c>
      <x:c r="M3" s="91" t="str">
        <x:v>Tổng nợ trước LT</x:v>
      </x:c>
      <x:c r="N3" s="91" t="str">
        <x:v>Loại trừ nợ nội bộ</x:v>
      </x:c>
      <x:c r="O3" s="91" t="str">
        <x:v>Tổng nợ hợp nhất</x:v>
      </x:c>
      <x:c r="P3" s="91" t="str">
        <x:v>Vốn CSH hợp nhất</x:v>
      </x:c>
      <x:c r="Q3" s="91" t="str">
        <x:v>Lợi ích CĐ không kiểm soát</x:v>
      </x:c>
      <x:c r="R3" s="91" t="str">
        <x:v>Vốn thuộc CĐ công ty mẹ</x:v>
      </x:c>
      <x:c r="S3" s="91" t="str">
        <x:v>Tiền hợp nhất</x:v>
      </x:c>
    </x:row>
    <x:row r="4">
      <x:c r="A4" s="14" t="n">
        <x:v>1</x:v>
      </x:c>
      <x:c r="B4" s="100" t="n">
        <x:f>SUMIFS('23_BCTC_Chi_tiet'!$C$4:$C$33,'23_BCTC_Chi_tiet'!$B$4:$B$33,$A4)-SUMIFS('23_BCTC_Chi_tiet'!$C$4:$C$33,'23_BCTC_Chi_tiet'!$A$4:$A$33,"DA06",'23_BCTC_Chi_tiet'!$B$4:$B$33,$A4)</x:f>
        <x:v>1857.9999999999995</x:v>
      </x:c>
      <x:c r="C4" s="100" t="n">
        <x:f>'31_Loai_tru_hop_nhat'!C4</x:f>
        <x:v>122.8</x:v>
      </x:c>
      <x:c r="D4" s="100" t="n">
        <x:f>B4-C4</x:f>
        <x:v>1735.1999999999996</x:v>
      </x:c>
      <x:c r="E4" s="100" t="n">
        <x:f>SUMIFS('23_BCTC_Chi_tiet'!$D$4:$D$33,'23_BCTC_Chi_tiet'!$B$4:$B$33,$A4)+SUMIFS('23_BCTC_Chi_tiet'!$G$4:$G$33,'23_BCTC_Chi_tiet'!$B$4:$B$33,$A4)+SUMIFS('23_BCTC_Chi_tiet'!$I$4:$I$33,'23_BCTC_Chi_tiet'!$B$4:$B$33,$A4)+SUMIFS('23_BCTC_Chi_tiet'!$J$4:$J$33,'23_BCTC_Chi_tiet'!$B$4:$B$33,$A4)-SUMIFS('23_BCTC_Chi_tiet'!$D$4:$D$33,'23_BCTC_Chi_tiet'!$A$4:$A$33,"DA06",'23_BCTC_Chi_tiet'!$B$4:$B$33,$A4)-SUMIFS('23_BCTC_Chi_tiet'!$G$4:$G$33,'23_BCTC_Chi_tiet'!$A$4:$A$33,"DA06",'23_BCTC_Chi_tiet'!$B$4:$B$33,$A4)-SUMIFS('23_BCTC_Chi_tiet'!$I$4:$I$33,'23_BCTC_Chi_tiet'!$A$4:$A$33,"DA06",'23_BCTC_Chi_tiet'!$B$4:$B$33,$A4)-SUMIFS('23_BCTC_Chi_tiet'!$J$4:$J$33,'23_BCTC_Chi_tiet'!$A$4:$A$33,"DA06",'23_BCTC_Chi_tiet'!$B$4:$B$33,$A4)</x:f>
        <x:v>2709.484335526484</x:v>
      </x:c>
      <x:c r="F4" s="100" t="n">
        <x:f>'31_Loai_tru_hop_nhat'!D4</x:f>
        <x:v>122.8</x:v>
      </x:c>
      <x:c r="G4" s="100" t="n">
        <x:f>SUMIFS('23_BCTC_Chi_tiet'!$M$4:$M$33,'23_BCTC_Chi_tiet'!$B$4:$B$33,$A4)-SUMIFS('23_BCTC_Chi_tiet'!$M$4:$M$33,'23_BCTC_Chi_tiet'!$A$4:$A$33,"DA06",'23_BCTC_Chi_tiet'!$B$4:$B$33,$A4)</x:f>
        <x:v>-885.5028522459768</x:v>
      </x:c>
      <x:c r="H4" s="100" t="n">
        <x:f>C4-F4</x:f>
        <x:v>0</x:v>
      </x:c>
      <x:c r="I4" s="100" t="n">
        <x:f>G4-H4</x:f>
        <x:v>-885.5028522459768</x:v>
      </x:c>
      <x:c r="J4" s="100" t="n">
        <x:f>SUMIFS('23_BCTC_Chi_tiet'!$T$4:$T$33,'23_BCTC_Chi_tiet'!$B$4:$B$33,$A4)-SUMIFS('23_BCTC_Chi_tiet'!$T$4:$T$33,'23_BCTC_Chi_tiet'!$A$4:$A$33,"DA06",'23_BCTC_Chi_tiet'!$B$4:$B$33,$A4)</x:f>
        <x:v>18622.15077103718</x:v>
      </x:c>
      <x:c r="K4" s="100" t="n">
        <x:f>'31_Loai_tru_hop_nhat'!E4+'31_Loai_tru_hop_nhat'!G4</x:f>
        <x:v>2060</x:v>
      </x:c>
      <x:c r="L4" s="100" t="n">
        <x:f>J4-K4</x:f>
        <x:v>16562.15077103718</x:v>
      </x:c>
      <x:c r="M4" s="100" t="n">
        <x:f>SUMIFS('23_BCTC_Chi_tiet'!$AA$4:$AA$33,'23_BCTC_Chi_tiet'!$B$4:$B$33,$A4)-SUMIFS('23_BCTC_Chi_tiet'!$AA$4:$AA$33,'23_BCTC_Chi_tiet'!$A$4:$A$33,"DA06",'23_BCTC_Chi_tiet'!$B$4:$B$33,$A4)</x:f>
        <x:v>20622.001500509185</x:v>
      </x:c>
      <x:c r="N4" s="100" t="n">
        <x:f>'31_Loai_tru_hop_nhat'!F4+'31_Loai_tru_hop_nhat'!H4</x:f>
        <x:v>2060</x:v>
      </x:c>
      <x:c r="O4" s="100" t="n">
        <x:f>M4-N4</x:f>
        <x:v>18562.001500509185</x:v>
      </x:c>
      <x:c r="P4" s="100" t="n">
        <x:f>L4-O4</x:f>
        <x:v>-1999.8507294720039</x:v>
      </x:c>
      <x:c r="Q4" s="100" t="n">
        <x:f>0.10*(SUMIFS('23_BCTC_Chi_tiet'!$T$4:$T$33,'23_BCTC_Chi_tiet'!$A$4:$A$33,"DA02",'23_BCTC_Chi_tiet'!$B$4:$B$33,$A4)-SUMIFS('23_BCTC_Chi_tiet'!$AA$4:$AA$33,'23_BCTC_Chi_tiet'!$A$4:$A$33,"DA02",'23_BCTC_Chi_tiet'!$B$4:$B$33,$A4))+0.20*(SUMIFS('23_BCTC_Chi_tiet'!$T$4:$T$33,'23_BCTC_Chi_tiet'!$A$4:$A$33,"DA03",'23_BCTC_Chi_tiet'!$B$4:$B$33,$A4)-SUMIFS('23_BCTC_Chi_tiet'!$AA$4:$AA$33,'23_BCTC_Chi_tiet'!$A$4:$A$33,"DA03",'23_BCTC_Chi_tiet'!$B$4:$B$33,$A4))+0.25*(SUMIFS('23_BCTC_Chi_tiet'!$T$4:$T$33,'23_BCTC_Chi_tiet'!$A$4:$A$33,"DA05",'23_BCTC_Chi_tiet'!$B$4:$B$33,$A4)-SUMIFS('23_BCTC_Chi_tiet'!$AA$4:$AA$33,'23_BCTC_Chi_tiet'!$A$4:$A$33,"DA05",'23_BCTC_Chi_tiet'!$B$4:$B$33,$A4))</x:f>
        <x:v>-199.32540898227126</x:v>
      </x:c>
      <x:c r="R4" s="100" t="n">
        <x:f>P4-Q4</x:f>
        <x:v>-1800.5253204897326</x:v>
      </x:c>
      <x:c r="S4" s="100" t="n">
        <x:f>SUMIFS('23_BCTC_Chi_tiet'!$N$4:$N$33,'23_BCTC_Chi_tiet'!$B$4:$B$33,$A4)-SUMIFS('23_BCTC_Chi_tiet'!$N$4:$N$33,'23_BCTC_Chi_tiet'!$A$4:$A$33,"DA06",'23_BCTC_Chi_tiet'!$B$4:$B$33,$A4)</x:f>
        <x:v>0</x:v>
      </x:c>
    </x:row>
    <x:row r="5">
      <x:c r="A5" s="14" t="n">
        <x:v>2</x:v>
      </x:c>
      <x:c r="B5" s="100" t="n">
        <x:f>SUMIFS('23_BCTC_Chi_tiet'!$C$4:$C$33,'23_BCTC_Chi_tiet'!$B$4:$B$33,$A5)-SUMIFS('23_BCTC_Chi_tiet'!$C$4:$C$33,'23_BCTC_Chi_tiet'!$A$4:$A$33,"DA06",'23_BCTC_Chi_tiet'!$B$4:$B$33,$A5)</x:f>
        <x:v>6179.199999999998</x:v>
      </x:c>
      <x:c r="C5" s="100" t="n">
        <x:f>'31_Loai_tru_hop_nhat'!C5</x:f>
        <x:v>0</x:v>
      </x:c>
      <x:c r="D5" s="100" t="n">
        <x:f>B5-C5</x:f>
        <x:v>6179.199999999998</x:v>
      </x:c>
      <x:c r="E5" s="100" t="n">
        <x:f>SUMIFS('23_BCTC_Chi_tiet'!$D$4:$D$33,'23_BCTC_Chi_tiet'!$B$4:$B$33,$A5)+SUMIFS('23_BCTC_Chi_tiet'!$G$4:$G$33,'23_BCTC_Chi_tiet'!$B$4:$B$33,$A5)+SUMIFS('23_BCTC_Chi_tiet'!$I$4:$I$33,'23_BCTC_Chi_tiet'!$B$4:$B$33,$A5)+SUMIFS('23_BCTC_Chi_tiet'!$J$4:$J$33,'23_BCTC_Chi_tiet'!$B$4:$B$33,$A5)-SUMIFS('23_BCTC_Chi_tiet'!$D$4:$D$33,'23_BCTC_Chi_tiet'!$A$4:$A$33,"DA06",'23_BCTC_Chi_tiet'!$B$4:$B$33,$A5)-SUMIFS('23_BCTC_Chi_tiet'!$G$4:$G$33,'23_BCTC_Chi_tiet'!$A$4:$A$33,"DA06",'23_BCTC_Chi_tiet'!$B$4:$B$33,$A5)-SUMIFS('23_BCTC_Chi_tiet'!$I$4:$I$33,'23_BCTC_Chi_tiet'!$A$4:$A$33,"DA06",'23_BCTC_Chi_tiet'!$B$4:$B$33,$A5)-SUMIFS('23_BCTC_Chi_tiet'!$J$4:$J$33,'23_BCTC_Chi_tiet'!$A$4:$A$33,"DA06",'23_BCTC_Chi_tiet'!$B$4:$B$33,$A5)</x:f>
        <x:v>6055.696574092406</x:v>
      </x:c>
      <x:c r="F5" s="100" t="n">
        <x:f>'31_Loai_tru_hop_nhat'!D5</x:f>
        <x:v>0</x:v>
      </x:c>
      <x:c r="G5" s="100" t="n">
        <x:f>SUMIFS('23_BCTC_Chi_tiet'!$M$4:$M$33,'23_BCTC_Chi_tiet'!$B$4:$B$33,$A5)-SUMIFS('23_BCTC_Chi_tiet'!$M$4:$M$33,'23_BCTC_Chi_tiet'!$A$4:$A$33,"DA06",'23_BCTC_Chi_tiet'!$B$4:$B$33,$A5)</x:f>
        <x:v>-96.21694763332408</x:v>
      </x:c>
      <x:c r="H5" s="100" t="n">
        <x:f>C5-F5</x:f>
        <x:v>0</x:v>
      </x:c>
      <x:c r="I5" s="100" t="n">
        <x:f>G5-H5</x:f>
        <x:v>-96.21694763332408</x:v>
      </x:c>
      <x:c r="J5" s="100" t="n">
        <x:f>SUMIFS('23_BCTC_Chi_tiet'!$T$4:$T$33,'23_BCTC_Chi_tiet'!$B$4:$B$33,$A5)-SUMIFS('23_BCTC_Chi_tiet'!$T$4:$T$33,'23_BCTC_Chi_tiet'!$A$4:$A$33,"DA06",'23_BCTC_Chi_tiet'!$B$4:$B$33,$A5)</x:f>
        <x:v>15999.151405088065</x:v>
      </x:c>
      <x:c r="K5" s="100" t="n">
        <x:f>'31_Loai_tru_hop_nhat'!E5+'31_Loai_tru_hop_nhat'!G5</x:f>
        <x:v>0</x:v>
      </x:c>
      <x:c r="L5" s="100" t="n">
        <x:f>J5-K5</x:f>
        <x:v>15999.151405088065</x:v>
      </x:c>
      <x:c r="M5" s="100" t="n">
        <x:f>SUMIFS('23_BCTC_Chi_tiet'!$AA$4:$AA$33,'23_BCTC_Chi_tiet'!$B$4:$B$33,$A5)-SUMIFS('23_BCTC_Chi_tiet'!$AA$4:$AA$33,'23_BCTC_Chi_tiet'!$A$4:$A$33,"DA06",'23_BCTC_Chi_tiet'!$B$4:$B$33,$A5)</x:f>
        <x:v>19412.83376554361</x:v>
      </x:c>
      <x:c r="N5" s="100" t="n">
        <x:f>'31_Loai_tru_hop_nhat'!F5+'31_Loai_tru_hop_nhat'!H5</x:f>
        <x:v>0</x:v>
      </x:c>
      <x:c r="O5" s="100" t="n">
        <x:f>M5-N5</x:f>
        <x:v>19412.83376554361</x:v>
      </x:c>
      <x:c r="P5" s="100" t="n">
        <x:f>L5-O5</x:f>
        <x:v>-3413.6823604555466</x:v>
      </x:c>
      <x:c r="Q5" s="100" t="n">
        <x:f>0.10*(SUMIFS('23_BCTC_Chi_tiet'!$T$4:$T$33,'23_BCTC_Chi_tiet'!$A$4:$A$33,"DA02",'23_BCTC_Chi_tiet'!$B$4:$B$33,$A5)-SUMIFS('23_BCTC_Chi_tiet'!$AA$4:$AA$33,'23_BCTC_Chi_tiet'!$A$4:$A$33,"DA02",'23_BCTC_Chi_tiet'!$B$4:$B$33,$A5))+0.20*(SUMIFS('23_BCTC_Chi_tiet'!$T$4:$T$33,'23_BCTC_Chi_tiet'!$A$4:$A$33,"DA03",'23_BCTC_Chi_tiet'!$B$4:$B$33,$A5)-SUMIFS('23_BCTC_Chi_tiet'!$AA$4:$AA$33,'23_BCTC_Chi_tiet'!$A$4:$A$33,"DA03",'23_BCTC_Chi_tiet'!$B$4:$B$33,$A5))+0.25*(SUMIFS('23_BCTC_Chi_tiet'!$T$4:$T$33,'23_BCTC_Chi_tiet'!$A$4:$A$33,"DA05",'23_BCTC_Chi_tiet'!$B$4:$B$33,$A5)-SUMIFS('23_BCTC_Chi_tiet'!$AA$4:$AA$33,'23_BCTC_Chi_tiet'!$A$4:$A$33,"DA05",'23_BCTC_Chi_tiet'!$B$4:$B$33,$A5))</x:f>
        <x:v>-497.6467737555414</x:v>
      </x:c>
      <x:c r="R5" s="100" t="n">
        <x:f>P5-Q5</x:f>
        <x:v>-2916.0355867000053</x:v>
      </x:c>
      <x:c r="S5" s="100" t="n">
        <x:f>SUMIFS('23_BCTC_Chi_tiet'!$N$4:$N$33,'23_BCTC_Chi_tiet'!$B$4:$B$33,$A5)-SUMIFS('23_BCTC_Chi_tiet'!$N$4:$N$33,'23_BCTC_Chi_tiet'!$A$4:$A$33,"DA06",'23_BCTC_Chi_tiet'!$B$4:$B$33,$A5)</x:f>
        <x:v>0</x:v>
      </x:c>
    </x:row>
    <x:row r="6">
      <x:c r="A6" s="14" t="n">
        <x:v>3</x:v>
      </x:c>
      <x:c r="B6" s="100" t="n">
        <x:f>SUMIFS('23_BCTC_Chi_tiet'!$C$4:$C$33,'23_BCTC_Chi_tiet'!$B$4:$B$33,$A6)-SUMIFS('23_BCTC_Chi_tiet'!$C$4:$C$33,'23_BCTC_Chi_tiet'!$A$4:$A$33,"DA06",'23_BCTC_Chi_tiet'!$B$4:$B$33,$A6)</x:f>
        <x:v>9894.488888888889</x:v>
      </x:c>
      <x:c r="C6" s="100" t="n">
        <x:f>'31_Loai_tru_hop_nhat'!C6</x:f>
        <x:v>0</x:v>
      </x:c>
      <x:c r="D6" s="100" t="n">
        <x:f>B6-C6</x:f>
        <x:v>9894.488888888889</x:v>
      </x:c>
      <x:c r="E6" s="100" t="n">
        <x:f>SUMIFS('23_BCTC_Chi_tiet'!$D$4:$D$33,'23_BCTC_Chi_tiet'!$B$4:$B$33,$A6)+SUMIFS('23_BCTC_Chi_tiet'!$G$4:$G$33,'23_BCTC_Chi_tiet'!$B$4:$B$33,$A6)+SUMIFS('23_BCTC_Chi_tiet'!$I$4:$I$33,'23_BCTC_Chi_tiet'!$B$4:$B$33,$A6)+SUMIFS('23_BCTC_Chi_tiet'!$J$4:$J$33,'23_BCTC_Chi_tiet'!$B$4:$B$33,$A6)-SUMIFS('23_BCTC_Chi_tiet'!$D$4:$D$33,'23_BCTC_Chi_tiet'!$A$4:$A$33,"DA06",'23_BCTC_Chi_tiet'!$B$4:$B$33,$A6)-SUMIFS('23_BCTC_Chi_tiet'!$G$4:$G$33,'23_BCTC_Chi_tiet'!$A$4:$A$33,"DA06",'23_BCTC_Chi_tiet'!$B$4:$B$33,$A6)-SUMIFS('23_BCTC_Chi_tiet'!$I$4:$I$33,'23_BCTC_Chi_tiet'!$A$4:$A$33,"DA06",'23_BCTC_Chi_tiet'!$B$4:$B$33,$A6)-SUMIFS('23_BCTC_Chi_tiet'!$J$4:$J$33,'23_BCTC_Chi_tiet'!$A$4:$A$33,"DA06",'23_BCTC_Chi_tiet'!$B$4:$B$33,$A6)</x:f>
        <x:v>8368.362169130372</x:v>
      </x:c>
      <x:c r="F6" s="100" t="n">
        <x:f>'31_Loai_tru_hop_nhat'!D6</x:f>
        <x:v>0</x:v>
      </x:c>
      <x:c r="G6" s="100" t="n">
        <x:f>SUMIFS('23_BCTC_Chi_tiet'!$M$4:$M$33,'23_BCTC_Chi_tiet'!$B$4:$B$33,$A6)-SUMIFS('23_BCTC_Chi_tiet'!$M$4:$M$33,'23_BCTC_Chi_tiet'!$A$4:$A$33,"DA06",'23_BCTC_Chi_tiet'!$B$4:$B$33,$A6)</x:f>
        <x:v>1081.2937522186603</x:v>
      </x:c>
      <x:c r="H6" s="100" t="n">
        <x:f>C6-F6</x:f>
        <x:v>0</x:v>
      </x:c>
      <x:c r="I6" s="100" t="n">
        <x:f>G6-H6</x:f>
        <x:v>1081.2937522186603</x:v>
      </x:c>
      <x:c r="J6" s="100" t="n">
        <x:f>SUMIFS('23_BCTC_Chi_tiet'!$T$4:$T$33,'23_BCTC_Chi_tiet'!$B$4:$B$33,$A6)-SUMIFS('23_BCTC_Chi_tiet'!$T$4:$T$33,'23_BCTC_Chi_tiet'!$A$4:$A$33,"DA06",'23_BCTC_Chi_tiet'!$B$4:$B$33,$A6)</x:f>
        <x:v>13695.918407745014</x:v>
      </x:c>
      <x:c r="K6" s="100" t="n">
        <x:f>'31_Loai_tru_hop_nhat'!E6+'31_Loai_tru_hop_nhat'!G6</x:f>
        <x:v>0</x:v>
      </x:c>
      <x:c r="L6" s="100" t="n">
        <x:f>J6-K6</x:f>
        <x:v>13695.918407745014</x:v>
      </x:c>
      <x:c r="M6" s="100" t="n">
        <x:f>SUMIFS('23_BCTC_Chi_tiet'!$AA$4:$AA$33,'23_BCTC_Chi_tiet'!$B$4:$B$33,$A6)-SUMIFS('23_BCTC_Chi_tiet'!$AA$4:$AA$33,'23_BCTC_Chi_tiet'!$A$4:$A$33,"DA06",'23_BCTC_Chi_tiet'!$B$4:$B$33,$A6)</x:f>
        <x:v>15765.611240311555</x:v>
      </x:c>
      <x:c r="N6" s="100" t="n">
        <x:f>'31_Loai_tru_hop_nhat'!F6+'31_Loai_tru_hop_nhat'!H6</x:f>
        <x:v>0</x:v>
      </x:c>
      <x:c r="O6" s="100" t="n">
        <x:f>M6-N6</x:f>
        <x:v>15765.611240311555</x:v>
      </x:c>
      <x:c r="P6" s="100" t="n">
        <x:f>L6-O6</x:f>
        <x:v>-2069.6928325665413</x:v>
      </x:c>
      <x:c r="Q6" s="100" t="n">
        <x:f>0.10*(SUMIFS('23_BCTC_Chi_tiet'!$T$4:$T$33,'23_BCTC_Chi_tiet'!$A$4:$A$33,"DA02",'23_BCTC_Chi_tiet'!$B$4:$B$33,$A6)-SUMIFS('23_BCTC_Chi_tiet'!$AA$4:$AA$33,'23_BCTC_Chi_tiet'!$A$4:$A$33,"DA02",'23_BCTC_Chi_tiet'!$B$4:$B$33,$A6))+0.20*(SUMIFS('23_BCTC_Chi_tiet'!$T$4:$T$33,'23_BCTC_Chi_tiet'!$A$4:$A$33,"DA03",'23_BCTC_Chi_tiet'!$B$4:$B$33,$A6)-SUMIFS('23_BCTC_Chi_tiet'!$AA$4:$AA$33,'23_BCTC_Chi_tiet'!$A$4:$A$33,"DA03",'23_BCTC_Chi_tiet'!$B$4:$B$33,$A6))+0.25*(SUMIFS('23_BCTC_Chi_tiet'!$T$4:$T$33,'23_BCTC_Chi_tiet'!$A$4:$A$33,"DA05",'23_BCTC_Chi_tiet'!$B$4:$B$33,$A6)-SUMIFS('23_BCTC_Chi_tiet'!$AA$4:$AA$33,'23_BCTC_Chi_tiet'!$A$4:$A$33,"DA05",'23_BCTC_Chi_tiet'!$B$4:$B$33,$A6))</x:f>
        <x:v>62.83447516298213</x:v>
      </x:c>
      <x:c r="R6" s="100" t="n">
        <x:f>P6-Q6</x:f>
        <x:v>-2132.5273077295233</x:v>
      </x:c>
      <x:c r="S6" s="100" t="n">
        <x:f>SUMIFS('23_BCTC_Chi_tiet'!$N$4:$N$33,'23_BCTC_Chi_tiet'!$B$4:$B$33,$A6)-SUMIFS('23_BCTC_Chi_tiet'!$N$4:$N$33,'23_BCTC_Chi_tiet'!$A$4:$A$33,"DA06",'23_BCTC_Chi_tiet'!$B$4:$B$33,$A6)</x:f>
        <x:v>556.1585512544731</x:v>
      </x:c>
    </x:row>
    <x:row r="7">
      <x:c r="A7" s="14" t="n">
        <x:v>4</x:v>
      </x:c>
      <x:c r="B7" s="100" t="n">
        <x:f>SUMIFS('23_BCTC_Chi_tiet'!$C$4:$C$33,'23_BCTC_Chi_tiet'!$B$4:$B$33,$A7)-SUMIFS('23_BCTC_Chi_tiet'!$C$4:$C$33,'23_BCTC_Chi_tiet'!$A$4:$A$33,"DA06",'23_BCTC_Chi_tiet'!$B$4:$B$33,$A7)</x:f>
        <x:v>12320.088888888891</x:v>
      </x:c>
      <x:c r="C7" s="100" t="n">
        <x:f>'31_Loai_tru_hop_nhat'!C7</x:f>
        <x:v>0</x:v>
      </x:c>
      <x:c r="D7" s="100" t="n">
        <x:f>B7-C7</x:f>
        <x:v>12320.088888888891</x:v>
      </x:c>
      <x:c r="E7" s="100" t="n">
        <x:f>SUMIFS('23_BCTC_Chi_tiet'!$D$4:$D$33,'23_BCTC_Chi_tiet'!$B$4:$B$33,$A7)+SUMIFS('23_BCTC_Chi_tiet'!$G$4:$G$33,'23_BCTC_Chi_tiet'!$B$4:$B$33,$A7)+SUMIFS('23_BCTC_Chi_tiet'!$I$4:$I$33,'23_BCTC_Chi_tiet'!$B$4:$B$33,$A7)+SUMIFS('23_BCTC_Chi_tiet'!$J$4:$J$33,'23_BCTC_Chi_tiet'!$B$4:$B$33,$A7)-SUMIFS('23_BCTC_Chi_tiet'!$D$4:$D$33,'23_BCTC_Chi_tiet'!$A$4:$A$33,"DA06",'23_BCTC_Chi_tiet'!$B$4:$B$33,$A7)-SUMIFS('23_BCTC_Chi_tiet'!$G$4:$G$33,'23_BCTC_Chi_tiet'!$A$4:$A$33,"DA06",'23_BCTC_Chi_tiet'!$B$4:$B$33,$A7)-SUMIFS('23_BCTC_Chi_tiet'!$I$4:$I$33,'23_BCTC_Chi_tiet'!$A$4:$A$33,"DA06",'23_BCTC_Chi_tiet'!$B$4:$B$33,$A7)-SUMIFS('23_BCTC_Chi_tiet'!$J$4:$J$33,'23_BCTC_Chi_tiet'!$A$4:$A$33,"DA06",'23_BCTC_Chi_tiet'!$B$4:$B$33,$A7)</x:f>
        <x:v>9723.599501395045</x:v>
      </x:c>
      <x:c r="F7" s="100" t="n">
        <x:f>'31_Loai_tru_hop_nhat'!D7</x:f>
        <x:v>0</x:v>
      </x:c>
      <x:c r="G7" s="100" t="n">
        <x:f>SUMIFS('23_BCTC_Chi_tiet'!$M$4:$M$33,'23_BCTC_Chi_tiet'!$B$4:$B$33,$A7)-SUMIFS('23_BCTC_Chi_tiet'!$M$4:$M$33,'23_BCTC_Chi_tiet'!$A$4:$A$33,"DA06",'23_BCTC_Chi_tiet'!$B$4:$B$33,$A7)</x:f>
        <x:v>1935.6137170878503</x:v>
      </x:c>
      <x:c r="H7" s="100" t="n">
        <x:f>C7-F7</x:f>
        <x:v>0</x:v>
      </x:c>
      <x:c r="I7" s="100" t="n">
        <x:f>G7-H7</x:f>
        <x:v>1935.6137170878503</x:v>
      </x:c>
      <x:c r="J7" s="100" t="n">
        <x:f>SUMIFS('23_BCTC_Chi_tiet'!$T$4:$T$33,'23_BCTC_Chi_tiet'!$B$4:$B$33,$A7)-SUMIFS('23_BCTC_Chi_tiet'!$T$4:$T$33,'23_BCTC_Chi_tiet'!$A$4:$A$33,"DA06",'23_BCTC_Chi_tiet'!$B$4:$B$33,$A7)</x:f>
        <x:v>13006.097183879483</x:v>
      </x:c>
      <x:c r="K7" s="100" t="n">
        <x:f>'31_Loai_tru_hop_nhat'!E7+'31_Loai_tru_hop_nhat'!G7</x:f>
        <x:v>0</x:v>
      </x:c>
      <x:c r="L7" s="100" t="n">
        <x:f>J7-K7</x:f>
        <x:v>13006.097183879483</x:v>
      </x:c>
      <x:c r="M7" s="100" t="n">
        <x:f>SUMIFS('23_BCTC_Chi_tiet'!$AA$4:$AA$33,'23_BCTC_Chi_tiet'!$B$4:$B$33,$A7)-SUMIFS('23_BCTC_Chi_tiet'!$AA$4:$AA$33,'23_BCTC_Chi_tiet'!$A$4:$A$33,"DA06",'23_BCTC_Chi_tiet'!$B$4:$B$33,$A7)</x:f>
        <x:v>11470.43944430715</x:v>
      </x:c>
      <x:c r="N7" s="100" t="n">
        <x:f>'31_Loai_tru_hop_nhat'!F7+'31_Loai_tru_hop_nhat'!H7</x:f>
        <x:v>0</x:v>
      </x:c>
      <x:c r="O7" s="100" t="n">
        <x:f>M7-N7</x:f>
        <x:v>11470.43944430715</x:v>
      </x:c>
      <x:c r="P7" s="100" t="n">
        <x:f>L7-O7</x:f>
        <x:v>1535.6577395723325</x:v>
      </x:c>
      <x:c r="Q7" s="100" t="n">
        <x:f>0.10*(SUMIFS('23_BCTC_Chi_tiet'!$T$4:$T$33,'23_BCTC_Chi_tiet'!$A$4:$A$33,"DA02",'23_BCTC_Chi_tiet'!$B$4:$B$33,$A7)-SUMIFS('23_BCTC_Chi_tiet'!$AA$4:$AA$33,'23_BCTC_Chi_tiet'!$A$4:$A$33,"DA02",'23_BCTC_Chi_tiet'!$B$4:$B$33,$A7))+0.20*(SUMIFS('23_BCTC_Chi_tiet'!$T$4:$T$33,'23_BCTC_Chi_tiet'!$A$4:$A$33,"DA03",'23_BCTC_Chi_tiet'!$B$4:$B$33,$A7)-SUMIFS('23_BCTC_Chi_tiet'!$AA$4:$AA$33,'23_BCTC_Chi_tiet'!$A$4:$A$33,"DA03",'23_BCTC_Chi_tiet'!$B$4:$B$33,$A7))+0.25*(SUMIFS('23_BCTC_Chi_tiet'!$T$4:$T$33,'23_BCTC_Chi_tiet'!$A$4:$A$33,"DA05",'23_BCTC_Chi_tiet'!$B$4:$B$33,$A7)-SUMIFS('23_BCTC_Chi_tiet'!$AA$4:$AA$33,'23_BCTC_Chi_tiet'!$A$4:$A$33,"DA05",'23_BCTC_Chi_tiet'!$B$4:$B$33,$A7))</x:f>
        <x:v>-106.66790839002249</x:v>
      </x:c>
      <x:c r="R7" s="100" t="n">
        <x:f>P7-Q7</x:f>
        <x:v>1642.325647962355</x:v>
      </x:c>
      <x:c r="S7" s="100" t="n">
        <x:f>SUMIFS('23_BCTC_Chi_tiet'!$N$4:$N$33,'23_BCTC_Chi_tiet'!$B$4:$B$33,$A7)-SUMIFS('23_BCTC_Chi_tiet'!$N$4:$N$33,'23_BCTC_Chi_tiet'!$A$4:$A$33,"DA06",'23_BCTC_Chi_tiet'!$B$4:$B$33,$A7)</x:f>
        <x:v>3035.749969267612</x:v>
      </x:c>
    </x:row>
    <x:row r="8">
      <x:c r="A8" s="14" t="n">
        <x:v>5</x:v>
      </x:c>
      <x:c r="B8" s="100" t="n">
        <x:f>SUMIFS('23_BCTC_Chi_tiet'!$C$4:$C$33,'23_BCTC_Chi_tiet'!$B$4:$B$33,$A8)-SUMIFS('23_BCTC_Chi_tiet'!$C$4:$C$33,'23_BCTC_Chi_tiet'!$A$4:$A$33,"DA06",'23_BCTC_Chi_tiet'!$B$4:$B$33,$A8)</x:f>
        <x:v>7777.777777777777</x:v>
      </x:c>
      <x:c r="C8" s="100" t="n">
        <x:f>'31_Loai_tru_hop_nhat'!C8</x:f>
        <x:v>0</x:v>
      </x:c>
      <x:c r="D8" s="100" t="n">
        <x:f>B8-C8</x:f>
        <x:v>7777.777777777777</x:v>
      </x:c>
      <x:c r="E8" s="100" t="n">
        <x:f>SUMIFS('23_BCTC_Chi_tiet'!$D$4:$D$33,'23_BCTC_Chi_tiet'!$B$4:$B$33,$A8)+SUMIFS('23_BCTC_Chi_tiet'!$G$4:$G$33,'23_BCTC_Chi_tiet'!$B$4:$B$33,$A8)+SUMIFS('23_BCTC_Chi_tiet'!$I$4:$I$33,'23_BCTC_Chi_tiet'!$B$4:$B$33,$A8)+SUMIFS('23_BCTC_Chi_tiet'!$J$4:$J$33,'23_BCTC_Chi_tiet'!$B$4:$B$33,$A8)-SUMIFS('23_BCTC_Chi_tiet'!$D$4:$D$33,'23_BCTC_Chi_tiet'!$A$4:$A$33,"DA06",'23_BCTC_Chi_tiet'!$B$4:$B$33,$A8)-SUMIFS('23_BCTC_Chi_tiet'!$G$4:$G$33,'23_BCTC_Chi_tiet'!$A$4:$A$33,"DA06",'23_BCTC_Chi_tiet'!$B$4:$B$33,$A8)-SUMIFS('23_BCTC_Chi_tiet'!$I$4:$I$33,'23_BCTC_Chi_tiet'!$A$4:$A$33,"DA06",'23_BCTC_Chi_tiet'!$B$4:$B$33,$A8)-SUMIFS('23_BCTC_Chi_tiet'!$J$4:$J$33,'23_BCTC_Chi_tiet'!$A$4:$A$33,"DA06",'23_BCTC_Chi_tiet'!$B$4:$B$33,$A8)</x:f>
        <x:v>6501.247120709973</x:v>
      </x:c>
      <x:c r="F8" s="100" t="n">
        <x:f>'31_Loai_tru_hop_nhat'!D8</x:f>
        <x:v>0</x:v>
      </x:c>
      <x:c r="G8" s="100" t="n">
        <x:f>SUMIFS('23_BCTC_Chi_tiet'!$M$4:$M$33,'23_BCTC_Chi_tiet'!$B$4:$B$33,$A8)-SUMIFS('23_BCTC_Chi_tiet'!$M$4:$M$33,'23_BCTC_Chi_tiet'!$A$4:$A$33,"DA06",'23_BCTC_Chi_tiet'!$B$4:$B$33,$A8)</x:f>
        <x:v>859.3306570678023</x:v>
      </x:c>
      <x:c r="H8" s="100" t="n">
        <x:f>C8-F8</x:f>
        <x:v>0</x:v>
      </x:c>
      <x:c r="I8" s="100" t="n">
        <x:f>G8-H8</x:f>
        <x:v>859.3306570678023</x:v>
      </x:c>
      <x:c r="J8" s="100" t="n">
        <x:f>SUMIFS('23_BCTC_Chi_tiet'!$T$4:$T$33,'23_BCTC_Chi_tiet'!$B$4:$B$33,$A8)-SUMIFS('23_BCTC_Chi_tiet'!$T$4:$T$33,'23_BCTC_Chi_tiet'!$A$4:$A$33,"DA06",'23_BCTC_Chi_tiet'!$B$4:$B$33,$A8)</x:f>
        <x:v>12276.02296774554</x:v>
      </x:c>
      <x:c r="K8" s="100" t="n">
        <x:f>'31_Loai_tru_hop_nhat'!E8+'31_Loai_tru_hop_nhat'!G8</x:f>
        <x:v>0</x:v>
      </x:c>
      <x:c r="L8" s="100" t="n">
        <x:f>J8-K8</x:f>
        <x:v>12276.02296774554</x:v>
      </x:c>
      <x:c r="M8" s="100" t="n">
        <x:f>SUMIFS('23_BCTC_Chi_tiet'!$AA$4:$AA$33,'23_BCTC_Chi_tiet'!$B$4:$B$33,$A8)-SUMIFS('23_BCTC_Chi_tiet'!$AA$4:$AA$33,'23_BCTC_Chi_tiet'!$A$4:$A$33,"DA06",'23_BCTC_Chi_tiet'!$B$4:$B$33,$A8)</x:f>
        <x:v>10100.612478465857</x:v>
      </x:c>
      <x:c r="N8" s="100" t="n">
        <x:f>'31_Loai_tru_hop_nhat'!F8+'31_Loai_tru_hop_nhat'!H8</x:f>
        <x:v>0</x:v>
      </x:c>
      <x:c r="O8" s="100" t="n">
        <x:f>M8-N8</x:f>
        <x:v>10100.612478465857</x:v>
      </x:c>
      <x:c r="P8" s="100" t="n">
        <x:f>L8-O8</x:f>
        <x:v>2175.410489279684</x:v>
      </x:c>
      <x:c r="Q8" s="100" t="n">
        <x:f>0.10*(SUMIFS('23_BCTC_Chi_tiet'!$T$4:$T$33,'23_BCTC_Chi_tiet'!$A$4:$A$33,"DA02",'23_BCTC_Chi_tiet'!$B$4:$B$33,$A8)-SUMIFS('23_BCTC_Chi_tiet'!$AA$4:$AA$33,'23_BCTC_Chi_tiet'!$A$4:$A$33,"DA02",'23_BCTC_Chi_tiet'!$B$4:$B$33,$A8))+0.20*(SUMIFS('23_BCTC_Chi_tiet'!$T$4:$T$33,'23_BCTC_Chi_tiet'!$A$4:$A$33,"DA03",'23_BCTC_Chi_tiet'!$B$4:$B$33,$A8)-SUMIFS('23_BCTC_Chi_tiet'!$AA$4:$AA$33,'23_BCTC_Chi_tiet'!$A$4:$A$33,"DA03",'23_BCTC_Chi_tiet'!$B$4:$B$33,$A8))+0.25*(SUMIFS('23_BCTC_Chi_tiet'!$T$4:$T$33,'23_BCTC_Chi_tiet'!$A$4:$A$33,"DA05",'23_BCTC_Chi_tiet'!$B$4:$B$33,$A8)-SUMIFS('23_BCTC_Chi_tiet'!$AA$4:$AA$33,'23_BCTC_Chi_tiet'!$A$4:$A$33,"DA05",'23_BCTC_Chi_tiet'!$B$4:$B$33,$A8))</x:f>
        <x:v>-290.6951204199903</x:v>
      </x:c>
      <x:c r="R8" s="100" t="n">
        <x:f>P8-Q8</x:f>
        <x:v>2466.1056096996745</x:v>
      </x:c>
      <x:c r="S8" s="100" t="n">
        <x:f>SUMIFS('23_BCTC_Chi_tiet'!$N$4:$N$33,'23_BCTC_Chi_tiet'!$B$4:$B$33,$A8)-SUMIFS('23_BCTC_Chi_tiet'!$N$4:$N$33,'23_BCTC_Chi_tiet'!$A$4:$A$33,"DA06",'23_BCTC_Chi_tiet'!$B$4:$B$33,$A8)</x:f>
        <x:v>3922.105524823166</x:v>
      </x:c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</x:row>
  </x:sheetData>
  <x:mergeCells>
    <x:mergeCell ref="A1:S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>
      <x:c r="A1" s="96" t="str">
        <x:v>36_B01_DN_Hop_nhat – Bảng cân đối kế toán hợp nhất kế hoạch</x:v>
      </x:c>
      <x:c r="B1" s="96"/>
      <x:c r="C1" s="96"/>
      <x:c r="D1" s="96"/>
      <x:c r="E1" s="96"/>
      <x:c r="F1" s="96"/>
      <x:c r="G1" s="96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</x:row>
    <x:row r="3">
      <x:c r="A3" s="91" t="str">
        <x:v>Mã số</x:v>
      </x:c>
      <x:c r="B3" s="91" t="str">
        <x:v>Chỉ tiêu</x:v>
      </x:c>
      <x:c r="C3" s="91" t="str">
        <x:v>Năm 1</x:v>
      </x:c>
      <x:c r="D3" s="91" t="str">
        <x:v>Năm 2</x:v>
      </x:c>
      <x:c r="E3" s="91" t="str">
        <x:v>Năm 3</x:v>
      </x:c>
      <x:c r="F3" s="91" t="str">
        <x:v>Năm 4</x:v>
      </x:c>
      <x:c r="G3" s="91" t="str">
        <x:v>Năm 5</x:v>
      </x:c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</x:row>
    <x:row r="4">
      <x:c r="A4" s="14" t="str">
        <x:v>110</x:v>
      </x:c>
      <x:c r="B4" s="14" t="str">
        <x:v>Tiền và các khoản tương đương tiền</x:v>
      </x:c>
      <x:c r="C4" s="100" t="n">
        <x:f>'35_BCTC_Hop_nhat_Data'!S4</x:f>
        <x:v>0</x:v>
      </x:c>
      <x:c r="D4" s="100" t="n">
        <x:f>'35_BCTC_Hop_nhat_Data'!S5</x:f>
        <x:v>0</x:v>
      </x:c>
      <x:c r="E4" s="100" t="n">
        <x:f>'35_BCTC_Hop_nhat_Data'!S6</x:f>
        <x:v>556.1585512544731</x:v>
      </x:c>
      <x:c r="F4" s="100" t="n">
        <x:f>'35_BCTC_Hop_nhat_Data'!S7</x:f>
        <x:v>3035.749969267612</x:v>
      </x:c>
      <x:c r="G4" s="100" t="n">
        <x:f>'35_BCTC_Hop_nhat_Data'!S8</x:f>
        <x:v>3922.105524823166</x:v>
      </x:c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</x:row>
    <x:row r="5">
      <x:c r="A5" s="14" t="str">
        <x:v>130</x:v>
      </x:c>
      <x:c r="B5" s="14" t="str">
        <x:v>Các khoản phải thu ngắn hạn</x:v>
      </x:c>
      <x:c r="C5" s="100" t="n">
        <x:f>0.12*C9</x:f>
        <x:v>1987.4580925244616</x:v>
      </x:c>
      <x:c r="D5" s="100" t="n">
        <x:f>0.12*D9</x:f>
        <x:v>1919.8981686105678</x:v>
      </x:c>
      <x:c r="E5" s="100" t="n">
        <x:f>0.12*E9</x:f>
        <x:v>1643.5102089294016</x:v>
      </x:c>
      <x:c r="F5" s="100" t="n">
        <x:f>0.12*F9</x:f>
        <x:v>1560.7316620655379</x:v>
      </x:c>
      <x:c r="G5" s="100" t="n">
        <x:f>0.12*G9</x:f>
        <x:v>1473.122756129465</x:v>
      </x:c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</x:row>
    <x:row r="6">
      <x:c r="A6" s="14" t="str">
        <x:v>140</x:v>
      </x:c>
      <x:c r="B6" s="14" t="str">
        <x:v>Hàng tồn kho/BĐS dở dang</x:v>
      </x:c>
      <x:c r="C6" s="100" t="n">
        <x:f>0.50*C9</x:f>
        <x:v>8281.07538551859</x:v>
      </x:c>
      <x:c r="D6" s="100" t="n">
        <x:f>0.50*D9</x:f>
        <x:v>7999.5757025440325</x:v>
      </x:c>
      <x:c r="E6" s="100" t="n">
        <x:f>0.50*E9</x:f>
        <x:v>6847.959203872507</x:v>
      </x:c>
      <x:c r="F6" s="100" t="n">
        <x:f>0.50*F9</x:f>
        <x:v>6503.0485919397415</x:v>
      </x:c>
      <x:c r="G6" s="100" t="n">
        <x:f>0.50*G9</x:f>
        <x:v>6138.01148387277</x:v>
      </x:c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</x:row>
    <x:row r="7">
      <x:c r="A7" s="14" t="str">
        <x:v>150</x:v>
      </x:c>
      <x:c r="B7" s="14" t="str">
        <x:v>Tài sản ngắn hạn khác</x:v>
      </x:c>
      <x:c r="C7" s="100" t="n">
        <x:f>0.08*C9</x:f>
        <x:v>1324.9720616829745</x:v>
      </x:c>
      <x:c r="D7" s="100" t="n">
        <x:f>0.08*D9</x:f>
        <x:v>1279.9321124070452</x:v>
      </x:c>
      <x:c r="E7" s="100" t="n">
        <x:f>0.08*E9</x:f>
        <x:v>1095.6734726196012</x:v>
      </x:c>
      <x:c r="F7" s="100" t="n">
        <x:f>0.08*F9</x:f>
        <x:v>1040.4877747103587</x:v>
      </x:c>
      <x:c r="G7" s="100" t="n">
        <x:f>0.08*G9</x:f>
        <x:v>982.0818374196433</x:v>
      </x:c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</x:row>
    <x:row r="8">
      <x:c r="A8" s="14" t="str">
        <x:v>200</x:v>
      </x:c>
      <x:c r="B8" s="14" t="str">
        <x:v>TÀI SẢN DÀI HẠN</x:v>
      </x:c>
      <x:c r="C8" s="100" t="n">
        <x:f>C9-SUM(C4:C7)</x:f>
        <x:v>4968.645231311155</x:v>
      </x:c>
      <x:c r="D8" s="100" t="n">
        <x:f>D9-SUM(D4:D7)</x:f>
        <x:v>4799.745421526421</x:v>
      </x:c>
      <x:c r="E8" s="100" t="n">
        <x:f>E9-SUM(E4:E7)</x:f>
        <x:v>3552.616971069032</x:v>
      </x:c>
      <x:c r="F8" s="100" t="n">
        <x:f>F9-SUM(F4:F7)</x:f>
        <x:v>866.079185896233</x:v>
      </x:c>
      <x:c r="G8" s="100" t="n">
        <x:f>G9-SUM(G4:G7)</x:f>
        <x:v>-239.29863449950244</x:v>
      </x:c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</x:row>
    <x:row r="9">
      <x:c r="A9" s="14" t="str">
        <x:v>280</x:v>
      </x:c>
      <x:c r="B9" s="14" t="str">
        <x:v>TỔNG CỘNG TÀI SẢN</x:v>
      </x:c>
      <x:c r="C9" s="100" t="n">
        <x:f>'35_BCTC_Hop_nhat_Data'!L4</x:f>
        <x:v>16562.15077103718</x:v>
      </x:c>
      <x:c r="D9" s="100" t="n">
        <x:f>'35_BCTC_Hop_nhat_Data'!L5</x:f>
        <x:v>15999.151405088065</x:v>
      </x:c>
      <x:c r="E9" s="100" t="n">
        <x:f>'35_BCTC_Hop_nhat_Data'!L6</x:f>
        <x:v>13695.918407745014</x:v>
      </x:c>
      <x:c r="F9" s="100" t="n">
        <x:f>'35_BCTC_Hop_nhat_Data'!L7</x:f>
        <x:v>13006.097183879483</x:v>
      </x:c>
      <x:c r="G9" s="100" t="n">
        <x:f>'35_BCTC_Hop_nhat_Data'!L8</x:f>
        <x:v>12276.02296774554</x:v>
      </x:c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</x:row>
    <x:row r="10">
      <x:c r="A10" s="14" t="str">
        <x:v>300</x:v>
      </x:c>
      <x:c r="B10" s="14" t="str">
        <x:v>NỢ PHẢI TRẢ</x:v>
      </x:c>
      <x:c r="C10" s="100" t="n">
        <x:f>'35_BCTC_Hop_nhat_Data'!O4</x:f>
        <x:v>18562.001500509185</x:v>
      </x:c>
      <x:c r="D10" s="100" t="n">
        <x:f>'35_BCTC_Hop_nhat_Data'!O5</x:f>
        <x:v>19412.83376554361</x:v>
      </x:c>
      <x:c r="E10" s="100" t="n">
        <x:f>'35_BCTC_Hop_nhat_Data'!O6</x:f>
        <x:v>15765.611240311555</x:v>
      </x:c>
      <x:c r="F10" s="100" t="n">
        <x:f>'35_BCTC_Hop_nhat_Data'!O7</x:f>
        <x:v>11470.43944430715</x:v>
      </x:c>
      <x:c r="G10" s="100" t="n">
        <x:f>'35_BCTC_Hop_nhat_Data'!O8</x:f>
        <x:v>10100.612478465857</x:v>
      </x:c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</x:row>
    <x:row r="11">
      <x:c r="A11" s="14" t="str">
        <x:v>400</x:v>
      </x:c>
      <x:c r="B11" s="14" t="str">
        <x:v>VỐN CHỦ SỞ HỮU</x:v>
      </x:c>
      <x:c r="C11" s="100" t="n">
        <x:f>'35_BCTC_Hop_nhat_Data'!P4</x:f>
        <x:v>-1999.8507294720039</x:v>
      </x:c>
      <x:c r="D11" s="100" t="n">
        <x:f>'35_BCTC_Hop_nhat_Data'!P5</x:f>
        <x:v>-3413.6823604555466</x:v>
      </x:c>
      <x:c r="E11" s="100" t="n">
        <x:f>'35_BCTC_Hop_nhat_Data'!P6</x:f>
        <x:v>-2069.6928325665413</x:v>
      </x:c>
      <x:c r="F11" s="100" t="n">
        <x:f>'35_BCTC_Hop_nhat_Data'!P7</x:f>
        <x:v>1535.6577395723325</x:v>
      </x:c>
      <x:c r="G11" s="100" t="n">
        <x:f>'35_BCTC_Hop_nhat_Data'!P8</x:f>
        <x:v>2175.410489279684</x:v>
      </x:c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</x:row>
    <x:row r="12">
      <x:c r="A12" s="14" t="str">
        <x:v>429</x:v>
      </x:c>
      <x:c r="B12" s="14" t="str">
        <x:v>Lợi ích cổ đông không kiểm soát</x:v>
      </x:c>
      <x:c r="C12" s="100" t="n">
        <x:f>'35_BCTC_Hop_nhat_Data'!Q4</x:f>
        <x:v>-199.32540898227126</x:v>
      </x:c>
      <x:c r="D12" s="100" t="n">
        <x:f>'35_BCTC_Hop_nhat_Data'!Q5</x:f>
        <x:v>-497.6467737555414</x:v>
      </x:c>
      <x:c r="E12" s="100" t="n">
        <x:f>'35_BCTC_Hop_nhat_Data'!Q6</x:f>
        <x:v>62.83447516298213</x:v>
      </x:c>
      <x:c r="F12" s="100" t="n">
        <x:f>'35_BCTC_Hop_nhat_Data'!Q7</x:f>
        <x:v>-106.66790839002249</x:v>
      </x:c>
      <x:c r="G12" s="100" t="n">
        <x:f>'35_BCTC_Hop_nhat_Data'!Q8</x:f>
        <x:v>-290.6951204199903</x:v>
      </x:c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</x:row>
    <x:row r="13">
      <x:c r="A13" s="14" t="str">
        <x:v>421</x:v>
      </x:c>
      <x:c r="B13" s="14" t="str">
        <x:v>Vốn/LNST thuộc cổ đông công ty mẹ</x:v>
      </x:c>
      <x:c r="C13" s="100" t="n">
        <x:f>'35_BCTC_Hop_nhat_Data'!R4</x:f>
        <x:v>-1800.5253204897326</x:v>
      </x:c>
      <x:c r="D13" s="100" t="n">
        <x:f>'35_BCTC_Hop_nhat_Data'!R5</x:f>
        <x:v>-2916.0355867000053</x:v>
      </x:c>
      <x:c r="E13" s="100" t="n">
        <x:f>'35_BCTC_Hop_nhat_Data'!R6</x:f>
        <x:v>-2132.5273077295233</x:v>
      </x:c>
      <x:c r="F13" s="100" t="n">
        <x:f>'35_BCTC_Hop_nhat_Data'!R7</x:f>
        <x:v>1642.325647962355</x:v>
      </x:c>
      <x:c r="G13" s="100" t="n">
        <x:f>'35_BCTC_Hop_nhat_Data'!R8</x:f>
        <x:v>2466.1056096996745</x:v>
      </x:c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</x:row>
    <x:row r="14">
      <x:c r="A14" s="14" t="str">
        <x:v>440</x:v>
      </x:c>
      <x:c r="B14" s="14" t="str">
        <x:v>TỔNG CỘNG NGUỒN VỐN</x:v>
      </x:c>
      <x:c r="C14" s="100" t="n">
        <x:f>C10+C11</x:f>
        <x:v>16562.15077103718</x:v>
      </x:c>
      <x:c r="D14" s="100" t="n">
        <x:f>D10+D11</x:f>
        <x:v>15999.151405088065</x:v>
      </x:c>
      <x:c r="E14" s="100" t="n">
        <x:f>E10+E11</x:f>
        <x:v>13695.918407745014</x:v>
      </x:c>
      <x:c r="F14" s="100" t="n">
        <x:f>F10+F11</x:f>
        <x:v>13006.097183879483</x:v>
      </x:c>
      <x:c r="G14" s="100" t="n">
        <x:f>G10+G11</x:f>
        <x:v>12276.02296774554</x:v>
      </x:c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</x:row>
  </x:sheetData>
  <x:mergeCells>
    <x:mergeCell ref="A1:G1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>
      <x:c r="A1" s="96" t="str">
        <x:v>37_B02_DN_Hop_nhat – Báo cáo kết quả hoạt động kinh doanh hợp nhất kế hoạch</x:v>
      </x:c>
      <x:c r="B1" s="96"/>
      <x:c r="C1" s="96"/>
      <x:c r="D1" s="96"/>
      <x:c r="E1" s="96"/>
      <x:c r="F1" s="96"/>
      <x:c r="G1" s="96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</x:row>
    <x:row r="3">
      <x:c r="A3" s="91" t="str">
        <x:v>Mã số</x:v>
      </x:c>
      <x:c r="B3" s="91" t="str">
        <x:v>Chỉ tiêu</x:v>
      </x:c>
      <x:c r="C3" s="91" t="str">
        <x:v>Năm 1</x:v>
      </x:c>
      <x:c r="D3" s="91" t="str">
        <x:v>Năm 2</x:v>
      </x:c>
      <x:c r="E3" s="91" t="str">
        <x:v>Năm 3</x:v>
      </x:c>
      <x:c r="F3" s="91" t="str">
        <x:v>Năm 4</x:v>
      </x:c>
      <x:c r="G3" s="91" t="str">
        <x:v>Năm 5</x:v>
      </x:c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</x:row>
    <x:row r="4">
      <x:c r="A4" s="14" t="str">
        <x:v>10</x:v>
      </x:c>
      <x:c r="B4" s="14" t="str">
        <x:v>Doanh thu thuần</x:v>
      </x:c>
      <x:c r="C4" s="100" t="n">
        <x:f>'35_BCTC_Hop_nhat_Data'!D4</x:f>
        <x:v>1735.1999999999996</x:v>
      </x:c>
      <x:c r="D4" s="100" t="n">
        <x:f>'35_BCTC_Hop_nhat_Data'!D5</x:f>
        <x:v>6179.199999999998</x:v>
      </x:c>
      <x:c r="E4" s="100" t="n">
        <x:f>'35_BCTC_Hop_nhat_Data'!D6</x:f>
        <x:v>9894.488888888889</x:v>
      </x:c>
      <x:c r="F4" s="100" t="n">
        <x:f>'35_BCTC_Hop_nhat_Data'!D7</x:f>
        <x:v>12320.088888888891</x:v>
      </x:c>
      <x:c r="G4" s="100" t="n">
        <x:f>'35_BCTC_Hop_nhat_Data'!D8</x:f>
        <x:v>7777.777777777777</x:v>
      </x:c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</x:row>
    <x:row r="5">
      <x:c r="A5" s="14" t="str">
        <x:v>11</x:v>
      </x:c>
      <x:c r="B5" s="14" t="str">
        <x:v>Giá vốn và chi phí hoạt động</x:v>
      </x:c>
      <x:c r="C5" s="100" t="n">
        <x:f>'35_BCTC_Hop_nhat_Data'!F4</x:f>
        <x:v>122.8</x:v>
      </x:c>
      <x:c r="D5" s="100" t="n">
        <x:f>'35_BCTC_Hop_nhat_Data'!F5</x:f>
        <x:v>0</x:v>
      </x:c>
      <x:c r="E5" s="100" t="n">
        <x:f>'35_BCTC_Hop_nhat_Data'!F6</x:f>
        <x:v>0</x:v>
      </x:c>
      <x:c r="F5" s="100" t="n">
        <x:f>'35_BCTC_Hop_nhat_Data'!F7</x:f>
        <x:v>0</x:v>
      </x:c>
      <x:c r="G5" s="100" t="n">
        <x:f>'35_BCTC_Hop_nhat_Data'!F8</x:f>
        <x:v>0</x:v>
      </x:c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</x:row>
    <x:row r="6">
      <x:c r="A6" s="14" t="str">
        <x:v>20</x:v>
      </x:c>
      <x:c r="B6" s="14" t="str">
        <x:v>Lợi nhuận trước thuế ước tính trước thuế</x:v>
      </x:c>
      <x:c r="C6" s="100" t="n">
        <x:f>C7</x:f>
        <x:v>-1106.8785653074708</x:v>
      </x:c>
      <x:c r="D6" s="100" t="n">
        <x:f>D7</x:f>
        <x:v>-120.2711845416551</x:v>
      </x:c>
      <x:c r="E6" s="100" t="n">
        <x:f>E7</x:f>
        <x:v>1351.6171902733254</x:v>
      </x:c>
      <x:c r="F6" s="100" t="n">
        <x:f>F7</x:f>
        <x:v>2419.5171463598126</x:v>
      </x:c>
      <x:c r="G6" s="100" t="n">
        <x:f>G7</x:f>
        <x:v>1074.163321334753</x:v>
      </x:c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</x:row>
    <x:row r="7">
      <x:c r="A7" s="14" t="str">
        <x:v>50</x:v>
      </x:c>
      <x:c r="B7" s="14" t="str">
        <x:v>Tổng lợi nhuận kế toán trước thuế</x:v>
      </x:c>
      <x:c r="C7" s="100" t="n">
        <x:f>IF(0.8=0,0,C9/0.8)</x:f>
        <x:v>-1106.8785653074708</x:v>
      </x:c>
      <x:c r="D7" s="100" t="n">
        <x:f>IF(0.8=0,0,D9/0.8)</x:f>
        <x:v>-120.2711845416551</x:v>
      </x:c>
      <x:c r="E7" s="100" t="n">
        <x:f>IF(0.8=0,0,E9/0.8)</x:f>
        <x:v>1351.6171902733254</x:v>
      </x:c>
      <x:c r="F7" s="100" t="n">
        <x:f>IF(0.8=0,0,F9/0.8)</x:f>
        <x:v>2419.5171463598126</x:v>
      </x:c>
      <x:c r="G7" s="100" t="n">
        <x:f>IF(0.8=0,0,G9/0.8)</x:f>
        <x:v>1074.163321334753</x:v>
      </x:c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</x:row>
    <x:row r="8">
      <x:c r="A8" s="14" t="str">
        <x:v>51</x:v>
      </x:c>
      <x:c r="B8" s="14" t="str">
        <x:v>Chi phí thuế TNDN</x:v>
      </x:c>
      <x:c r="C8" s="100" t="n">
        <x:f>MAX(0,C7-C9)</x:f>
        <x:v>0</x:v>
      </x:c>
      <x:c r="D8" s="100" t="n">
        <x:f>MAX(0,D7-D9)</x:f>
        <x:v>0</x:v>
      </x:c>
      <x:c r="E8" s="100" t="n">
        <x:f>MAX(0,E7-E9)</x:f>
        <x:v>270.3234380546651</x:v>
      </x:c>
      <x:c r="F8" s="100" t="n">
        <x:f>MAX(0,F7-F9)</x:f>
        <x:v>483.9034292719623</x:v>
      </x:c>
      <x:c r="G8" s="100" t="n">
        <x:f>MAX(0,G7-G9)</x:f>
        <x:v>214.8326642669506</x:v>
      </x:c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</x:row>
    <x:row r="9">
      <x:c r="A9" s="14" t="str">
        <x:v>60</x:v>
      </x:c>
      <x:c r="B9" s="14" t="str">
        <x:v>Lợi nhuận sau thuế TNDN</x:v>
      </x:c>
      <x:c r="C9" s="100" t="n">
        <x:f>'35_BCTC_Hop_nhat_Data'!I4</x:f>
        <x:v>-885.5028522459768</x:v>
      </x:c>
      <x:c r="D9" s="100" t="n">
        <x:f>'35_BCTC_Hop_nhat_Data'!I5</x:f>
        <x:v>-96.21694763332408</x:v>
      </x:c>
      <x:c r="E9" s="100" t="n">
        <x:f>'35_BCTC_Hop_nhat_Data'!I6</x:f>
        <x:v>1081.2937522186603</x:v>
      </x:c>
      <x:c r="F9" s="100" t="n">
        <x:f>'35_BCTC_Hop_nhat_Data'!I7</x:f>
        <x:v>1935.6137170878503</x:v>
      </x:c>
      <x:c r="G9" s="100" t="n">
        <x:f>'35_BCTC_Hop_nhat_Data'!I8</x:f>
        <x:v>859.3306570678023</x:v>
      </x:c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</x:row>
  </x:sheetData>
  <x:mergeCells>
    <x:mergeCell ref="A1:G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>
      <x:c r="A1" s="96" t="str">
        <x:v>38_B03_DN_Hop_nhat – Báo cáo lưu chuyển tiền tệ hợp nhất kế hoạch</x:v>
      </x:c>
      <x:c r="B1" s="96"/>
      <x:c r="C1" s="96"/>
      <x:c r="D1" s="96"/>
      <x:c r="E1" s="96"/>
      <x:c r="F1" s="96"/>
      <x:c r="G1" s="96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</x:row>
    <x:row r="3">
      <x:c r="A3" s="91" t="str">
        <x:v>Mã số</x:v>
      </x:c>
      <x:c r="B3" s="91" t="str">
        <x:v>Chỉ tiêu</x:v>
      </x:c>
      <x:c r="C3" s="91" t="str">
        <x:v>Năm 1</x:v>
      </x:c>
      <x:c r="D3" s="91" t="str">
        <x:v>Năm 2</x:v>
      </x:c>
      <x:c r="E3" s="91" t="str">
        <x:v>Năm 3</x:v>
      </x:c>
      <x:c r="F3" s="91" t="str">
        <x:v>Năm 4</x:v>
      </x:c>
      <x:c r="G3" s="91" t="str">
        <x:v>Năm 5</x:v>
      </x:c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</x:row>
    <x:row r="4">
      <x:c r="A4" s="14" t="str">
        <x:v>20</x:v>
      </x:c>
      <x:c r="B4" s="14" t="str">
        <x:v>Lưu chuyển tiền thuần từ HĐKD</x:v>
      </x:c>
      <x:c r="C4" s="100" t="n">
        <x:f>SUMIFS('23_BCTC_Chi_tiet'!$AF$4:$AF$33,'23_BCTC_Chi_tiet'!$B$4:$B$33,1)-SUMIFS('23_BCTC_Chi_tiet'!$AF$4:$AF$33,'23_BCTC_Chi_tiet'!$A$4:$A$33,"DA06",'23_BCTC_Chi_tiet'!$B$4:$B$33,1)</x:f>
        <x:v>3618.710719182595</x:v>
      </x:c>
      <x:c r="D4" s="100" t="n">
        <x:f>SUMIFS('23_BCTC_Chi_tiet'!$AF$4:$AF$33,'23_BCTC_Chi_tiet'!$B$4:$B$33,2)-SUMIFS('23_BCTC_Chi_tiet'!$AF$4:$AF$33,'23_BCTC_Chi_tiet'!$A$4:$A$33,"DA06",'23_BCTC_Chi_tiet'!$B$4:$B$33,2)</x:f>
        <x:v>7912.351623795245</x:v>
      </x:c>
      <x:c r="E4" s="100" t="n">
        <x:f>SUMIFS('23_BCTC_Chi_tiet'!$AF$4:$AF$33,'23_BCTC_Chi_tiet'!$B$4:$B$33,3)-SUMIFS('23_BCTC_Chi_tiet'!$AF$4:$AF$33,'23_BCTC_Chi_tiet'!$A$4:$A$33,"DA06",'23_BCTC_Chi_tiet'!$B$4:$B$33,3)</x:f>
        <x:v>8997.950101425005</x:v>
      </x:c>
      <x:c r="F4" s="100" t="n">
        <x:f>SUMIFS('23_BCTC_Chi_tiet'!$AF$4:$AF$33,'23_BCTC_Chi_tiet'!$B$4:$B$33,4)-SUMIFS('23_BCTC_Chi_tiet'!$AF$4:$AF$33,'23_BCTC_Chi_tiet'!$A$4:$A$33,"DA06",'23_BCTC_Chi_tiet'!$B$4:$B$33,4)</x:f>
        <x:v>4507.106891691023</x:v>
      </x:c>
      <x:c r="G4" s="100" t="n">
        <x:f>SUMIFS('23_BCTC_Chi_tiet'!$AF$4:$AF$33,'23_BCTC_Chi_tiet'!$B$4:$B$33,5)-SUMIFS('23_BCTC_Chi_tiet'!$AF$4:$AF$33,'23_BCTC_Chi_tiet'!$A$4:$A$33,"DA06",'23_BCTC_Chi_tiet'!$B$4:$B$33,5)</x:f>
        <x:v>76.88621262335664</x:v>
      </x:c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</x:row>
    <x:row r="5">
      <x:c r="A5" s="14" t="str">
        <x:v>30</x:v>
      </x:c>
      <x:c r="B5" s="14" t="str">
        <x:v>Lưu chuyển tiền thuần từ HĐ đầu tư</x:v>
      </x:c>
      <x:c r="C5" s="100" t="n">
        <x:f>SUMIFS('23_BCTC_Chi_tiet'!$AG$4:$AG$33,'23_BCTC_Chi_tiet'!$B$4:$B$33,1)-SUMIFS('23_BCTC_Chi_tiet'!$AG$4:$AG$33,'23_BCTC_Chi_tiet'!$A$4:$A$33,"DA06",'23_BCTC_Chi_tiet'!$B$4:$B$33,1)</x:f>
        <x:v>-10267.526428571427</x:v>
      </x:c>
      <x:c r="D5" s="100" t="n">
        <x:f>SUMIFS('23_BCTC_Chi_tiet'!$AG$4:$AG$33,'23_BCTC_Chi_tiet'!$B$4:$B$33,2)-SUMIFS('23_BCTC_Chi_tiet'!$AG$4:$AG$33,'23_BCTC_Chi_tiet'!$A$4:$A$33,"DA06",'23_BCTC_Chi_tiet'!$B$4:$B$33,2)</x:f>
        <x:v>-7178.201428571429</x:v>
      </x:c>
      <x:c r="E5" s="100" t="n">
        <x:f>SUMIFS('23_BCTC_Chi_tiet'!$AG$4:$AG$33,'23_BCTC_Chi_tiet'!$B$4:$B$33,3)-SUMIFS('23_BCTC_Chi_tiet'!$AG$4:$AG$33,'23_BCTC_Chi_tiet'!$A$4:$A$33,"DA06",'23_BCTC_Chi_tiet'!$B$4:$B$33,3)</x:f>
        <x:v>-4445.961428571429</x:v>
      </x:c>
      <x:c r="F5" s="100" t="n">
        <x:f>SUMIFS('23_BCTC_Chi_tiet'!$AG$4:$AG$33,'23_BCTC_Chi_tiet'!$B$4:$B$33,4)-SUMIFS('23_BCTC_Chi_tiet'!$AG$4:$AG$33,'23_BCTC_Chi_tiet'!$A$4:$A$33,"DA06",'23_BCTC_Chi_tiet'!$B$4:$B$33,4)</x:f>
        <x:v>-2255.535714285714</x:v>
      </x:c>
      <x:c r="G5" s="100" t="n">
        <x:f>SUMIFS('23_BCTC_Chi_tiet'!$AG$4:$AG$33,'23_BCTC_Chi_tiet'!$B$4:$B$33,5)-SUMIFS('23_BCTC_Chi_tiet'!$AG$4:$AG$33,'23_BCTC_Chi_tiet'!$A$4:$A$33,"DA06",'23_BCTC_Chi_tiet'!$B$4:$B$33,5)</x:f>
        <x:v>0</x:v>
      </x:c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</x:row>
    <x:row r="6">
      <x:c r="A6" s="14" t="str">
        <x:v>40</x:v>
      </x:c>
      <x:c r="B6" s="14" t="str">
        <x:v>Lưu chuyển tiền thuần từ HĐ tài chính</x:v>
      </x:c>
      <x:c r="C6" s="100" t="n">
        <x:f>SUMIFS('23_BCTC_Chi_tiet'!$AH$4:$AH$33,'23_BCTC_Chi_tiet'!$B$4:$B$33,1)-SUMIFS('23_BCTC_Chi_tiet'!$AH$4:$AH$33,'23_BCTC_Chi_tiet'!$A$4:$A$33,"DA06",'23_BCTC_Chi_tiet'!$B$4:$B$33,1)</x:f>
        <x:v>3986.4906042060265</x:v>
      </x:c>
      <x:c r="D6" s="100" t="n">
        <x:f>SUMIFS('23_BCTC_Chi_tiet'!$AH$4:$AH$33,'23_BCTC_Chi_tiet'!$B$4:$B$33,2)-SUMIFS('23_BCTC_Chi_tiet'!$AH$4:$AH$33,'23_BCTC_Chi_tiet'!$A$4:$A$33,"DA06",'23_BCTC_Chi_tiet'!$B$4:$B$33,2)</x:f>
        <x:v>-2884.078385899469</x:v>
      </x:c>
      <x:c r="E6" s="100" t="n">
        <x:f>SUMIFS('23_BCTC_Chi_tiet'!$AH$4:$AH$33,'23_BCTC_Chi_tiet'!$B$4:$B$33,3)-SUMIFS('23_BCTC_Chi_tiet'!$AH$4:$AH$33,'23_BCTC_Chi_tiet'!$A$4:$A$33,"DA06",'23_BCTC_Chi_tiet'!$B$4:$B$33,3)</x:f>
        <x:v>-4261.752084723996</x:v>
      </x:c>
      <x:c r="F6" s="100" t="n">
        <x:f>SUMIFS('23_BCTC_Chi_tiet'!$AH$4:$AH$33,'23_BCTC_Chi_tiet'!$B$4:$B$33,4)-SUMIFS('23_BCTC_Chi_tiet'!$AH$4:$AH$33,'23_BCTC_Chi_tiet'!$A$4:$A$33,"DA06",'23_BCTC_Chi_tiet'!$B$4:$B$33,4)</x:f>
        <x:v>-48.2009626081574</x:v>
      </x:c>
      <x:c r="G6" s="100" t="n">
        <x:f>SUMIFS('23_BCTC_Chi_tiet'!$AH$4:$AH$33,'23_BCTC_Chi_tiet'!$B$4:$B$33,5)-SUMIFS('23_BCTC_Chi_tiet'!$AH$4:$AH$33,'23_BCTC_Chi_tiet'!$A$4:$A$33,"DA06",'23_BCTC_Chi_tiet'!$B$4:$B$33,5)</x:f>
        <x:v>544.4193429321984</x:v>
      </x:c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</x:row>
    <x:row r="7">
      <x:c r="A7" s="14" t="str">
        <x:v>50</x:v>
      </x:c>
      <x:c r="B7" s="14" t="str">
        <x:v>Lưu chuyển tiền thuần trong kỳ</x:v>
      </x:c>
      <x:c r="C7" s="100" t="n">
        <x:f>SUMIFS('23_BCTC_Chi_tiet'!$AI$4:$AI$33,'23_BCTC_Chi_tiet'!$B$4:$B$33,1)-SUMIFS('23_BCTC_Chi_tiet'!$AI$4:$AI$33,'23_BCTC_Chi_tiet'!$A$4:$A$33,"DA06",'23_BCTC_Chi_tiet'!$B$4:$B$33,1)</x:f>
        <x:v>-2662.3251051828056</x:v>
      </x:c>
      <x:c r="D7" s="100" t="n">
        <x:f>SUMIFS('23_BCTC_Chi_tiet'!$AI$4:$AI$33,'23_BCTC_Chi_tiet'!$B$4:$B$33,2)-SUMIFS('23_BCTC_Chi_tiet'!$AI$4:$AI$33,'23_BCTC_Chi_tiet'!$A$4:$A$33,"DA06",'23_BCTC_Chi_tiet'!$B$4:$B$33,2)</x:f>
        <x:v>-2149.9281906756514</x:v>
      </x:c>
      <x:c r="E7" s="100" t="n">
        <x:f>SUMIFS('23_BCTC_Chi_tiet'!$AI$4:$AI$33,'23_BCTC_Chi_tiet'!$B$4:$B$33,3)-SUMIFS('23_BCTC_Chi_tiet'!$AI$4:$AI$33,'23_BCTC_Chi_tiet'!$A$4:$A$33,"DA06",'23_BCTC_Chi_tiet'!$B$4:$B$33,3)</x:f>
        <x:v>290.2365881295823</x:v>
      </x:c>
      <x:c r="F7" s="100" t="n">
        <x:f>SUMIFS('23_BCTC_Chi_tiet'!$AI$4:$AI$33,'23_BCTC_Chi_tiet'!$B$4:$B$33,4)-SUMIFS('23_BCTC_Chi_tiet'!$AI$4:$AI$33,'23_BCTC_Chi_tiet'!$A$4:$A$33,"DA06",'23_BCTC_Chi_tiet'!$B$4:$B$33,4)</x:f>
        <x:v>2203.37021479715</x:v>
      </x:c>
      <x:c r="G7" s="100" t="n">
        <x:f>SUMIFS('23_BCTC_Chi_tiet'!$AI$4:$AI$33,'23_BCTC_Chi_tiet'!$B$4:$B$33,5)-SUMIFS('23_BCTC_Chi_tiet'!$AI$4:$AI$33,'23_BCTC_Chi_tiet'!$A$4:$A$33,"DA06",'23_BCTC_Chi_tiet'!$B$4:$B$33,5)</x:f>
        <x:v>621.3055555555552</x:v>
      </x:c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</x:row>
    <x:row r="8">
      <x:c r="A8" s="14" t="str">
        <x:v>70</x:v>
      </x:c>
      <x:c r="B8" s="14" t="str">
        <x:v>Tiền và tương đương tiền cuối kỳ</x:v>
      </x:c>
      <x:c r="C8" s="100" t="n">
        <x:f>'35_BCTC_Hop_nhat_Data'!S4</x:f>
        <x:v>0</x:v>
      </x:c>
      <x:c r="D8" s="100" t="n">
        <x:f>'35_BCTC_Hop_nhat_Data'!S5</x:f>
        <x:v>0</x:v>
      </x:c>
      <x:c r="E8" s="100" t="n">
        <x:f>'35_BCTC_Hop_nhat_Data'!S6</x:f>
        <x:v>556.1585512544731</x:v>
      </x:c>
      <x:c r="F8" s="100" t="n">
        <x:f>'35_BCTC_Hop_nhat_Data'!S7</x:f>
        <x:v>3035.749969267612</x:v>
      </x:c>
      <x:c r="G8" s="100" t="n">
        <x:f>'35_BCTC_Hop_nhat_Data'!S8</x:f>
        <x:v>3922.105524823166</x:v>
      </x:c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</x:row>
  </x:sheetData>
  <x:mergeCells>
    <x:mergeCell ref="A1:G1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>
      <x:c r="A1" s="96" t="str">
        <x:v>39 – Danh sách quyết định ưu tiên toàn tập đoàn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14"/>
      <x:c r="O1" s="14"/>
      <x:c r="P1" s="14"/>
      <x:c r="Q1" s="14"/>
      <x:c r="R1" s="14"/>
      <x:c r="S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</x:row>
    <x:row r="3">
      <x:c r="A3" s="91" t="str">
        <x:v>Ưu tiên</x:v>
      </x:c>
      <x:c r="B3" s="91" t="str">
        <x:v>Nhóm quyết định</x:v>
      </x:c>
      <x:c r="C3" s="91" t="str">
        <x:v>Pháp nhân/Dự án</x:v>
      </x:c>
      <x:c r="D3" s="91" t="str">
        <x:v>Vấn đề</x:v>
      </x:c>
      <x:c r="E3" s="91" t="str">
        <x:v>Tác động tài chính</x:v>
      </x:c>
      <x:c r="F3" s="91" t="str">
        <x:v>Mức độ</x:v>
      </x:c>
      <x:c r="G3" s="91" t="str">
        <x:v>Khuyến nghị</x:v>
      </x:c>
      <x:c r="H3" s="91" t="str">
        <x:v>Chủ trì</x:v>
      </x:c>
      <x:c r="I3" s="91" t="str">
        <x:v>Phối hợp</x:v>
      </x:c>
      <x:c r="J3" s="91" t="str">
        <x:v>Hạn xử lý</x:v>
      </x:c>
      <x:c r="K3" s="91" t="str">
        <x:v>Điều kiện đóng việc</x:v>
      </x:c>
      <x:c r="L3" s="91" t="str">
        <x:v>Trạng thái</x:v>
      </x:c>
      <x:c r="M3" s="91" t="str">
        <x:v>Ghi chú</x:v>
      </x:c>
      <x:c r="N3" s="14"/>
      <x:c r="O3" s="14"/>
      <x:c r="P3" s="14"/>
      <x:c r="Q3" s="14"/>
      <x:c r="R3" s="14"/>
      <x:c r="S3" s="14"/>
    </x:row>
    <x:row r="4">
      <x:c r="A4" s="97" t="n">
        <x:v>1</x:v>
      </x:c>
      <x:c r="B4" s="97" t="str">
        <x:v>Thanh khoản</x:v>
      </x:c>
      <x:c r="C4" s="97" t="str">
        <x:v>SPV02 / DA02</x:v>
      </x:c>
      <x:c r="D4" s="97" t="str">
        <x:v>Funding gap &amp; nghĩa vụ tài chính đất</x:v>
      </x:c>
      <x:c r="E4" s="97" t="str">
        <x:v>Nguy cơ chậm mở bán và tăng lãi vay</x:v>
      </x:c>
      <x:c r="F4" s="97" t="str">
        <x:v>Rất cao</x:v>
      </x:c>
      <x:c r="G4" s="97" t="str">
        <x:v>Ưu tiên bridge/IC loan có take-out; đẩy Legal Gate</x:v>
      </x:c>
      <x:c r="H4" s="97" t="str">
        <x:v>CFO</x:v>
      </x:c>
      <x:c r="I4" s="97" t="str">
        <x:v>Pháp chế/Đầu tư</x:v>
      </x:c>
      <x:c r="J4" s="101" t="n">
        <x:v>46254</x:v>
      </x:c>
      <x:c r="K4" s="97" t="str">
        <x:v>Chốt nguồn vốn + lịch nộp nghĩa vụ</x:v>
      </x:c>
      <x:c r="L4" s="97" t="str">
        <x:v>Đang xử lý</x:v>
      </x:c>
      <x:c r="M4" s="97" t="str"/>
      <x:c r="N4" s="14"/>
      <x:c r="O4" s="14"/>
      <x:c r="P4" s="14"/>
      <x:c r="Q4" s="14"/>
      <x:c r="R4" s="14"/>
      <x:c r="S4" s="14"/>
    </x:row>
    <x:row r="5">
      <x:c r="A5" s="97" t="n">
        <x:v>2</x:v>
      </x:c>
      <x:c r="B5" s="97" t="str">
        <x:v>Pháp lý</x:v>
      </x:c>
      <x:c r="C5" s="97" t="str">
        <x:v>SPV01 / DA01</x:v>
      </x:c>
      <x:c r="D5" s="97" t="str">
        <x:v>Quy hoạch/đất đai trên đường găng</x:v>
      </x:c>
      <x:c r="E5" s="97" t="str">
        <x:v>Dịch cash-in và IRR</x:v>
      </x:c>
      <x:c r="F5" s="97" t="str">
        <x:v>Rất cao</x:v>
      </x:c>
      <x:c r="G5" s="97" t="str">
        <x:v>Escalate pháp lý; không tăng CAPEX trước gate</x:v>
      </x:c>
      <x:c r="H5" s="97" t="str">
        <x:v>GĐ Phát triển</x:v>
      </x:c>
      <x:c r="I5" s="97" t="str">
        <x:v>Pháp chế/CFO</x:v>
      </x:c>
      <x:c r="J5" s="101" t="n">
        <x:v>46261</x:v>
      </x:c>
      <x:c r="K5" s="97" t="str">
        <x:v>Đóng mốc đường găng tiếp theo</x:v>
      </x:c>
      <x:c r="L5" s="97" t="str">
        <x:v>Đang xử lý</x:v>
      </x:c>
      <x:c r="M5" s="97" t="str"/>
      <x:c r="N5" s="14"/>
      <x:c r="O5" s="14"/>
      <x:c r="P5" s="14"/>
      <x:c r="Q5" s="14"/>
      <x:c r="R5" s="14"/>
      <x:c r="S5" s="14"/>
    </x:row>
    <x:row r="6">
      <x:c r="A6" s="97" t="n">
        <x:v>3</x:v>
      </x:c>
      <x:c r="B6" s="97" t="str">
        <x:v>Covenant</x:v>
      </x:c>
      <x:c r="C6" s="97" t="str">
        <x:v>SPV05 / DA05</x:v>
      </x:c>
      <x:c r="D6" s="97" t="str">
        <x:v>DSCR thấp &amp; hạn chế upstream cash</x:v>
      </x:c>
      <x:c r="E6" s="97" t="str">
        <x:v>Hạn chế Cash Pool, rủi ro vi phạm facility</x:v>
      </x:c>
      <x:c r="F6" s="97" t="str">
        <x:v>Cao</x:v>
      </x:c>
      <x:c r="G6" s="97" t="str">
        <x:v>Giữ cash buffer; làm việc ngân hàng về waiver/headroom</x:v>
      </x:c>
      <x:c r="H6" s="97" t="str">
        <x:v>Treasury</x:v>
      </x:c>
      <x:c r="I6" s="97" t="str">
        <x:v>CFO/QLDA</x:v>
      </x:c>
      <x:c r="J6" s="101" t="n">
        <x:v>46265</x:v>
      </x:c>
      <x:c r="K6" s="97" t="str">
        <x:v>DSCR đạt covenant hoặc có waiver</x:v>
      </x:c>
      <x:c r="L6" s="97" t="str">
        <x:v>Chưa bắt đầu</x:v>
      </x:c>
      <x:c r="M6" s="97" t="str"/>
      <x:c r="N6" s="14"/>
      <x:c r="O6" s="14"/>
      <x:c r="P6" s="14"/>
      <x:c r="Q6" s="14"/>
      <x:c r="R6" s="14"/>
      <x:c r="S6" s="14"/>
    </x:row>
    <x:row r="7">
      <x:c r="A7" s="97" t="n">
        <x:v>4</x:v>
      </x:c>
      <x:c r="B7" s="97" t="str">
        <x:v>Chi phí</x:v>
      </x:c>
      <x:c r="C7" s="97" t="str">
        <x:v>SPV03 / DA03</x:v>
      </x:c>
      <x:c r="D7" s="97" t="str">
        <x:v>CAPEX/EAC vượt kế hoạch</x:v>
      </x:c>
      <x:c r="E7" s="97" t="str">
        <x:v>Funding need tăng</x:v>
      </x:c>
      <x:c r="F7" s="97" t="str">
        <x:v>Cao</x:v>
      </x:c>
      <x:c r="G7" s="97" t="str">
        <x:v>Value engineering + khóa change order</x:v>
      </x:c>
      <x:c r="H7" s="97" t="str">
        <x:v>QLDA</x:v>
      </x:c>
      <x:c r="I7" s="97" t="str">
        <x:v>CFO/Mua sắm</x:v>
      </x:c>
      <x:c r="J7" s="101" t="n">
        <x:v>46259</x:v>
      </x:c>
      <x:c r="K7" s="97" t="str">
        <x:v>EAC về trong ngưỡng HĐQT</x:v>
      </x:c>
      <x:c r="L7" s="97" t="str">
        <x:v>Đang xử lý</x:v>
      </x:c>
      <x:c r="M7" s="97" t="str"/>
      <x:c r="N7" s="14"/>
      <x:c r="O7" s="14"/>
      <x:c r="P7" s="14"/>
      <x:c r="Q7" s="14"/>
      <x:c r="R7" s="14"/>
      <x:c r="S7" s="14"/>
    </x:row>
    <x:row r="8">
      <x:c r="A8" s="97" t="n">
        <x:v>5</x:v>
      </x:c>
      <x:c r="B8" s="97" t="str">
        <x:v>M&amp;A</x:v>
      </x:c>
      <x:c r="C8" s="97" t="str">
        <x:v>SPV06 / DA06</x:v>
      </x:c>
      <x:c r="D8" s="97" t="str">
        <x:v>Chưa hoàn tất điều kiện M&amp;A</x:v>
      </x:c>
      <x:c r="E8" s="97" t="str">
        <x:v>Không được đưa vào hợp nhất/cash pool</x:v>
      </x:c>
      <x:c r="F8" s="97" t="str">
        <x:v>Cao</x:v>
      </x:c>
      <x:c r="G8" s="97" t="str">
        <x:v>Giữ ngoài consolidation; không giải ngân acquisition facility trước CP</x:v>
      </x:c>
      <x:c r="H8" s="97" t="str">
        <x:v>Đầu tư</x:v>
      </x:c>
      <x:c r="I8" s="97" t="str">
        <x:v>Pháp chế/CFO</x:v>
      </x:c>
      <x:c r="J8" s="101" t="n">
        <x:v>46280</x:v>
      </x:c>
      <x:c r="K8" s="97" t="str">
        <x:v>Hoàn tất CP + SPA closing</x:v>
      </x:c>
      <x:c r="L8" s="97" t="str">
        <x:v>Chưa bắt đầu</x:v>
      </x:c>
      <x:c r="M8" s="97" t="str"/>
      <x:c r="N8" s="14"/>
      <x:c r="O8" s="14"/>
      <x:c r="P8" s="14"/>
      <x:c r="Q8" s="14"/>
      <x:c r="R8" s="14"/>
      <x:c r="S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</x:row>
  </x:sheetData>
  <x:mergeCells>
    <x:mergeCell ref="A1:M1"/>
  </x:mergeCells>
  <x:conditionalFormatting sqref="F4:F8">
    <x:cfRule type="expression" dxfId="8" priority="1">
      <x:formula>F4="Rất cao"</x:formula>
    </x:cfRule>
  </x:conditionalFormatting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>
      <x:c r="A1" s="96" t="str">
        <x:v>40 – Bàn điều hành tài chính &amp; danh mục tập đoàn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14"/>
      <x:c r="L1" s="14"/>
      <x:c r="M1" s="14"/>
      <x:c r="N1" s="14"/>
      <x:c r="O1" s="14"/>
      <x:c r="P1" s="14"/>
      <x:c r="Q1" s="14"/>
      <x:c r="R1" s="14"/>
      <x:c r="S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</x:row>
    <x:row r="3">
      <x:c r="A3" s="91" t="str">
        <x:v>Chỉ tiêu</x:v>
      </x:c>
      <x:c r="B3" s="91" t="str">
        <x:v>Giá trị</x:v>
      </x:c>
      <x:c r="C3" s="14"/>
      <x:c r="D3" s="91" t="str">
        <x:v>Năm</x:v>
      </x:c>
      <x:c r="E3" s="91" t="str">
        <x:v>Doanh thu HN</x:v>
      </x:c>
      <x:c r="F3" s="91" t="str">
        <x:v>LNST HN</x:v>
      </x:c>
      <x:c r="G3" s="91" t="str">
        <x:v>Tổng tài sản HN</x:v>
      </x:c>
      <x:c r="H3" s="91" t="str">
        <x:v>Tổng nợ HN</x:v>
      </x:c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</x:row>
    <x:row r="4">
      <x:c r="A4" s="14" t="str">
        <x:v>Số pháp nhân hợp nhất</x:v>
      </x:c>
      <x:c r="B4" s="14" t="n">
        <x:v>5</x:v>
      </x:c>
      <x:c r="C4" s="14"/>
      <x:c r="D4" s="14" t="n">
        <x:v>1</x:v>
      </x:c>
      <x:c r="E4" s="100" t="n">
        <x:f>'35_BCTC_Hop_nhat_Data'!D4</x:f>
        <x:v>1735.1999999999996</x:v>
      </x:c>
      <x:c r="F4" s="100" t="n">
        <x:f>'35_BCTC_Hop_nhat_Data'!I4</x:f>
        <x:v>-885.5028522459768</x:v>
      </x:c>
      <x:c r="G4" s="100" t="n">
        <x:f>'35_BCTC_Hop_nhat_Data'!L4</x:f>
        <x:v>16562.15077103718</x:v>
      </x:c>
      <x:c r="H4" s="100" t="n">
        <x:f>'35_BCTC_Hop_nhat_Data'!O4</x:f>
        <x:v>18562.001500509185</x:v>
      </x:c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</x:row>
    <x:row r="5">
      <x:c r="A5" s="14" t="str">
        <x:v>Số SPV đang triển khai</x:v>
      </x:c>
      <x:c r="B5" s="14" t="n">
        <x:v>5</x:v>
      </x:c>
      <x:c r="C5" s="14"/>
      <x:c r="D5" s="14" t="n">
        <x:v>2</x:v>
      </x:c>
      <x:c r="E5" s="100" t="n">
        <x:f>'35_BCTC_Hop_nhat_Data'!D5</x:f>
        <x:v>6179.199999999998</x:v>
      </x:c>
      <x:c r="F5" s="100" t="n">
        <x:f>'35_BCTC_Hop_nhat_Data'!I5</x:f>
        <x:v>-96.21694763332408</x:v>
      </x:c>
      <x:c r="G5" s="100" t="n">
        <x:f>'35_BCTC_Hop_nhat_Data'!L5</x:f>
        <x:v>15999.151405088065</x:v>
      </x:c>
      <x:c r="H5" s="100" t="n">
        <x:f>'35_BCTC_Hop_nhat_Data'!O5</x:f>
        <x:v>19412.83376554361</x:v>
      </x:c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</x:row>
    <x:row r="6">
      <x:c r="A6" s="14" t="str">
        <x:v>Funding gap 12T toàn danh mục</x:v>
      </x:c>
      <x:c r="B6" s="100" t="n">
        <x:f>SUM('32_Treasury_Cash_Pool'!F5:F10)</x:f>
        <x:v>1297.3</x:v>
      </x:c>
      <x:c r="C6" s="14"/>
      <x:c r="D6" s="14" t="n">
        <x:v>3</x:v>
      </x:c>
      <x:c r="E6" s="100" t="n">
        <x:f>'35_BCTC_Hop_nhat_Data'!D6</x:f>
        <x:v>9894.488888888889</x:v>
      </x:c>
      <x:c r="F6" s="100" t="n">
        <x:f>'35_BCTC_Hop_nhat_Data'!I6</x:f>
        <x:v>1081.2937522186603</x:v>
      </x:c>
      <x:c r="G6" s="100" t="n">
        <x:f>'35_BCTC_Hop_nhat_Data'!L6</x:f>
        <x:v>13695.918407745014</x:v>
      </x:c>
      <x:c r="H6" s="100" t="n">
        <x:f>'35_BCTC_Hop_nhat_Data'!O6</x:f>
        <x:v>15765.611240311555</x:v>
      </x:c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</x:row>
    <x:row r="7">
      <x:c r="A7" s="14" t="str">
        <x:v>Dư nợ ngân hàng hiện tại</x:v>
      </x:c>
      <x:c r="B7" s="100" t="n">
        <x:f>SUM('33_No_vay_Covenant'!G4:G9)</x:f>
        <x:v>11859.400000000001</x:v>
      </x:c>
      <x:c r="C7" s="14"/>
      <x:c r="D7" s="14" t="n">
        <x:v>4</x:v>
      </x:c>
      <x:c r="E7" s="100" t="n">
        <x:f>'35_BCTC_Hop_nhat_Data'!D7</x:f>
        <x:v>12320.088888888891</x:v>
      </x:c>
      <x:c r="F7" s="100" t="n">
        <x:f>'35_BCTC_Hop_nhat_Data'!I7</x:f>
        <x:v>1935.6137170878503</x:v>
      </x:c>
      <x:c r="G7" s="100" t="n">
        <x:f>'35_BCTC_Hop_nhat_Data'!L7</x:f>
        <x:v>13006.097183879483</x:v>
      </x:c>
      <x:c r="H7" s="100" t="n">
        <x:f>'35_BCTC_Hop_nhat_Data'!O7</x:f>
        <x:v>11470.43944430715</x:v>
      </x:c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</x:row>
    <x:row r="8">
      <x:c r="A8" s="14" t="str">
        <x:v>Số covenant cảnh báo</x:v>
      </x:c>
      <x:c r="B8" s="14" t="n">
        <x:f>COUNTIF('33_No_vay_Covenant'!Q4:Q9,"Cảnh báo")</x:f>
        <x:v>3</x:v>
      </x:c>
      <x:c r="C8" s="14"/>
      <x:c r="D8" s="14" t="n">
        <x:v>5</x:v>
      </x:c>
      <x:c r="E8" s="100" t="n">
        <x:f>'35_BCTC_Hop_nhat_Data'!D8</x:f>
        <x:v>7777.777777777777</x:v>
      </x:c>
      <x:c r="F8" s="100" t="n">
        <x:f>'35_BCTC_Hop_nhat_Data'!I8</x:f>
        <x:v>859.3306570678023</x:v>
      </x:c>
      <x:c r="G8" s="100" t="n">
        <x:f>'35_BCTC_Hop_nhat_Data'!L8</x:f>
        <x:v>12276.02296774554</x:v>
      </x:c>
      <x:c r="H8" s="100" t="n">
        <x:f>'35_BCTC_Hop_nhat_Data'!O8</x:f>
        <x:v>10100.612478465857</x:v>
      </x:c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</x:row>
    <x:row r="10">
      <x:c r="A10" s="104" t="str">
        <x:v>Top quyết định TGĐ</x:v>
      </x:c>
      <x:c r="B10" s="104"/>
      <x:c r="C10" s="104"/>
      <x:c r="D10" s="104"/>
      <x:c r="E10" s="104"/>
      <x:c r="F10" s="104"/>
      <x:c r="G10" s="104"/>
      <x:c r="H10" s="104"/>
      <x:c r="I10" s="104"/>
      <x:c r="J10" s="104"/>
      <x:c r="K10" s="14"/>
      <x:c r="L10" s="14"/>
      <x:c r="M10" s="14"/>
      <x:c r="N10" s="14"/>
      <x:c r="O10" s="14"/>
      <x:c r="P10" s="14"/>
      <x:c r="Q10" s="14"/>
      <x:c r="R10" s="14"/>
      <x:c r="S10" s="14"/>
    </x:row>
    <x:row r="11">
      <x:c r="A11" s="91" t="str">
        <x:v>Ưu tiên</x:v>
      </x:c>
      <x:c r="B11" s="91" t="str">
        <x:v>Pháp nhân/Dự án</x:v>
      </x:c>
      <x:c r="C11" s="91" t="str">
        <x:v>Vấn đề</x:v>
      </x:c>
      <x:c r="D11" s="91" t="str">
        <x:v>Mức độ</x:v>
      </x:c>
      <x:c r="E11" s="91" t="str">
        <x:v>Chủ trì</x:v>
      </x:c>
      <x:c r="F11" s="91" t="str">
        <x:v>Hạn xử lý</x:v>
      </x:c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</x:row>
    <x:row r="12">
      <x:c r="A12" s="14" t="n">
        <x:v>1</x:v>
      </x:c>
      <x:c r="B12" s="14" t="str">
        <x:v>SPV02 / DA02</x:v>
      </x:c>
      <x:c r="C12" s="14" t="str">
        <x:v>Funding gap &amp; nghĩa vụ tài chính đất</x:v>
      </x:c>
      <x:c r="D12" s="14" t="str">
        <x:v>Rất cao</x:v>
      </x:c>
      <x:c r="E12" s="14" t="str">
        <x:v>CFO</x:v>
      </x:c>
      <x:c r="F12" s="28" t="n">
        <x:v>46254</x:v>
      </x:c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</x:row>
    <x:row r="13">
      <x:c r="A13" s="14" t="n">
        <x:v>2</x:v>
      </x:c>
      <x:c r="B13" s="14" t="str">
        <x:v>SPV01 / DA01</x:v>
      </x:c>
      <x:c r="C13" s="14" t="str">
        <x:v>Quy hoạch/đất đai trên đường găng</x:v>
      </x:c>
      <x:c r="D13" s="14" t="str">
        <x:v>Rất cao</x:v>
      </x:c>
      <x:c r="E13" s="14" t="str">
        <x:v>GĐ Phát triển</x:v>
      </x:c>
      <x:c r="F13" s="28" t="n">
        <x:v>46261</x:v>
      </x:c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</x:row>
    <x:row r="14">
      <x:c r="A14" s="14" t="n">
        <x:v>3</x:v>
      </x:c>
      <x:c r="B14" s="14" t="str">
        <x:v>SPV05 / DA05</x:v>
      </x:c>
      <x:c r="C14" s="14" t="str">
        <x:v>DSCR thấp &amp; hạn chế upstream cash</x:v>
      </x:c>
      <x:c r="D14" s="14" t="str">
        <x:v>Cao</x:v>
      </x:c>
      <x:c r="E14" s="14" t="str">
        <x:v>Treasury</x:v>
      </x:c>
      <x:c r="F14" s="28" t="n">
        <x:v>46265</x:v>
      </x:c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</x:row>
    <x:row r="15">
      <x:c r="A15" s="14" t="n">
        <x:v>4</x:v>
      </x:c>
      <x:c r="B15" s="14" t="str">
        <x:v>SPV03 / DA03</x:v>
      </x:c>
      <x:c r="C15" s="14" t="str">
        <x:v>CAPEX/EAC vượt kế hoạch</x:v>
      </x:c>
      <x:c r="D15" s="14" t="str">
        <x:v>Cao</x:v>
      </x:c>
      <x:c r="E15" s="14" t="str">
        <x:v>QLDA</x:v>
      </x:c>
      <x:c r="F15" s="28" t="n">
        <x:v>46259</x:v>
      </x:c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</x:row>
    <x:row r="16">
      <x:c r="A16" s="14" t="n">
        <x:v>5</x:v>
      </x:c>
      <x:c r="B16" s="14" t="str">
        <x:v>SPV06 / DA06</x:v>
      </x:c>
      <x:c r="C16" s="14" t="str">
        <x:v>Điều kiện M&amp;A chưa hoàn tất</x:v>
      </x:c>
      <x:c r="D16" s="14" t="str">
        <x:v>Cao</x:v>
      </x:c>
      <x:c r="E16" s="14" t="str">
        <x:v>Đầu tư</x:v>
      </x:c>
      <x:c r="F16" s="28" t="n">
        <x:v>46280</x:v>
      </x:c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</x:row>
  </x:sheetData>
  <x:mergeCells>
    <x:mergeCell ref="A1:J1"/>
    <x:mergeCell ref="A10:J10"/>
  </x:mergeCells>
  <x:pageMargins left="0.7" right="0.7" top="0.75" bottom="0.75" header="0.3" footer="0.3"/>
  <x:drawing xmlns:r="http://schemas.openxmlformats.org/officeDocument/2006/relationships" r:id="R5086b45795fc40a6"/>
</x:worksheet>
</file>

<file path=xl/worksheets/sheet4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>
      <x:c r="A1" s="113" t="str">
        <x:v>41_Actual_Theo_thang – Actual theo pháp nhân/dự án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  <x:c r="O1" s="113"/>
      <x:c r="P1" s="113"/>
      <x:c r="Q1" s="11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</x:row>
    <x:row r="3">
      <x:c r="A3" s="111" t="str">
        <x:v>Tháng</x:v>
      </x:c>
      <x:c r="B3" s="111" t="str">
        <x:v>Mã pháp nhân</x:v>
      </x:c>
      <x:c r="C3" s="111" t="str">
        <x:v>Mã dự án</x:v>
      </x:c>
      <x:c r="D3" s="111" t="str">
        <x:v>Doanh thu thực tế (tỷ)</x:v>
      </x:c>
      <x:c r="E3" s="111" t="str">
        <x:v>Thu tiền thực tế (tỷ)</x:v>
      </x:c>
      <x:c r="F3" s="111" t="str">
        <x:v>CAPEX thực tế (tỷ)</x:v>
      </x:c>
      <x:c r="G3" s="111" t="str">
        <x:v>OPEX thực tế (tỷ)</x:v>
      </x:c>
      <x:c r="H3" s="111" t="str">
        <x:v>Lãi vay thực tế (tỷ)</x:v>
      </x:c>
      <x:c r="I3" s="111" t="str">
        <x:v>Giải ngân vay (tỷ)</x:v>
      </x:c>
      <x:c r="J3" s="111" t="str">
        <x:v>Trả nợ (tỷ)</x:v>
      </x:c>
      <x:c r="K3" s="111" t="str">
        <x:v>Tiền cuối kỳ (tỷ)</x:v>
      </x:c>
      <x:c r="L3" s="111" t="str">
        <x:v>Dư nợ cuối kỳ (tỷ)</x:v>
      </x:c>
      <x:c r="M3" s="111" t="str">
        <x:v>Số sản phẩm bán</x:v>
      </x:c>
      <x:c r="N3" s="111" t="str">
        <x:v>Đạt mốc pháp lý?</x:v>
      </x:c>
      <x:c r="O3" s="111" t="str">
        <x:v>Nguồn dữ liệu</x:v>
      </x:c>
      <x:c r="P3" s="111" t="str">
        <x:v>Ngày khóa sổ</x:v>
      </x:c>
      <x:c r="Q3" s="111" t="str">
        <x:v>Ghi chú</x:v>
      </x:c>
    </x:row>
    <x:row r="4">
      <x:c r="A4" s="114" t="n">
        <x:v>46050</x:v>
      </x:c>
      <x:c r="B4" s="97" t="str">
        <x:v>SPV01</x:v>
      </x:c>
      <x:c r="C4" s="97" t="str">
        <x:v>DA01</x:v>
      </x:c>
      <x:c r="D4" s="99" t="n">
        <x:v>0</x:v>
      </x:c>
      <x:c r="E4" s="99" t="n">
        <x:v>0</x:v>
      </x:c>
      <x:c r="F4" s="99" t="n">
        <x:v>97</x:v>
      </x:c>
      <x:c r="G4" s="99" t="n">
        <x:v>4.6</x:v>
      </x:c>
      <x:c r="H4" s="99" t="n">
        <x:v>8</x:v>
      </x:c>
      <x:c r="I4" s="99" t="n">
        <x:v>84.6</x:v>
      </x:c>
      <x:c r="J4" s="99" t="n">
        <x:v>0</x:v>
      </x:c>
      <x:c r="K4" s="99" t="n">
        <x:v>140</x:v>
      </x:c>
      <x:c r="L4" s="99" t="n">
        <x:v>680</x:v>
      </x:c>
      <x:c r="M4" s="97" t="str"/>
      <x:c r="N4" s="97" t="str">
        <x:v>Không</x:v>
      </x:c>
      <x:c r="O4" s="97" t="str">
        <x:v>ERP/PMIS mẫu</x:v>
      </x:c>
      <x:c r="P4" s="97" t="n">
        <x:v>46050</x:v>
      </x:c>
      <x:c r="Q4" s="97" t="str">
        <x:v>Dữ liệu mẫu – thay bằng actual thực tế</x:v>
      </x:c>
    </x:row>
    <x:row r="5">
      <x:c r="A5" s="114" t="n">
        <x:v>46050</x:v>
      </x:c>
      <x:c r="B5" s="97" t="str">
        <x:v>SPV02</x:v>
      </x:c>
      <x:c r="C5" s="97" t="str">
        <x:v>DA02</x:v>
      </x:c>
      <x:c r="D5" s="99" t="n">
        <x:v>0</x:v>
      </x:c>
      <x:c r="E5" s="99" t="n">
        <x:v>0</x:v>
      </x:c>
      <x:c r="F5" s="99" t="n">
        <x:v>109</x:v>
      </x:c>
      <x:c r="G5" s="99" t="n">
        <x:v>5.2</x:v>
      </x:c>
      <x:c r="H5" s="99" t="n">
        <x:v>10</x:v>
      </x:c>
      <x:c r="I5" s="99" t="n">
        <x:v>99.2</x:v>
      </x:c>
      <x:c r="J5" s="99" t="n">
        <x:v>0</x:v>
      </x:c>
      <x:c r="K5" s="99" t="n">
        <x:v>160</x:v>
      </x:c>
      <x:c r="L5" s="99" t="n">
        <x:v>860</x:v>
      </x:c>
      <x:c r="M5" s="97" t="str"/>
      <x:c r="N5" s="97" t="str">
        <x:v>Không</x:v>
      </x:c>
      <x:c r="O5" s="97" t="str">
        <x:v>ERP/PMIS mẫu</x:v>
      </x:c>
      <x:c r="P5" s="97" t="n">
        <x:v>46050</x:v>
      </x:c>
      <x:c r="Q5" s="97" t="str">
        <x:v>Dữ liệu mẫu – thay bằng actual thực tế</x:v>
      </x:c>
    </x:row>
    <x:row r="6">
      <x:c r="A6" s="114" t="n">
        <x:v>46050</x:v>
      </x:c>
      <x:c r="B6" s="97" t="str">
        <x:v>SPV03</x:v>
      </x:c>
      <x:c r="C6" s="97" t="str">
        <x:v>DA03</x:v>
      </x:c>
      <x:c r="D6" s="99" t="n">
        <x:v>0</x:v>
      </x:c>
      <x:c r="E6" s="99" t="n">
        <x:v>0</x:v>
      </x:c>
      <x:c r="F6" s="99" t="n">
        <x:v>121</x:v>
      </x:c>
      <x:c r="G6" s="99" t="n">
        <x:v>5.8</x:v>
      </x:c>
      <x:c r="H6" s="99" t="n">
        <x:v>12</x:v>
      </x:c>
      <x:c r="I6" s="99" t="n">
        <x:v>113.80000000000001</x:v>
      </x:c>
      <x:c r="J6" s="99" t="n">
        <x:v>0</x:v>
      </x:c>
      <x:c r="K6" s="99" t="n">
        <x:v>180</x:v>
      </x:c>
      <x:c r="L6" s="99" t="n">
        <x:v>1040</x:v>
      </x:c>
      <x:c r="M6" s="97" t="str"/>
      <x:c r="N6" s="97" t="str">
        <x:v>Không</x:v>
      </x:c>
      <x:c r="O6" s="97" t="str">
        <x:v>ERP/PMIS mẫu</x:v>
      </x:c>
      <x:c r="P6" s="97" t="n">
        <x:v>46050</x:v>
      </x:c>
      <x:c r="Q6" s="97" t="str">
        <x:v>Dữ liệu mẫu – thay bằng actual thực tế</x:v>
      </x:c>
    </x:row>
    <x:row r="7">
      <x:c r="A7" s="114" t="n">
        <x:v>46050</x:v>
      </x:c>
      <x:c r="B7" s="97" t="str">
        <x:v>SPV04</x:v>
      </x:c>
      <x:c r="C7" s="97" t="str">
        <x:v>DA04</x:v>
      </x:c>
      <x:c r="D7" s="99" t="n">
        <x:v>0</x:v>
      </x:c>
      <x:c r="E7" s="99" t="n">
        <x:v>0</x:v>
      </x:c>
      <x:c r="F7" s="99" t="n">
        <x:v>133</x:v>
      </x:c>
      <x:c r="G7" s="99" t="n">
        <x:v>6.4</x:v>
      </x:c>
      <x:c r="H7" s="99" t="n">
        <x:v>14</x:v>
      </x:c>
      <x:c r="I7" s="99" t="n">
        <x:v>128.4</x:v>
      </x:c>
      <x:c r="J7" s="99" t="n">
        <x:v>0</x:v>
      </x:c>
      <x:c r="K7" s="99" t="n">
        <x:v>200</x:v>
      </x:c>
      <x:c r="L7" s="99" t="n">
        <x:v>1220</x:v>
      </x:c>
      <x:c r="M7" s="97" t="str"/>
      <x:c r="N7" s="97" t="str">
        <x:v>Không</x:v>
      </x:c>
      <x:c r="O7" s="97" t="str">
        <x:v>ERP/PMIS mẫu</x:v>
      </x:c>
      <x:c r="P7" s="97" t="n">
        <x:v>46050</x:v>
      </x:c>
      <x:c r="Q7" s="97" t="str">
        <x:v>Dữ liệu mẫu – thay bằng actual thực tế</x:v>
      </x:c>
    </x:row>
    <x:row r="8">
      <x:c r="A8" s="114" t="n">
        <x:v>46050</x:v>
      </x:c>
      <x:c r="B8" s="97" t="str">
        <x:v>SPV05</x:v>
      </x:c>
      <x:c r="C8" s="97" t="str">
        <x:v>DA05</x:v>
      </x:c>
      <x:c r="D8" s="99" t="n">
        <x:v>0</x:v>
      </x:c>
      <x:c r="E8" s="99" t="n">
        <x:v>0</x:v>
      </x:c>
      <x:c r="F8" s="99" t="n">
        <x:v>145</x:v>
      </x:c>
      <x:c r="G8" s="99" t="n">
        <x:v>7</x:v>
      </x:c>
      <x:c r="H8" s="99" t="n">
        <x:v>16</x:v>
      </x:c>
      <x:c r="I8" s="99" t="n">
        <x:v>143</x:v>
      </x:c>
      <x:c r="J8" s="99" t="n">
        <x:v>0</x:v>
      </x:c>
      <x:c r="K8" s="99" t="n">
        <x:v>220</x:v>
      </x:c>
      <x:c r="L8" s="99" t="n">
        <x:v>1400</x:v>
      </x:c>
      <x:c r="M8" s="97" t="str"/>
      <x:c r="N8" s="97" t="str">
        <x:v>Không</x:v>
      </x:c>
      <x:c r="O8" s="97" t="str">
        <x:v>ERP/PMIS mẫu</x:v>
      </x:c>
      <x:c r="P8" s="97" t="n">
        <x:v>46050</x:v>
      </x:c>
      <x:c r="Q8" s="97" t="str">
        <x:v>Dữ liệu mẫu – thay bằng actual thực tế</x:v>
      </x:c>
    </x:row>
    <x:row r="9">
      <x:c r="A9" s="114" t="n">
        <x:v>46081</x:v>
      </x:c>
      <x:c r="B9" s="97" t="str">
        <x:v>SPV01</x:v>
      </x:c>
      <x:c r="C9" s="97" t="str">
        <x:v>DA01</x:v>
      </x:c>
      <x:c r="D9" s="99" t="n">
        <x:v>0</x:v>
      </x:c>
      <x:c r="E9" s="99" t="n">
        <x:v>0</x:v>
      </x:c>
      <x:c r="F9" s="99" t="n">
        <x:v>102</x:v>
      </x:c>
      <x:c r="G9" s="99" t="n">
        <x:v>4.6</x:v>
      </x:c>
      <x:c r="H9" s="99" t="n">
        <x:v>8</x:v>
      </x:c>
      <x:c r="I9" s="99" t="n">
        <x:v>89.6</x:v>
      </x:c>
      <x:c r="J9" s="99" t="n">
        <x:v>0</x:v>
      </x:c>
      <x:c r="K9" s="99" t="n">
        <x:v>140</x:v>
      </x:c>
      <x:c r="L9" s="99" t="n">
        <x:v>680</x:v>
      </x:c>
      <x:c r="M9" s="97" t="str"/>
      <x:c r="N9" s="97" t="str">
        <x:v>Không</x:v>
      </x:c>
      <x:c r="O9" s="97" t="str">
        <x:v>ERP/PMIS mẫu</x:v>
      </x:c>
      <x:c r="P9" s="97" t="n">
        <x:v>46081</x:v>
      </x:c>
      <x:c r="Q9" s="97" t="str">
        <x:v>Dữ liệu mẫu – thay bằng actual thực tế</x:v>
      </x:c>
    </x:row>
    <x:row r="10">
      <x:c r="A10" s="114" t="n">
        <x:v>46081</x:v>
      </x:c>
      <x:c r="B10" s="97" t="str">
        <x:v>SPV02</x:v>
      </x:c>
      <x:c r="C10" s="97" t="str">
        <x:v>DA02</x:v>
      </x:c>
      <x:c r="D10" s="99" t="n">
        <x:v>0</x:v>
      </x:c>
      <x:c r="E10" s="99" t="n">
        <x:v>0</x:v>
      </x:c>
      <x:c r="F10" s="99" t="n">
        <x:v>114</x:v>
      </x:c>
      <x:c r="G10" s="99" t="n">
        <x:v>5.2</x:v>
      </x:c>
      <x:c r="H10" s="99" t="n">
        <x:v>10</x:v>
      </x:c>
      <x:c r="I10" s="99" t="n">
        <x:v>104.19999999999999</x:v>
      </x:c>
      <x:c r="J10" s="99" t="n">
        <x:v>0</x:v>
      </x:c>
      <x:c r="K10" s="99" t="n">
        <x:v>160</x:v>
      </x:c>
      <x:c r="L10" s="99" t="n">
        <x:v>860</x:v>
      </x:c>
      <x:c r="M10" s="97" t="str"/>
      <x:c r="N10" s="97" t="str">
        <x:v>Không</x:v>
      </x:c>
      <x:c r="O10" s="97" t="str">
        <x:v>ERP/PMIS mẫu</x:v>
      </x:c>
      <x:c r="P10" s="97" t="n">
        <x:v>46081</x:v>
      </x:c>
      <x:c r="Q10" s="97" t="str">
        <x:v>Dữ liệu mẫu – thay bằng actual thực tế</x:v>
      </x:c>
    </x:row>
    <x:row r="11">
      <x:c r="A11" s="114" t="n">
        <x:v>46081</x:v>
      </x:c>
      <x:c r="B11" s="97" t="str">
        <x:v>SPV03</x:v>
      </x:c>
      <x:c r="C11" s="97" t="str">
        <x:v>DA03</x:v>
      </x:c>
      <x:c r="D11" s="99" t="n">
        <x:v>0</x:v>
      </x:c>
      <x:c r="E11" s="99" t="n">
        <x:v>0</x:v>
      </x:c>
      <x:c r="F11" s="99" t="n">
        <x:v>126</x:v>
      </x:c>
      <x:c r="G11" s="99" t="n">
        <x:v>5.8</x:v>
      </x:c>
      <x:c r="H11" s="99" t="n">
        <x:v>12</x:v>
      </x:c>
      <x:c r="I11" s="99" t="n">
        <x:v>118.80000000000001</x:v>
      </x:c>
      <x:c r="J11" s="99" t="n">
        <x:v>0</x:v>
      </x:c>
      <x:c r="K11" s="99" t="n">
        <x:v>180</x:v>
      </x:c>
      <x:c r="L11" s="99" t="n">
        <x:v>1040</x:v>
      </x:c>
      <x:c r="M11" s="97" t="str"/>
      <x:c r="N11" s="97" t="str">
        <x:v>Không</x:v>
      </x:c>
      <x:c r="O11" s="97" t="str">
        <x:v>ERP/PMIS mẫu</x:v>
      </x:c>
      <x:c r="P11" s="97" t="n">
        <x:v>46081</x:v>
      </x:c>
      <x:c r="Q11" s="97" t="str">
        <x:v>Dữ liệu mẫu – thay bằng actual thực tế</x:v>
      </x:c>
    </x:row>
    <x:row r="12">
      <x:c r="A12" s="114" t="n">
        <x:v>46081</x:v>
      </x:c>
      <x:c r="B12" s="97" t="str">
        <x:v>SPV04</x:v>
      </x:c>
      <x:c r="C12" s="97" t="str">
        <x:v>DA04</x:v>
      </x:c>
      <x:c r="D12" s="99" t="n">
        <x:v>0</x:v>
      </x:c>
      <x:c r="E12" s="99" t="n">
        <x:v>0</x:v>
      </x:c>
      <x:c r="F12" s="99" t="n">
        <x:v>138</x:v>
      </x:c>
      <x:c r="G12" s="99" t="n">
        <x:v>6.4</x:v>
      </x:c>
      <x:c r="H12" s="99" t="n">
        <x:v>14</x:v>
      </x:c>
      <x:c r="I12" s="99" t="n">
        <x:v>133.4</x:v>
      </x:c>
      <x:c r="J12" s="99" t="n">
        <x:v>0</x:v>
      </x:c>
      <x:c r="K12" s="99" t="n">
        <x:v>200</x:v>
      </x:c>
      <x:c r="L12" s="99" t="n">
        <x:v>1220</x:v>
      </x:c>
      <x:c r="M12" s="97" t="str"/>
      <x:c r="N12" s="97" t="str">
        <x:v>Không</x:v>
      </x:c>
      <x:c r="O12" s="97" t="str">
        <x:v>ERP/PMIS mẫu</x:v>
      </x:c>
      <x:c r="P12" s="97" t="n">
        <x:v>46081</x:v>
      </x:c>
      <x:c r="Q12" s="97" t="str">
        <x:v>Dữ liệu mẫu – thay bằng actual thực tế</x:v>
      </x:c>
    </x:row>
    <x:row r="13">
      <x:c r="A13" s="114" t="n">
        <x:v>46081</x:v>
      </x:c>
      <x:c r="B13" s="97" t="str">
        <x:v>SPV05</x:v>
      </x:c>
      <x:c r="C13" s="97" t="str">
        <x:v>DA05</x:v>
      </x:c>
      <x:c r="D13" s="99" t="n">
        <x:v>0</x:v>
      </x:c>
      <x:c r="E13" s="99" t="n">
        <x:v>0</x:v>
      </x:c>
      <x:c r="F13" s="99" t="n">
        <x:v>150</x:v>
      </x:c>
      <x:c r="G13" s="99" t="n">
        <x:v>7</x:v>
      </x:c>
      <x:c r="H13" s="99" t="n">
        <x:v>16</x:v>
      </x:c>
      <x:c r="I13" s="99" t="n">
        <x:v>148</x:v>
      </x:c>
      <x:c r="J13" s="99" t="n">
        <x:v>0</x:v>
      </x:c>
      <x:c r="K13" s="99" t="n">
        <x:v>220</x:v>
      </x:c>
      <x:c r="L13" s="99" t="n">
        <x:v>1400</x:v>
      </x:c>
      <x:c r="M13" s="97" t="str"/>
      <x:c r="N13" s="97" t="str">
        <x:v>Không</x:v>
      </x:c>
      <x:c r="O13" s="97" t="str">
        <x:v>ERP/PMIS mẫu</x:v>
      </x:c>
      <x:c r="P13" s="97" t="n">
        <x:v>46081</x:v>
      </x:c>
      <x:c r="Q13" s="97" t="str">
        <x:v>Dữ liệu mẫu – thay bằng actual thực tế</x:v>
      </x:c>
    </x:row>
    <x:row r="14">
      <x:c r="A14" s="114" t="n">
        <x:v>46109</x:v>
      </x:c>
      <x:c r="B14" s="97" t="str">
        <x:v>SPV01</x:v>
      </x:c>
      <x:c r="C14" s="97" t="str">
        <x:v>DA01</x:v>
      </x:c>
      <x:c r="D14" s="99" t="n">
        <x:v>0</x:v>
      </x:c>
      <x:c r="E14" s="99" t="n">
        <x:v>0</x:v>
      </x:c>
      <x:c r="F14" s="99" t="n">
        <x:v>107</x:v>
      </x:c>
      <x:c r="G14" s="99" t="n">
        <x:v>4.6</x:v>
      </x:c>
      <x:c r="H14" s="99" t="n">
        <x:v>8</x:v>
      </x:c>
      <x:c r="I14" s="99" t="n">
        <x:v>94.6</x:v>
      </x:c>
      <x:c r="J14" s="99" t="n">
        <x:v>0</x:v>
      </x:c>
      <x:c r="K14" s="99" t="n">
        <x:v>140</x:v>
      </x:c>
      <x:c r="L14" s="99" t="n">
        <x:v>680</x:v>
      </x:c>
      <x:c r="M14" s="97" t="str"/>
      <x:c r="N14" s="97" t="str">
        <x:v>Không</x:v>
      </x:c>
      <x:c r="O14" s="97" t="str">
        <x:v>ERP/PMIS mẫu</x:v>
      </x:c>
      <x:c r="P14" s="97" t="n">
        <x:v>46109</x:v>
      </x:c>
      <x:c r="Q14" s="97" t="str">
        <x:v>Dữ liệu mẫu – thay bằng actual thực tế</x:v>
      </x:c>
    </x:row>
    <x:row r="15">
      <x:c r="A15" s="114" t="n">
        <x:v>46109</x:v>
      </x:c>
      <x:c r="B15" s="97" t="str">
        <x:v>SPV02</x:v>
      </x:c>
      <x:c r="C15" s="97" t="str">
        <x:v>DA02</x:v>
      </x:c>
      <x:c r="D15" s="99" t="n">
        <x:v>0</x:v>
      </x:c>
      <x:c r="E15" s="99" t="n">
        <x:v>0</x:v>
      </x:c>
      <x:c r="F15" s="99" t="n">
        <x:v>119</x:v>
      </x:c>
      <x:c r="G15" s="99" t="n">
        <x:v>5.2</x:v>
      </x:c>
      <x:c r="H15" s="99" t="n">
        <x:v>10</x:v>
      </x:c>
      <x:c r="I15" s="99" t="n">
        <x:v>109.19999999999999</x:v>
      </x:c>
      <x:c r="J15" s="99" t="n">
        <x:v>0</x:v>
      </x:c>
      <x:c r="K15" s="99" t="n">
        <x:v>160</x:v>
      </x:c>
      <x:c r="L15" s="99" t="n">
        <x:v>860</x:v>
      </x:c>
      <x:c r="M15" s="97" t="str"/>
      <x:c r="N15" s="97" t="str">
        <x:v>Không</x:v>
      </x:c>
      <x:c r="O15" s="97" t="str">
        <x:v>ERP/PMIS mẫu</x:v>
      </x:c>
      <x:c r="P15" s="97" t="n">
        <x:v>46109</x:v>
      </x:c>
      <x:c r="Q15" s="97" t="str">
        <x:v>Dữ liệu mẫu – thay bằng actual thực tế</x:v>
      </x:c>
    </x:row>
    <x:row r="16">
      <x:c r="A16" s="114" t="n">
        <x:v>46109</x:v>
      </x:c>
      <x:c r="B16" s="97" t="str">
        <x:v>SPV03</x:v>
      </x:c>
      <x:c r="C16" s="97" t="str">
        <x:v>DA03</x:v>
      </x:c>
      <x:c r="D16" s="99" t="n">
        <x:v>105</x:v>
      </x:c>
      <x:c r="E16" s="99" t="n">
        <x:v>86.1</x:v>
      </x:c>
      <x:c r="F16" s="99" t="n">
        <x:v>131</x:v>
      </x:c>
      <x:c r="G16" s="99" t="n">
        <x:v>5.8</x:v>
      </x:c>
      <x:c r="H16" s="99" t="n">
        <x:v>12</x:v>
      </x:c>
      <x:c r="I16" s="99" t="n">
        <x:v>37.70000000000002</x:v>
      </x:c>
      <x:c r="J16" s="99" t="n">
        <x:v>0</x:v>
      </x:c>
      <x:c r="K16" s="99" t="n">
        <x:v>180</x:v>
      </x:c>
      <x:c r="L16" s="99" t="n">
        <x:v>1040</x:v>
      </x:c>
      <x:c r="M16" s="97" t="str"/>
      <x:c r="N16" s="97" t="str">
        <x:v>Không</x:v>
      </x:c>
      <x:c r="O16" s="97" t="str">
        <x:v>ERP/PMIS mẫu</x:v>
      </x:c>
      <x:c r="P16" s="97" t="n">
        <x:v>46109</x:v>
      </x:c>
      <x:c r="Q16" s="97" t="str">
        <x:v>Dữ liệu mẫu – thay bằng actual thực tế</x:v>
      </x:c>
    </x:row>
    <x:row r="17">
      <x:c r="A17" s="114" t="n">
        <x:v>46109</x:v>
      </x:c>
      <x:c r="B17" s="97" t="str">
        <x:v>SPV04</x:v>
      </x:c>
      <x:c r="C17" s="97" t="str">
        <x:v>DA04</x:v>
      </x:c>
      <x:c r="D17" s="99" t="n">
        <x:v>140</x:v>
      </x:c>
      <x:c r="E17" s="99" t="n">
        <x:v>114.8</x:v>
      </x:c>
      <x:c r="F17" s="99" t="n">
        <x:v>143</x:v>
      </x:c>
      <x:c r="G17" s="99" t="n">
        <x:v>6.4</x:v>
      </x:c>
      <x:c r="H17" s="99" t="n">
        <x:v>14</x:v>
      </x:c>
      <x:c r="I17" s="99" t="n">
        <x:v>23.60000000000001</x:v>
      </x:c>
      <x:c r="J17" s="99" t="n">
        <x:v>20</x:v>
      </x:c>
      <x:c r="K17" s="99" t="n">
        <x:v>200</x:v>
      </x:c>
      <x:c r="L17" s="99" t="n">
        <x:v>1220</x:v>
      </x:c>
      <x:c r="M17" s="97" t="str"/>
      <x:c r="N17" s="97" t="str">
        <x:v>Không</x:v>
      </x:c>
      <x:c r="O17" s="97" t="str">
        <x:v>ERP/PMIS mẫu</x:v>
      </x:c>
      <x:c r="P17" s="97" t="n">
        <x:v>46109</x:v>
      </x:c>
      <x:c r="Q17" s="97" t="str">
        <x:v>Dữ liệu mẫu – thay bằng actual thực tế</x:v>
      </x:c>
    </x:row>
    <x:row r="18">
      <x:c r="A18" s="114" t="n">
        <x:v>46109</x:v>
      </x:c>
      <x:c r="B18" s="97" t="str">
        <x:v>SPV05</x:v>
      </x:c>
      <x:c r="C18" s="97" t="str">
        <x:v>DA05</x:v>
      </x:c>
      <x:c r="D18" s="99" t="n">
        <x:v>175</x:v>
      </x:c>
      <x:c r="E18" s="99" t="n">
        <x:v>143.5</x:v>
      </x:c>
      <x:c r="F18" s="99" t="n">
        <x:v>155</x:v>
      </x:c>
      <x:c r="G18" s="99" t="n">
        <x:v>7</x:v>
      </x:c>
      <x:c r="H18" s="99" t="n">
        <x:v>16</x:v>
      </x:c>
      <x:c r="I18" s="99" t="n">
        <x:v>9.5</x:v>
      </x:c>
      <x:c r="J18" s="99" t="n">
        <x:v>20</x:v>
      </x:c>
      <x:c r="K18" s="99" t="n">
        <x:v>220</x:v>
      </x:c>
      <x:c r="L18" s="99" t="n">
        <x:v>1400</x:v>
      </x:c>
      <x:c r="M18" s="97" t="str"/>
      <x:c r="N18" s="97" t="str">
        <x:v>Không</x:v>
      </x:c>
      <x:c r="O18" s="97" t="str">
        <x:v>ERP/PMIS mẫu</x:v>
      </x:c>
      <x:c r="P18" s="97" t="n">
        <x:v>46109</x:v>
      </x:c>
      <x:c r="Q18" s="97" t="str">
        <x:v>Dữ liệu mẫu – thay bằng actual thực tế</x:v>
      </x:c>
    </x:row>
    <x:row r="19">
      <x:c r="A19" s="114" t="n">
        <x:v>46140</x:v>
      </x:c>
      <x:c r="B19" s="97" t="str">
        <x:v>SPV01</x:v>
      </x:c>
      <x:c r="C19" s="97" t="str">
        <x:v>DA01</x:v>
      </x:c>
      <x:c r="D19" s="99" t="n">
        <x:v>0</x:v>
      </x:c>
      <x:c r="E19" s="99" t="n">
        <x:v>0</x:v>
      </x:c>
      <x:c r="F19" s="99" t="n">
        <x:v>112</x:v>
      </x:c>
      <x:c r="G19" s="99" t="n">
        <x:v>4.6</x:v>
      </x:c>
      <x:c r="H19" s="99" t="n">
        <x:v>8</x:v>
      </x:c>
      <x:c r="I19" s="99" t="n">
        <x:v>99.6</x:v>
      </x:c>
      <x:c r="J19" s="99" t="n">
        <x:v>0</x:v>
      </x:c>
      <x:c r="K19" s="99" t="n">
        <x:v>140</x:v>
      </x:c>
      <x:c r="L19" s="99" t="n">
        <x:v>680</x:v>
      </x:c>
      <x:c r="M19" s="97" t="str"/>
      <x:c r="N19" s="97" t="str">
        <x:v>Không</x:v>
      </x:c>
      <x:c r="O19" s="97" t="str">
        <x:v>ERP/PMIS mẫu</x:v>
      </x:c>
      <x:c r="P19" s="97" t="n">
        <x:v>46140</x:v>
      </x:c>
      <x:c r="Q19" s="97" t="str">
        <x:v>Dữ liệu mẫu – thay bằng actual thực tế</x:v>
      </x:c>
    </x:row>
    <x:row r="20">
      <x:c r="A20" s="114" t="n">
        <x:v>46140</x:v>
      </x:c>
      <x:c r="B20" s="97" t="str">
        <x:v>SPV02</x:v>
      </x:c>
      <x:c r="C20" s="97" t="str">
        <x:v>DA02</x:v>
      </x:c>
      <x:c r="D20" s="99" t="n">
        <x:v>0</x:v>
      </x:c>
      <x:c r="E20" s="99" t="n">
        <x:v>0</x:v>
      </x:c>
      <x:c r="F20" s="99" t="n">
        <x:v>124</x:v>
      </x:c>
      <x:c r="G20" s="99" t="n">
        <x:v>5.2</x:v>
      </x:c>
      <x:c r="H20" s="99" t="n">
        <x:v>10</x:v>
      </x:c>
      <x:c r="I20" s="99" t="n">
        <x:v>114.19999999999999</x:v>
      </x:c>
      <x:c r="J20" s="99" t="n">
        <x:v>0</x:v>
      </x:c>
      <x:c r="K20" s="99" t="n">
        <x:v>160</x:v>
      </x:c>
      <x:c r="L20" s="99" t="n">
        <x:v>860</x:v>
      </x:c>
      <x:c r="M20" s="97" t="str"/>
      <x:c r="N20" s="97" t="str">
        <x:v>Không</x:v>
      </x:c>
      <x:c r="O20" s="97" t="str">
        <x:v>ERP/PMIS mẫu</x:v>
      </x:c>
      <x:c r="P20" s="97" t="n">
        <x:v>46140</x:v>
      </x:c>
      <x:c r="Q20" s="97" t="str">
        <x:v>Dữ liệu mẫu – thay bằng actual thực tế</x:v>
      </x:c>
    </x:row>
    <x:row r="21">
      <x:c r="A21" s="114" t="n">
        <x:v>46140</x:v>
      </x:c>
      <x:c r="B21" s="97" t="str">
        <x:v>SPV03</x:v>
      </x:c>
      <x:c r="C21" s="97" t="str">
        <x:v>DA03</x:v>
      </x:c>
      <x:c r="D21" s="99" t="n">
        <x:v>210</x:v>
      </x:c>
      <x:c r="E21" s="99" t="n">
        <x:v>172.2</x:v>
      </x:c>
      <x:c r="F21" s="99" t="n">
        <x:v>136</x:v>
      </x:c>
      <x:c r="G21" s="99" t="n">
        <x:v>5.8</x:v>
      </x:c>
      <x:c r="H21" s="99" t="n">
        <x:v>12</x:v>
      </x:c>
      <x:c r="I21" s="99" t="n">
        <x:v>0</x:v>
      </x:c>
      <x:c r="J21" s="99" t="n">
        <x:v>20</x:v>
      </x:c>
      <x:c r="K21" s="99" t="n">
        <x:v>180</x:v>
      </x:c>
      <x:c r="L21" s="99" t="n">
        <x:v>1040</x:v>
      </x:c>
      <x:c r="M21" s="97" t="str"/>
      <x:c r="N21" s="97" t="str">
        <x:v>Có</x:v>
      </x:c>
      <x:c r="O21" s="97" t="str">
        <x:v>ERP/PMIS mẫu</x:v>
      </x:c>
      <x:c r="P21" s="97" t="n">
        <x:v>46140</x:v>
      </x:c>
      <x:c r="Q21" s="97" t="str">
        <x:v>Dữ liệu mẫu – thay bằng actual thực tế</x:v>
      </x:c>
    </x:row>
    <x:row r="22">
      <x:c r="A22" s="114" t="n">
        <x:v>46140</x:v>
      </x:c>
      <x:c r="B22" s="97" t="str">
        <x:v>SPV04</x:v>
      </x:c>
      <x:c r="C22" s="97" t="str">
        <x:v>DA04</x:v>
      </x:c>
      <x:c r="D22" s="99" t="n">
        <x:v>280</x:v>
      </x:c>
      <x:c r="E22" s="99" t="n">
        <x:v>229.6</x:v>
      </x:c>
      <x:c r="F22" s="99" t="n">
        <x:v>148</x:v>
      </x:c>
      <x:c r="G22" s="99" t="n">
        <x:v>6.4</x:v>
      </x:c>
      <x:c r="H22" s="99" t="n">
        <x:v>14</x:v>
      </x:c>
      <x:c r="I22" s="99" t="n">
        <x:v>0</x:v>
      </x:c>
      <x:c r="J22" s="99" t="n">
        <x:v>20</x:v>
      </x:c>
      <x:c r="K22" s="99" t="n">
        <x:v>200</x:v>
      </x:c>
      <x:c r="L22" s="99" t="n">
        <x:v>1220</x:v>
      </x:c>
      <x:c r="M22" s="97" t="str"/>
      <x:c r="N22" s="97" t="str">
        <x:v>Có</x:v>
      </x:c>
      <x:c r="O22" s="97" t="str">
        <x:v>ERP/PMIS mẫu</x:v>
      </x:c>
      <x:c r="P22" s="97" t="n">
        <x:v>46140</x:v>
      </x:c>
      <x:c r="Q22" s="97" t="str">
        <x:v>Dữ liệu mẫu – thay bằng actual thực tế</x:v>
      </x:c>
    </x:row>
    <x:row r="23">
      <x:c r="A23" s="114" t="n">
        <x:v>46140</x:v>
      </x:c>
      <x:c r="B23" s="97" t="str">
        <x:v>SPV05</x:v>
      </x:c>
      <x:c r="C23" s="97" t="str">
        <x:v>DA05</x:v>
      </x:c>
      <x:c r="D23" s="99" t="n">
        <x:v>350</x:v>
      </x:c>
      <x:c r="E23" s="99" t="n">
        <x:v>287</x:v>
      </x:c>
      <x:c r="F23" s="99" t="n">
        <x:v>160</x:v>
      </x:c>
      <x:c r="G23" s="99" t="n">
        <x:v>7</x:v>
      </x:c>
      <x:c r="H23" s="99" t="n">
        <x:v>16</x:v>
      </x:c>
      <x:c r="I23" s="99" t="n">
        <x:v>0</x:v>
      </x:c>
      <x:c r="J23" s="99" t="n">
        <x:v>20</x:v>
      </x:c>
      <x:c r="K23" s="99" t="n">
        <x:v>220</x:v>
      </x:c>
      <x:c r="L23" s="99" t="n">
        <x:v>1400</x:v>
      </x:c>
      <x:c r="M23" s="97" t="str"/>
      <x:c r="N23" s="97" t="str">
        <x:v>Có</x:v>
      </x:c>
      <x:c r="O23" s="97" t="str">
        <x:v>ERP/PMIS mẫu</x:v>
      </x:c>
      <x:c r="P23" s="97" t="n">
        <x:v>46140</x:v>
      </x:c>
      <x:c r="Q23" s="97" t="str">
        <x:v>Dữ liệu mẫu – thay bằng actual thực tế</x:v>
      </x:c>
    </x:row>
    <x:row r="24">
      <x:c r="A24" s="114" t="n">
        <x:v>46170</x:v>
      </x:c>
      <x:c r="B24" s="97" t="str">
        <x:v>SPV01</x:v>
      </x:c>
      <x:c r="C24" s="97" t="str">
        <x:v>DA01</x:v>
      </x:c>
      <x:c r="D24" s="99" t="n">
        <x:v>0</x:v>
      </x:c>
      <x:c r="E24" s="99" t="n">
        <x:v>0</x:v>
      </x:c>
      <x:c r="F24" s="99" t="n">
        <x:v>117</x:v>
      </x:c>
      <x:c r="G24" s="99" t="n">
        <x:v>4.6</x:v>
      </x:c>
      <x:c r="H24" s="99" t="n">
        <x:v>8</x:v>
      </x:c>
      <x:c r="I24" s="99" t="n">
        <x:v>104.6</x:v>
      </x:c>
      <x:c r="J24" s="99" t="n">
        <x:v>0</x:v>
      </x:c>
      <x:c r="K24" s="99" t="n">
        <x:v>140</x:v>
      </x:c>
      <x:c r="L24" s="99" t="n">
        <x:v>680</x:v>
      </x:c>
      <x:c r="M24" s="97" t="str"/>
      <x:c r="N24" s="97" t="str">
        <x:v>Không</x:v>
      </x:c>
      <x:c r="O24" s="97" t="str">
        <x:v>ERP/PMIS mẫu</x:v>
      </x:c>
      <x:c r="P24" s="97" t="n">
        <x:v>46170</x:v>
      </x:c>
      <x:c r="Q24" s="97" t="str">
        <x:v>Dữ liệu mẫu – thay bằng actual thực tế</x:v>
      </x:c>
    </x:row>
    <x:row r="25">
      <x:c r="A25" s="114" t="n">
        <x:v>46170</x:v>
      </x:c>
      <x:c r="B25" s="97" t="str">
        <x:v>SPV02</x:v>
      </x:c>
      <x:c r="C25" s="97" t="str">
        <x:v>DA02</x:v>
      </x:c>
      <x:c r="D25" s="99" t="n">
        <x:v>0</x:v>
      </x:c>
      <x:c r="E25" s="99" t="n">
        <x:v>0</x:v>
      </x:c>
      <x:c r="F25" s="99" t="n">
        <x:v>129</x:v>
      </x:c>
      <x:c r="G25" s="99" t="n">
        <x:v>5.2</x:v>
      </x:c>
      <x:c r="H25" s="99" t="n">
        <x:v>10</x:v>
      </x:c>
      <x:c r="I25" s="99" t="n">
        <x:v>119.19999999999999</x:v>
      </x:c>
      <x:c r="J25" s="99" t="n">
        <x:v>0</x:v>
      </x:c>
      <x:c r="K25" s="99" t="n">
        <x:v>160</x:v>
      </x:c>
      <x:c r="L25" s="99" t="n">
        <x:v>860</x:v>
      </x:c>
      <x:c r="M25" s="97" t="str"/>
      <x:c r="N25" s="97" t="str">
        <x:v>Không</x:v>
      </x:c>
      <x:c r="O25" s="97" t="str">
        <x:v>ERP/PMIS mẫu</x:v>
      </x:c>
      <x:c r="P25" s="97" t="n">
        <x:v>46170</x:v>
      </x:c>
      <x:c r="Q25" s="97" t="str">
        <x:v>Dữ liệu mẫu – thay bằng actual thực tế</x:v>
      </x:c>
    </x:row>
    <x:row r="26">
      <x:c r="A26" s="114" t="n">
        <x:v>46170</x:v>
      </x:c>
      <x:c r="B26" s="97" t="str">
        <x:v>SPV03</x:v>
      </x:c>
      <x:c r="C26" s="97" t="str">
        <x:v>DA03</x:v>
      </x:c>
      <x:c r="D26" s="99" t="n">
        <x:v>315</x:v>
      </x:c>
      <x:c r="E26" s="99" t="n">
        <x:v>258.3</x:v>
      </x:c>
      <x:c r="F26" s="99" t="n">
        <x:v>141</x:v>
      </x:c>
      <x:c r="G26" s="99" t="n">
        <x:v>5.8</x:v>
      </x:c>
      <x:c r="H26" s="99" t="n">
        <x:v>12</x:v>
      </x:c>
      <x:c r="I26" s="99" t="n">
        <x:v>0</x:v>
      </x:c>
      <x:c r="J26" s="99" t="n">
        <x:v>20</x:v>
      </x:c>
      <x:c r="K26" s="99" t="n">
        <x:v>180</x:v>
      </x:c>
      <x:c r="L26" s="99" t="n">
        <x:v>1040</x:v>
      </x:c>
      <x:c r="M26" s="97" t="str"/>
      <x:c r="N26" s="97" t="str">
        <x:v>Có</x:v>
      </x:c>
      <x:c r="O26" s="97" t="str">
        <x:v>ERP/PMIS mẫu</x:v>
      </x:c>
      <x:c r="P26" s="97" t="n">
        <x:v>46170</x:v>
      </x:c>
      <x:c r="Q26" s="97" t="str">
        <x:v>Dữ liệu mẫu – thay bằng actual thực tế</x:v>
      </x:c>
    </x:row>
    <x:row r="27">
      <x:c r="A27" s="114" t="n">
        <x:v>46170</x:v>
      </x:c>
      <x:c r="B27" s="97" t="str">
        <x:v>SPV04</x:v>
      </x:c>
      <x:c r="C27" s="97" t="str">
        <x:v>DA04</x:v>
      </x:c>
      <x:c r="D27" s="99" t="n">
        <x:v>420</x:v>
      </x:c>
      <x:c r="E27" s="99" t="n">
        <x:v>344.4</x:v>
      </x:c>
      <x:c r="F27" s="99" t="n">
        <x:v>153</x:v>
      </x:c>
      <x:c r="G27" s="99" t="n">
        <x:v>6.4</x:v>
      </x:c>
      <x:c r="H27" s="99" t="n">
        <x:v>14</x:v>
      </x:c>
      <x:c r="I27" s="99" t="n">
        <x:v>0</x:v>
      </x:c>
      <x:c r="J27" s="99" t="n">
        <x:v>20</x:v>
      </x:c>
      <x:c r="K27" s="99" t="n">
        <x:v>200</x:v>
      </x:c>
      <x:c r="L27" s="99" t="n">
        <x:v>1220</x:v>
      </x:c>
      <x:c r="M27" s="97" t="str"/>
      <x:c r="N27" s="97" t="str">
        <x:v>Có</x:v>
      </x:c>
      <x:c r="O27" s="97" t="str">
        <x:v>ERP/PMIS mẫu</x:v>
      </x:c>
      <x:c r="P27" s="97" t="n">
        <x:v>46170</x:v>
      </x:c>
      <x:c r="Q27" s="97" t="str">
        <x:v>Dữ liệu mẫu – thay bằng actual thực tế</x:v>
      </x:c>
    </x:row>
    <x:row r="28">
      <x:c r="A28" s="114" t="n">
        <x:v>46170</x:v>
      </x:c>
      <x:c r="B28" s="97" t="str">
        <x:v>SPV05</x:v>
      </x:c>
      <x:c r="C28" s="97" t="str">
        <x:v>DA05</x:v>
      </x:c>
      <x:c r="D28" s="99" t="n">
        <x:v>525</x:v>
      </x:c>
      <x:c r="E28" s="99" t="n">
        <x:v>430.5</x:v>
      </x:c>
      <x:c r="F28" s="99" t="n">
        <x:v>165</x:v>
      </x:c>
      <x:c r="G28" s="99" t="n">
        <x:v>7</x:v>
      </x:c>
      <x:c r="H28" s="99" t="n">
        <x:v>16</x:v>
      </x:c>
      <x:c r="I28" s="99" t="n">
        <x:v>0</x:v>
      </x:c>
      <x:c r="J28" s="99" t="n">
        <x:v>20</x:v>
      </x:c>
      <x:c r="K28" s="99" t="n">
        <x:v>220</x:v>
      </x:c>
      <x:c r="L28" s="99" t="n">
        <x:v>1400</x:v>
      </x:c>
      <x:c r="M28" s="97" t="str"/>
      <x:c r="N28" s="97" t="str">
        <x:v>Có</x:v>
      </x:c>
      <x:c r="O28" s="97" t="str">
        <x:v>ERP/PMIS mẫu</x:v>
      </x:c>
      <x:c r="P28" s="97" t="n">
        <x:v>46170</x:v>
      </x:c>
      <x:c r="Q28" s="97" t="str">
        <x:v>Dữ liệu mẫu – thay bằng actual thực tế</x:v>
      </x:c>
    </x:row>
    <x:row r="29">
      <x:c r="A29" s="114" t="n">
        <x:v>46201</x:v>
      </x:c>
      <x:c r="B29" s="97" t="str">
        <x:v>SPV01</x:v>
      </x:c>
      <x:c r="C29" s="97" t="str">
        <x:v>DA01</x:v>
      </x:c>
      <x:c r="D29" s="99" t="n">
        <x:v>0</x:v>
      </x:c>
      <x:c r="E29" s="99" t="n">
        <x:v>0</x:v>
      </x:c>
      <x:c r="F29" s="99" t="n">
        <x:v>122</x:v>
      </x:c>
      <x:c r="G29" s="99" t="n">
        <x:v>4.6</x:v>
      </x:c>
      <x:c r="H29" s="99" t="n">
        <x:v>8</x:v>
      </x:c>
      <x:c r="I29" s="99" t="n">
        <x:v>109.6</x:v>
      </x:c>
      <x:c r="J29" s="99" t="n">
        <x:v>0</x:v>
      </x:c>
      <x:c r="K29" s="99" t="n">
        <x:v>140</x:v>
      </x:c>
      <x:c r="L29" s="99" t="n">
        <x:v>680</x:v>
      </x:c>
      <x:c r="M29" s="97" t="str"/>
      <x:c r="N29" s="97" t="str">
        <x:v>Không</x:v>
      </x:c>
      <x:c r="O29" s="97" t="str">
        <x:v>ERP/PMIS mẫu</x:v>
      </x:c>
      <x:c r="P29" s="97" t="n">
        <x:v>46201</x:v>
      </x:c>
      <x:c r="Q29" s="97" t="str">
        <x:v>Dữ liệu mẫu – thay bằng actual thực tế</x:v>
      </x:c>
    </x:row>
    <x:row r="30">
      <x:c r="A30" s="114" t="n">
        <x:v>46201</x:v>
      </x:c>
      <x:c r="B30" s="97" t="str">
        <x:v>SPV02</x:v>
      </x:c>
      <x:c r="C30" s="97" t="str">
        <x:v>DA02</x:v>
      </x:c>
      <x:c r="D30" s="99" t="n">
        <x:v>0</x:v>
      </x:c>
      <x:c r="E30" s="99" t="n">
        <x:v>0</x:v>
      </x:c>
      <x:c r="F30" s="99" t="n">
        <x:v>134</x:v>
      </x:c>
      <x:c r="G30" s="99" t="n">
        <x:v>5.2</x:v>
      </x:c>
      <x:c r="H30" s="99" t="n">
        <x:v>10</x:v>
      </x:c>
      <x:c r="I30" s="99" t="n">
        <x:v>124.19999999999999</x:v>
      </x:c>
      <x:c r="J30" s="99" t="n">
        <x:v>0</x:v>
      </x:c>
      <x:c r="K30" s="99" t="n">
        <x:v>160</x:v>
      </x:c>
      <x:c r="L30" s="99" t="n">
        <x:v>860</x:v>
      </x:c>
      <x:c r="M30" s="97" t="str"/>
      <x:c r="N30" s="97" t="str">
        <x:v>Không</x:v>
      </x:c>
      <x:c r="O30" s="97" t="str">
        <x:v>ERP/PMIS mẫu</x:v>
      </x:c>
      <x:c r="P30" s="97" t="n">
        <x:v>46201</x:v>
      </x:c>
      <x:c r="Q30" s="97" t="str">
        <x:v>Dữ liệu mẫu – thay bằng actual thực tế</x:v>
      </x:c>
    </x:row>
    <x:row r="31">
      <x:c r="A31" s="114" t="n">
        <x:v>46201</x:v>
      </x:c>
      <x:c r="B31" s="97" t="str">
        <x:v>SPV03</x:v>
      </x:c>
      <x:c r="C31" s="97" t="str">
        <x:v>DA03</x:v>
      </x:c>
      <x:c r="D31" s="99" t="n">
        <x:v>420</x:v>
      </x:c>
      <x:c r="E31" s="99" t="n">
        <x:v>344.4</x:v>
      </x:c>
      <x:c r="F31" s="99" t="n">
        <x:v>146</x:v>
      </x:c>
      <x:c r="G31" s="99" t="n">
        <x:v>5.8</x:v>
      </x:c>
      <x:c r="H31" s="99" t="n">
        <x:v>12</x:v>
      </x:c>
      <x:c r="I31" s="99" t="n">
        <x:v>0</x:v>
      </x:c>
      <x:c r="J31" s="99" t="n">
        <x:v>20</x:v>
      </x:c>
      <x:c r="K31" s="99" t="n">
        <x:v>180</x:v>
      </x:c>
      <x:c r="L31" s="99" t="n">
        <x:v>1040</x:v>
      </x:c>
      <x:c r="M31" s="97" t="str"/>
      <x:c r="N31" s="97" t="str">
        <x:v>Có</x:v>
      </x:c>
      <x:c r="O31" s="97" t="str">
        <x:v>ERP/PMIS mẫu</x:v>
      </x:c>
      <x:c r="P31" s="97" t="n">
        <x:v>46201</x:v>
      </x:c>
      <x:c r="Q31" s="97" t="str">
        <x:v>Dữ liệu mẫu – thay bằng actual thực tế</x:v>
      </x:c>
    </x:row>
    <x:row r="32">
      <x:c r="A32" s="114" t="n">
        <x:v>46201</x:v>
      </x:c>
      <x:c r="B32" s="97" t="str">
        <x:v>SPV04</x:v>
      </x:c>
      <x:c r="C32" s="97" t="str">
        <x:v>DA04</x:v>
      </x:c>
      <x:c r="D32" s="99" t="n">
        <x:v>560</x:v>
      </x:c>
      <x:c r="E32" s="99" t="n">
        <x:v>459.2</x:v>
      </x:c>
      <x:c r="F32" s="99" t="n">
        <x:v>158</x:v>
      </x:c>
      <x:c r="G32" s="99" t="n">
        <x:v>6.4</x:v>
      </x:c>
      <x:c r="H32" s="99" t="n">
        <x:v>14</x:v>
      </x:c>
      <x:c r="I32" s="99" t="n">
        <x:v>0</x:v>
      </x:c>
      <x:c r="J32" s="99" t="n">
        <x:v>20</x:v>
      </x:c>
      <x:c r="K32" s="99" t="n">
        <x:v>200</x:v>
      </x:c>
      <x:c r="L32" s="99" t="n">
        <x:v>1220</x:v>
      </x:c>
      <x:c r="M32" s="97" t="str"/>
      <x:c r="N32" s="97" t="str">
        <x:v>Có</x:v>
      </x:c>
      <x:c r="O32" s="97" t="str">
        <x:v>ERP/PMIS mẫu</x:v>
      </x:c>
      <x:c r="P32" s="97" t="n">
        <x:v>46201</x:v>
      </x:c>
      <x:c r="Q32" s="97" t="str">
        <x:v>Dữ liệu mẫu – thay bằng actual thực tế</x:v>
      </x:c>
    </x:row>
    <x:row r="33">
      <x:c r="A33" s="114" t="n">
        <x:v>46201</x:v>
      </x:c>
      <x:c r="B33" s="97" t="str">
        <x:v>SPV05</x:v>
      </x:c>
      <x:c r="C33" s="97" t="str">
        <x:v>DA05</x:v>
      </x:c>
      <x:c r="D33" s="99" t="n">
        <x:v>700</x:v>
      </x:c>
      <x:c r="E33" s="99" t="n">
        <x:v>574</x:v>
      </x:c>
      <x:c r="F33" s="99" t="n">
        <x:v>170</x:v>
      </x:c>
      <x:c r="G33" s="99" t="n">
        <x:v>7</x:v>
      </x:c>
      <x:c r="H33" s="99" t="n">
        <x:v>16</x:v>
      </x:c>
      <x:c r="I33" s="99" t="n">
        <x:v>0</x:v>
      </x:c>
      <x:c r="J33" s="99" t="n">
        <x:v>20</x:v>
      </x:c>
      <x:c r="K33" s="99" t="n">
        <x:v>220</x:v>
      </x:c>
      <x:c r="L33" s="99" t="n">
        <x:v>1400</x:v>
      </x:c>
      <x:c r="M33" s="97" t="str"/>
      <x:c r="N33" s="97" t="str">
        <x:v>Có</x:v>
      </x:c>
      <x:c r="O33" s="97" t="str">
        <x:v>ERP/PMIS mẫu</x:v>
      </x:c>
      <x:c r="P33" s="97" t="n">
        <x:v>46201</x:v>
      </x:c>
      <x:c r="Q33" s="97" t="str">
        <x:v>Dữ liệu mẫu – thay bằng actual thực tế</x:v>
      </x:c>
    </x:row>
    <x:row r="34">
      <x:c r="A34" s="114" t="n">
        <x:v>46231</x:v>
      </x:c>
      <x:c r="B34" s="97" t="str">
        <x:v>SPV01</x:v>
      </x:c>
      <x:c r="C34" s="97" t="str">
        <x:v>DA01</x:v>
      </x:c>
      <x:c r="D34" s="99" t="n">
        <x:v>0</x:v>
      </x:c>
      <x:c r="E34" s="99" t="n">
        <x:v>0</x:v>
      </x:c>
      <x:c r="F34" s="99" t="n">
        <x:v>127</x:v>
      </x:c>
      <x:c r="G34" s="99" t="n">
        <x:v>4.6</x:v>
      </x:c>
      <x:c r="H34" s="99" t="n">
        <x:v>8</x:v>
      </x:c>
      <x:c r="I34" s="99" t="n">
        <x:v>114.6</x:v>
      </x:c>
      <x:c r="J34" s="99" t="n">
        <x:v>0</x:v>
      </x:c>
      <x:c r="K34" s="99" t="n">
        <x:v>140</x:v>
      </x:c>
      <x:c r="L34" s="99" t="n">
        <x:v>680</x:v>
      </x:c>
      <x:c r="M34" s="97" t="str"/>
      <x:c r="N34" s="97" t="str">
        <x:v>Không</x:v>
      </x:c>
      <x:c r="O34" s="97" t="str">
        <x:v>ERP/PMIS mẫu</x:v>
      </x:c>
      <x:c r="P34" s="97" t="n">
        <x:v>46231</x:v>
      </x:c>
      <x:c r="Q34" s="97" t="str">
        <x:v>Dữ liệu mẫu – thay bằng actual thực tế</x:v>
      </x:c>
    </x:row>
    <x:row r="35">
      <x:c r="A35" s="114" t="n">
        <x:v>46231</x:v>
      </x:c>
      <x:c r="B35" s="97" t="str">
        <x:v>SPV02</x:v>
      </x:c>
      <x:c r="C35" s="97" t="str">
        <x:v>DA02</x:v>
      </x:c>
      <x:c r="D35" s="99" t="n">
        <x:v>0</x:v>
      </x:c>
      <x:c r="E35" s="99" t="n">
        <x:v>0</x:v>
      </x:c>
      <x:c r="F35" s="99" t="n">
        <x:v>139</x:v>
      </x:c>
      <x:c r="G35" s="99" t="n">
        <x:v>5.2</x:v>
      </x:c>
      <x:c r="H35" s="99" t="n">
        <x:v>10</x:v>
      </x:c>
      <x:c r="I35" s="99" t="n">
        <x:v>129.2</x:v>
      </x:c>
      <x:c r="J35" s="99" t="n">
        <x:v>0</x:v>
      </x:c>
      <x:c r="K35" s="99" t="n">
        <x:v>160</x:v>
      </x:c>
      <x:c r="L35" s="99" t="n">
        <x:v>860</x:v>
      </x:c>
      <x:c r="M35" s="97" t="str"/>
      <x:c r="N35" s="97" t="str">
        <x:v>Không</x:v>
      </x:c>
      <x:c r="O35" s="97" t="str">
        <x:v>ERP/PMIS mẫu</x:v>
      </x:c>
      <x:c r="P35" s="97" t="n">
        <x:v>46231</x:v>
      </x:c>
      <x:c r="Q35" s="97" t="str">
        <x:v>Dữ liệu mẫu – thay bằng actual thực tế</x:v>
      </x:c>
    </x:row>
    <x:row r="36">
      <x:c r="A36" s="114" t="n">
        <x:v>46231</x:v>
      </x:c>
      <x:c r="B36" s="97" t="str">
        <x:v>SPV03</x:v>
      </x:c>
      <x:c r="C36" s="97" t="str">
        <x:v>DA03</x:v>
      </x:c>
      <x:c r="D36" s="99" t="n">
        <x:v>525</x:v>
      </x:c>
      <x:c r="E36" s="99" t="n">
        <x:v>430.5</x:v>
      </x:c>
      <x:c r="F36" s="99" t="n">
        <x:v>151</x:v>
      </x:c>
      <x:c r="G36" s="99" t="n">
        <x:v>5.8</x:v>
      </x:c>
      <x:c r="H36" s="99" t="n">
        <x:v>12</x:v>
      </x:c>
      <x:c r="I36" s="99" t="n">
        <x:v>0</x:v>
      </x:c>
      <x:c r="J36" s="99" t="n">
        <x:v>20</x:v>
      </x:c>
      <x:c r="K36" s="99" t="n">
        <x:v>180</x:v>
      </x:c>
      <x:c r="L36" s="99" t="n">
        <x:v>1040</x:v>
      </x:c>
      <x:c r="M36" s="97" t="str"/>
      <x:c r="N36" s="97" t="str">
        <x:v>Có</x:v>
      </x:c>
      <x:c r="O36" s="97" t="str">
        <x:v>ERP/PMIS mẫu</x:v>
      </x:c>
      <x:c r="P36" s="97" t="n">
        <x:v>46231</x:v>
      </x:c>
      <x:c r="Q36" s="97" t="str">
        <x:v>Dữ liệu mẫu – thay bằng actual thực tế</x:v>
      </x:c>
    </x:row>
    <x:row r="37">
      <x:c r="A37" s="114" t="n">
        <x:v>46231</x:v>
      </x:c>
      <x:c r="B37" s="97" t="str">
        <x:v>SPV04</x:v>
      </x:c>
      <x:c r="C37" s="97" t="str">
        <x:v>DA04</x:v>
      </x:c>
      <x:c r="D37" s="99" t="n">
        <x:v>700</x:v>
      </x:c>
      <x:c r="E37" s="99" t="n">
        <x:v>574</x:v>
      </x:c>
      <x:c r="F37" s="99" t="n">
        <x:v>163</x:v>
      </x:c>
      <x:c r="G37" s="99" t="n">
        <x:v>6.4</x:v>
      </x:c>
      <x:c r="H37" s="99" t="n">
        <x:v>14</x:v>
      </x:c>
      <x:c r="I37" s="99" t="n">
        <x:v>0</x:v>
      </x:c>
      <x:c r="J37" s="99" t="n">
        <x:v>20</x:v>
      </x:c>
      <x:c r="K37" s="99" t="n">
        <x:v>200</x:v>
      </x:c>
      <x:c r="L37" s="99" t="n">
        <x:v>1220</x:v>
      </x:c>
      <x:c r="M37" s="97" t="str"/>
      <x:c r="N37" s="97" t="str">
        <x:v>Có</x:v>
      </x:c>
      <x:c r="O37" s="97" t="str">
        <x:v>ERP/PMIS mẫu</x:v>
      </x:c>
      <x:c r="P37" s="97" t="n">
        <x:v>46231</x:v>
      </x:c>
      <x:c r="Q37" s="97" t="str">
        <x:v>Dữ liệu mẫu – thay bằng actual thực tế</x:v>
      </x:c>
    </x:row>
    <x:row r="38">
      <x:c r="A38" s="114" t="n">
        <x:v>46231</x:v>
      </x:c>
      <x:c r="B38" s="97" t="str">
        <x:v>SPV05</x:v>
      </x:c>
      <x:c r="C38" s="97" t="str">
        <x:v>DA05</x:v>
      </x:c>
      <x:c r="D38" s="99" t="n">
        <x:v>875</x:v>
      </x:c>
      <x:c r="E38" s="99" t="n">
        <x:v>717.5</x:v>
      </x:c>
      <x:c r="F38" s="99" t="n">
        <x:v>175</x:v>
      </x:c>
      <x:c r="G38" s="99" t="n">
        <x:v>7</x:v>
      </x:c>
      <x:c r="H38" s="99" t="n">
        <x:v>16</x:v>
      </x:c>
      <x:c r="I38" s="99" t="n">
        <x:v>0</x:v>
      </x:c>
      <x:c r="J38" s="99" t="n">
        <x:v>20</x:v>
      </x:c>
      <x:c r="K38" s="99" t="n">
        <x:v>220</x:v>
      </x:c>
      <x:c r="L38" s="99" t="n">
        <x:v>1400</x:v>
      </x:c>
      <x:c r="M38" s="97" t="str"/>
      <x:c r="N38" s="97" t="str">
        <x:v>Có</x:v>
      </x:c>
      <x:c r="O38" s="97" t="str">
        <x:v>ERP/PMIS mẫu</x:v>
      </x:c>
      <x:c r="P38" s="97" t="n">
        <x:v>46231</x:v>
      </x:c>
      <x:c r="Q38" s="97" t="str">
        <x:v>Dữ liệu mẫu – thay bằng actual thực tế</x:v>
      </x:c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</x:row>
  </x:sheetData>
  <x:mergeCells>
    <x:mergeCell ref="A1:Q1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>
      <x:c r="A1" s="113" t="str">
        <x:v>42_Budget_vs_Actual – Kiểm soát thực hiện theo dự án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  <x:c r="O1" s="113"/>
      <x:c r="P1" s="113"/>
      <x:c r="Q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</x:row>
    <x:row r="3">
      <x:c r="A3" s="111" t="str">
        <x:v>Mã dự án</x:v>
      </x:c>
      <x:c r="B3" s="111" t="str">
        <x:v>Doanh thu ngân sách lũy kế</x:v>
      </x:c>
      <x:c r="C3" s="111" t="str">
        <x:v>Doanh thu thực tế lũy kế</x:v>
      </x:c>
      <x:c r="D3" s="111" t="str">
        <x:v>Chênh lệch doanh thu</x:v>
      </x:c>
      <x:c r="E3" s="111" t="str">
        <x:v>Chênh lệch doanh thu (%)</x:v>
      </x:c>
      <x:c r="F3" s="111" t="str">
        <x:v>CAPEX ngân sách lũy kế</x:v>
      </x:c>
      <x:c r="G3" s="111" t="str">
        <x:v>CAPEX thực tế lũy kế</x:v>
      </x:c>
      <x:c r="H3" s="111" t="str">
        <x:v>Chênh lệch CAPEX</x:v>
      </x:c>
      <x:c r="I3" s="111" t="str">
        <x:v>Chênh lệch CAPEX (%)</x:v>
      </x:c>
      <x:c r="J3" s="111" t="str">
        <x:v>Thu tiền thực tế lũy kế</x:v>
      </x:c>
      <x:c r="K3" s="111" t="str">
        <x:v>Dư nợ hiện tại</x:v>
      </x:c>
      <x:c r="L3" s="111" t="str">
        <x:v>Khoảng thiếu vốn 12T</x:v>
      </x:c>
      <x:c r="M3" s="111" t="str">
        <x:v>Điểm sức khỏe</x:v>
      </x:c>
      <x:c r="N3" s="111" t="str">
        <x:v>Cảnh báo</x:v>
      </x:c>
      <x:c r="O3" s="111" t="str">
        <x:v>Phụ trách</x:v>
      </x:c>
      <x:c r="P3" s="111" t="str">
        <x:v>Hành động</x:v>
      </x:c>
      <x:c r="Q3" s="14"/>
    </x:row>
    <x:row r="4">
      <x:c r="A4" s="14" t="str">
        <x:v>DA01</x:v>
      </x:c>
      <x:c r="B4" s="100" t="n">
        <x:f>IFERROR(INDEX('01_Danh_muc_du_an'!$G$4:$G$9,MATCH(A4,'01_Danh_muc_du_an'!$A$4:$A$9,0))*7/60,0)</x:f>
        <x:v>1143.3333333333333</x:v>
      </x:c>
      <x:c r="C4" s="100" t="n">
        <x:f>SUMIFS('41_Actual_Theo_thang'!$D$4:$D$200,'41_Actual_Theo_thang'!$C$4:$C$200,A4)</x:f>
        <x:v>0</x:v>
      </x:c>
      <x:c r="D4" s="100" t="n">
        <x:f>C4-B4</x:f>
        <x:v>-1143.3333333333333</x:v>
      </x:c>
      <x:c r="E4" s="103" t="n">
        <x:f>IFERROR(D4/B4,0)</x:f>
        <x:v>-1</x:v>
      </x:c>
      <x:c r="F4" s="100" t="n">
        <x:f>IFERROR(INDEX('01_Danh_muc_du_an'!$F$4:$F$9,MATCH(A4,'01_Danh_muc_du_an'!$A$4:$A$9,0))*7/60,0)</x:f>
        <x:v>758.3333333333334</x:v>
      </x:c>
      <x:c r="G4" s="100" t="n">
        <x:f>SUMIFS('41_Actual_Theo_thang'!$F$4:$F$200,'41_Actual_Theo_thang'!$C$4:$C$200,A4)</x:f>
        <x:v>784</x:v>
      </x:c>
      <x:c r="H4" s="100" t="n">
        <x:f>G4-F4</x:f>
        <x:v>25.66666666666663</x:v>
      </x:c>
      <x:c r="I4" s="103" t="n">
        <x:f>IFERROR(H4/F4,0)</x:f>
        <x:v>0.0338461538461538</x:v>
      </x:c>
      <x:c r="J4" s="100" t="n">
        <x:f>SUMIFS('41_Actual_Theo_thang'!$E$4:$E$200,'41_Actual_Theo_thang'!$C$4:$C$200,A4)</x:f>
        <x:v>0</x:v>
      </x:c>
      <x:c r="K4" s="100" t="n">
        <x:f>IFERROR(INDEX('33_No_vay_Covenant'!$G$4:$G$9,MATCH(A4,'33_No_vay_Covenant'!$C$4:$C$9,0)),0)</x:f>
        <x:v>914.1</x:v>
      </x:c>
      <x:c r="L4" s="100" t="n">
        <x:f>IFERROR(INDEX('32_Treasury_Cash_Pool'!$F$5:$F$10,MATCH(A4,'32_Treasury_Cash_Pool'!$B$5:$B$10,0)),0)</x:f>
        <x:v>435.4</x:v>
      </x:c>
      <x:c r="M4" s="100" t="n">
        <x:f>IFERROR(INDEX('16_Suc_khoe_du_an'!$H$4:$H$9,MATCH(A4,'16_Suc_khoe_du_an'!$A$4:$A$9,0)),0)</x:f>
        <x:v>78</x:v>
      </x:c>
      <x:c r="N4" s="14" t="str">
        <x:f>IF(OR(E4&lt;-10%,I4&gt;10%,L4&gt;0),"CẢNH BÁO","OK")</x:f>
        <x:v>CẢNH BÁO</x:v>
      </x:c>
      <x:c r="O4" s="14" t="str">
        <x:v>CFO/PMO</x:v>
      </x:c>
      <x:c r="P4" s="14" t="str">
        <x:f>IF(N4="CẢNH BÁO","Rà forecast, funding và kế hoạch phục hồi","Theo kế hoạch")</x:f>
        <x:v>Rà forecast, funding và kế hoạch phục hồi</x:v>
      </x:c>
      <x:c r="Q4" s="14"/>
    </x:row>
    <x:row r="5">
      <x:c r="A5" s="14" t="str">
        <x:v>DA02</x:v>
      </x:c>
      <x:c r="B5" s="100" t="n">
        <x:f>IFERROR(INDEX('01_Danh_muc_du_an'!$G$4:$G$9,MATCH(A5,'01_Danh_muc_du_an'!$A$4:$A$9,0))*7/60,0)</x:f>
        <x:v>1306.6666666666667</x:v>
      </x:c>
      <x:c r="C5" s="100" t="n">
        <x:f>SUMIFS('41_Actual_Theo_thang'!$D$4:$D$200,'41_Actual_Theo_thang'!$C$4:$C$200,A5)</x:f>
        <x:v>0</x:v>
      </x:c>
      <x:c r="D5" s="100" t="n">
        <x:f>C5-B5</x:f>
        <x:v>-1306.6666666666667</x:v>
      </x:c>
      <x:c r="E5" s="103" t="n">
        <x:f>IFERROR(D5/B5,0)</x:f>
        <x:v>-1</x:v>
      </x:c>
      <x:c r="F5" s="100" t="n">
        <x:f>IFERROR(INDEX('01_Danh_muc_du_an'!$F$4:$F$9,MATCH(A5,'01_Danh_muc_du_an'!$A$4:$A$9,0))*7/60,0)</x:f>
        <x:v>840</x:v>
      </x:c>
      <x:c r="G5" s="100" t="n">
        <x:f>SUMIFS('41_Actual_Theo_thang'!$F$4:$F$200,'41_Actual_Theo_thang'!$C$4:$C$200,A5)</x:f>
        <x:v>868</x:v>
      </x:c>
      <x:c r="H5" s="100" t="n">
        <x:f>G5-F5</x:f>
        <x:v>28</x:v>
      </x:c>
      <x:c r="I5" s="103" t="n">
        <x:f>IFERROR(H5/F5,0)</x:f>
        <x:v>0.03333333333333333</x:v>
      </x:c>
      <x:c r="J5" s="100" t="n">
        <x:f>SUMIFS('41_Actual_Theo_thang'!$E$4:$E$200,'41_Actual_Theo_thang'!$C$4:$C$200,A5)</x:f>
        <x:v>0</x:v>
      </x:c>
      <x:c r="K5" s="100" t="n">
        <x:f>IFERROR(INDEX('33_No_vay_Covenant'!$G$4:$G$9,MATCH(A5,'33_No_vay_Covenant'!$C$4:$C$9,0)),0)</x:f>
        <x:v>1918.1</x:v>
      </x:c>
      <x:c r="L5" s="100" t="n">
        <x:f>IFERROR(INDEX('32_Treasury_Cash_Pool'!$F$5:$F$10,MATCH(A5,'32_Treasury_Cash_Pool'!$B$5:$B$10,0)),0)</x:f>
        <x:v>269.6</x:v>
      </x:c>
      <x:c r="M5" s="100" t="n">
        <x:f>IFERROR(INDEX('16_Suc_khoe_du_an'!$H$4:$H$9,MATCH(A5,'16_Suc_khoe_du_an'!$A$4:$A$9,0)),0)</x:f>
        <x:v>78</x:v>
      </x:c>
      <x:c r="N5" s="14" t="str">
        <x:f>IF(OR(E5&lt;-10%,I5&gt;10%,L5&gt;0),"CẢNH BÁO","OK")</x:f>
        <x:v>CẢNH BÁO</x:v>
      </x:c>
      <x:c r="O5" s="14" t="str">
        <x:v>CFO/PMO</x:v>
      </x:c>
      <x:c r="P5" s="14" t="str">
        <x:f>IF(N5="CẢNH BÁO","Rà forecast, funding và kế hoạch phục hồi","Theo kế hoạch")</x:f>
        <x:v>Rà forecast, funding và kế hoạch phục hồi</x:v>
      </x:c>
      <x:c r="Q5" s="14"/>
    </x:row>
    <x:row r="6">
      <x:c r="A6" s="14" t="str">
        <x:v>DA03</x:v>
      </x:c>
      <x:c r="B6" s="100" t="n">
        <x:f>IFERROR(INDEX('01_Danh_muc_du_an'!$G$4:$G$9,MATCH(A6,'01_Danh_muc_du_an'!$A$4:$A$9,0))*7/60,0)</x:f>
        <x:v>1726.6666666666667</x:v>
      </x:c>
      <x:c r="C6" s="100" t="n">
        <x:f>SUMIFS('41_Actual_Theo_thang'!$D$4:$D$200,'41_Actual_Theo_thang'!$C$4:$C$200,A6)</x:f>
        <x:v>1575</x:v>
      </x:c>
      <x:c r="D6" s="100" t="n">
        <x:f>C6-B6</x:f>
        <x:v>-151.66666666666674</x:v>
      </x:c>
      <x:c r="E6" s="103" t="n">
        <x:f>IFERROR(D6/B6,0)</x:f>
        <x:v>-0.08783783783783788</x:v>
      </x:c>
      <x:c r="F6" s="100" t="n">
        <x:f>IFERROR(INDEX('01_Danh_muc_du_an'!$F$4:$F$9,MATCH(A6,'01_Danh_muc_du_an'!$A$4:$A$9,0))*7/60,0)</x:f>
        <x:v>1143.3333333333333</x:v>
      </x:c>
      <x:c r="G6" s="100" t="n">
        <x:f>SUMIFS('41_Actual_Theo_thang'!$F$4:$F$200,'41_Actual_Theo_thang'!$C$4:$C$200,A6)</x:f>
        <x:v>952</x:v>
      </x:c>
      <x:c r="H6" s="100" t="n">
        <x:f>G6-F6</x:f>
        <x:v>-191.33333333333326</x:v>
      </x:c>
      <x:c r="I6" s="103" t="n">
        <x:f>IFERROR(H6/F6,0)</x:f>
        <x:v>-0.16734693877551016</x:v>
      </x:c>
      <x:c r="J6" s="100" t="n">
        <x:f>SUMIFS('41_Actual_Theo_thang'!$E$4:$E$200,'41_Actual_Theo_thang'!$C$4:$C$200,A6)</x:f>
        <x:v>1291.5</x:v>
      </x:c>
      <x:c r="K6" s="100" t="n">
        <x:f>IFERROR(INDEX('33_No_vay_Covenant'!$G$4:$G$9,MATCH(A6,'33_No_vay_Covenant'!$C$4:$C$9,0)),0)</x:f>
        <x:v>3270</x:v>
      </x:c>
      <x:c r="L6" s="100" t="n">
        <x:f>IFERROR(INDEX('32_Treasury_Cash_Pool'!$F$5:$F$10,MATCH(A6,'32_Treasury_Cash_Pool'!$B$5:$B$10,0)),0)</x:f>
        <x:v>124.6</x:v>
      </x:c>
      <x:c r="M6" s="100" t="n">
        <x:f>IFERROR(INDEX('16_Suc_khoe_du_an'!$H$4:$H$9,MATCH(A6,'16_Suc_khoe_du_an'!$A$4:$A$9,0)),0)</x:f>
        <x:v>78</x:v>
      </x:c>
      <x:c r="N6" s="14" t="str">
        <x:f>IF(OR(E6&lt;-10%,I6&gt;10%,L6&gt;0),"CẢNH BÁO","OK")</x:f>
        <x:v>CẢNH BÁO</x:v>
      </x:c>
      <x:c r="O6" s="14" t="str">
        <x:v>CFO/PMO</x:v>
      </x:c>
      <x:c r="P6" s="14" t="str">
        <x:f>IF(N6="CẢNH BÁO","Rà forecast, funding và kế hoạch phục hồi","Theo kế hoạch")</x:f>
        <x:v>Rà forecast, funding và kế hoạch phục hồi</x:v>
      </x:c>
      <x:c r="Q6" s="14"/>
    </x:row>
    <x:row r="7">
      <x:c r="A7" s="14" t="str">
        <x:v>DA04</x:v>
      </x:c>
      <x:c r="B7" s="100" t="n">
        <x:f>IFERROR(INDEX('01_Danh_muc_du_an'!$G$4:$G$9,MATCH(A7,'01_Danh_muc_du_an'!$A$4:$A$9,0))*7/60,0)</x:f>
        <x:v>1540</x:v>
      </x:c>
      <x:c r="C7" s="100" t="n">
        <x:f>SUMIFS('41_Actual_Theo_thang'!$D$4:$D$200,'41_Actual_Theo_thang'!$C$4:$C$200,A7)</x:f>
        <x:v>2100</x:v>
      </x:c>
      <x:c r="D7" s="100" t="n">
        <x:f>C7-B7</x:f>
        <x:v>560</x:v>
      </x:c>
      <x:c r="E7" s="103" t="n">
        <x:f>IFERROR(D7/B7,0)</x:f>
        <x:v>0.36363636363636365</x:v>
      </x:c>
      <x:c r="F7" s="100" t="n">
        <x:f>IFERROR(INDEX('01_Danh_muc_du_an'!$F$4:$F$9,MATCH(A7,'01_Danh_muc_du_an'!$A$4:$A$9,0))*7/60,0)</x:f>
        <x:v>980</x:v>
      </x:c>
      <x:c r="G7" s="100" t="n">
        <x:f>SUMIFS('41_Actual_Theo_thang'!$F$4:$F$200,'41_Actual_Theo_thang'!$C$4:$C$200,A7)</x:f>
        <x:v>1036</x:v>
      </x:c>
      <x:c r="H7" s="100" t="n">
        <x:f>G7-F7</x:f>
        <x:v>56</x:v>
      </x:c>
      <x:c r="I7" s="103" t="n">
        <x:f>IFERROR(H7/F7,0)</x:f>
        <x:v>0.05714285714285714</x:v>
      </x:c>
      <x:c r="J7" s="100" t="n">
        <x:f>SUMIFS('41_Actual_Theo_thang'!$E$4:$E$200,'41_Actual_Theo_thang'!$C$4:$C$200,A7)</x:f>
        <x:v>1722</x:v>
      </x:c>
      <x:c r="K7" s="100" t="n">
        <x:f>IFERROR(INDEX('33_No_vay_Covenant'!$G$4:$G$9,MATCH(A7,'33_No_vay_Covenant'!$C$4:$C$9,0)),0)</x:f>
        <x:v>3024</x:v>
      </x:c>
      <x:c r="L7" s="100" t="n">
        <x:f>IFERROR(INDEX('32_Treasury_Cash_Pool'!$F$5:$F$10,MATCH(A7,'32_Treasury_Cash_Pool'!$B$5:$B$10,0)),0)</x:f>
        <x:v>0</x:v>
      </x:c>
      <x:c r="M7" s="100" t="n">
        <x:f>IFERROR(INDEX('16_Suc_khoe_du_an'!$H$4:$H$9,MATCH(A7,'16_Suc_khoe_du_an'!$A$4:$A$9,0)),0)</x:f>
        <x:v>78</x:v>
      </x:c>
      <x:c r="N7" s="14" t="str">
        <x:f>IF(OR(E7&lt;-10%,I7&gt;10%,L7&gt;0),"CẢNH BÁO","OK")</x:f>
        <x:v>OK</x:v>
      </x:c>
      <x:c r="O7" s="14" t="str">
        <x:v>CFO/PMO</x:v>
      </x:c>
      <x:c r="P7" s="14" t="str">
        <x:f>IF(N7="CẢNH BÁO","Rà forecast, funding và kế hoạch phục hồi","Theo kế hoạch")</x:f>
        <x:v>Theo kế hoạch</x:v>
      </x:c>
      <x:c r="Q7" s="14"/>
    </x:row>
    <x:row r="8">
      <x:c r="A8" s="14" t="str">
        <x:v>DA05</x:v>
      </x:c>
      <x:c r="B8" s="100" t="n">
        <x:f>IFERROR(INDEX('01_Danh_muc_du_an'!$G$4:$G$9,MATCH(A8,'01_Danh_muc_du_an'!$A$4:$A$9,0))*7/60,0)</x:f>
        <x:v>1096.6666666666667</x:v>
      </x:c>
      <x:c r="C8" s="100" t="n">
        <x:f>SUMIFS('41_Actual_Theo_thang'!$D$4:$D$200,'41_Actual_Theo_thang'!$C$4:$C$200,A8)</x:f>
        <x:v>2625</x:v>
      </x:c>
      <x:c r="D8" s="100" t="n">
        <x:f>C8-B8</x:f>
        <x:v>1528.3333333333333</x:v>
      </x:c>
      <x:c r="E8" s="103" t="n">
        <x:f>IFERROR(D8/B8,0)</x:f>
        <x:v>1.3936170212765955</x:v>
      </x:c>
      <x:c r="F8" s="100" t="n">
        <x:f>IFERROR(INDEX('01_Danh_muc_du_an'!$F$4:$F$9,MATCH(A8,'01_Danh_muc_du_an'!$A$4:$A$9,0))*7/60,0)</x:f>
        <x:v>723.3333333333334</x:v>
      </x:c>
      <x:c r="G8" s="100" t="n">
        <x:f>SUMIFS('41_Actual_Theo_thang'!$F$4:$F$200,'41_Actual_Theo_thang'!$C$4:$C$200,A8)</x:f>
        <x:v>1120</x:v>
      </x:c>
      <x:c r="H8" s="100" t="n">
        <x:f>G8-F8</x:f>
        <x:v>396.66666666666663</x:v>
      </x:c>
      <x:c r="I8" s="103" t="n">
        <x:f>IFERROR(H8/F8,0)</x:f>
        <x:v>0.5483870967741935</x:v>
      </x:c>
      <x:c r="J8" s="100" t="n">
        <x:f>SUMIFS('41_Actual_Theo_thang'!$E$4:$E$200,'41_Actual_Theo_thang'!$C$4:$C$200,A8)</x:f>
        <x:v>2152.5</x:v>
      </x:c>
      <x:c r="K8" s="100" t="n">
        <x:f>IFERROR(INDEX('33_No_vay_Covenant'!$G$4:$G$9,MATCH(A8,'33_No_vay_Covenant'!$C$4:$C$9,0)),0)</x:f>
        <x:v>2232</x:v>
      </x:c>
      <x:c r="L8" s="100" t="n">
        <x:f>IFERROR(INDEX('32_Treasury_Cash_Pool'!$F$5:$F$10,MATCH(A8,'32_Treasury_Cash_Pool'!$B$5:$B$10,0)),0)</x:f>
        <x:v>0</x:v>
      </x:c>
      <x:c r="M8" s="100" t="n">
        <x:f>IFERROR(INDEX('16_Suc_khoe_du_an'!$H$4:$H$9,MATCH(A8,'16_Suc_khoe_du_an'!$A$4:$A$9,0)),0)</x:f>
        <x:v>78</x:v>
      </x:c>
      <x:c r="N8" s="14" t="str">
        <x:f>IF(OR(E8&lt;-10%,I8&gt;10%,L8&gt;0),"CẢNH BÁO","OK")</x:f>
        <x:v>CẢNH BÁO</x:v>
      </x:c>
      <x:c r="O8" s="14" t="str">
        <x:v>CFO/PMO</x:v>
      </x:c>
      <x:c r="P8" s="14" t="str">
        <x:f>IF(N8="CẢNH BÁO","Rà forecast, funding và kế hoạch phục hồi","Theo kế hoạch")</x:f>
        <x:v>Rà forecast, funding và kế hoạch phục hồi</x:v>
      </x:c>
      <x:c r="Q8" s="14"/>
    </x:row>
    <x:row r="9">
      <x:c r="A9" s="14" t="str">
        <x:v>DA06</x:v>
      </x:c>
      <x:c r="B9" s="100" t="n">
        <x:f>IFERROR(INDEX('01_Danh_muc_du_an'!$G$4:$G$9,MATCH(A9,'01_Danh_muc_du_an'!$A$4:$A$9,0))*7/60,0)</x:f>
        <x:v>840</x:v>
      </x:c>
      <x:c r="C9" s="100" t="n">
        <x:f>SUMIFS('41_Actual_Theo_thang'!$D$4:$D$200,'41_Actual_Theo_thang'!$C$4:$C$200,A9)</x:f>
        <x:v>0</x:v>
      </x:c>
      <x:c r="D9" s="100" t="n">
        <x:f>C9-B9</x:f>
        <x:v>-840</x:v>
      </x:c>
      <x:c r="E9" s="103" t="n">
        <x:f>IFERROR(D9/B9,0)</x:f>
        <x:v>-1</x:v>
      </x:c>
      <x:c r="F9" s="100" t="n">
        <x:f>IFERROR(INDEX('01_Danh_muc_du_an'!$F$4:$F$9,MATCH(A9,'01_Danh_muc_du_an'!$A$4:$A$9,0))*7/60,0)</x:f>
        <x:v>525</x:v>
      </x:c>
      <x:c r="G9" s="100" t="n">
        <x:f>SUMIFS('41_Actual_Theo_thang'!$F$4:$F$200,'41_Actual_Theo_thang'!$C$4:$C$200,A9)</x:f>
        <x:v>0</x:v>
      </x:c>
      <x:c r="H9" s="100" t="n">
        <x:f>G9-F9</x:f>
        <x:v>-525</x:v>
      </x:c>
      <x:c r="I9" s="103" t="n">
        <x:f>IFERROR(H9/F9,0)</x:f>
        <x:v>-1</x:v>
      </x:c>
      <x:c r="J9" s="100" t="n">
        <x:f>SUMIFS('41_Actual_Theo_thang'!$E$4:$E$200,'41_Actual_Theo_thang'!$C$4:$C$200,A9)</x:f>
        <x:v>0</x:v>
      </x:c>
      <x:c r="K9" s="100" t="n">
        <x:f>IFERROR(INDEX('33_No_vay_Covenant'!$G$4:$G$9,MATCH(A9,'33_No_vay_Covenant'!$C$4:$C$9,0)),0)</x:f>
        <x:v>501.2</x:v>
      </x:c>
      <x:c r="L9" s="100" t="n">
        <x:f>IFERROR(INDEX('32_Treasury_Cash_Pool'!$F$5:$F$10,MATCH(A9,'32_Treasury_Cash_Pool'!$B$5:$B$10,0)),0)</x:f>
        <x:v>467.7</x:v>
      </x:c>
      <x:c r="M9" s="100" t="n">
        <x:f>IFERROR(INDEX('16_Suc_khoe_du_an'!$H$4:$H$9,MATCH(A9,'16_Suc_khoe_du_an'!$A$4:$A$9,0)),0)</x:f>
        <x:v>78</x:v>
      </x:c>
      <x:c r="N9" s="14" t="str">
        <x:f>IF(OR(E9&lt;-10%,I9&gt;10%,L9&gt;0),"CẢNH BÁO","OK")</x:f>
        <x:v>CẢNH BÁO</x:v>
      </x:c>
      <x:c r="O9" s="14" t="str">
        <x:v>CFO/PMO</x:v>
      </x:c>
      <x:c r="P9" s="14" t="str">
        <x:f>IF(N9="CẢNH BÁO","Rà forecast, funding và kế hoạch phục hồi","Theo kế hoạch")</x:f>
        <x:v>Rà forecast, funding và kế hoạch phục hồi</x:v>
      </x:c>
      <x:c r="Q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</x:row>
  </x:sheetData>
  <x:mergeCells>
    <x:mergeCell ref="A1:P1"/>
  </x:mergeCells>
  <x:conditionalFormatting sqref="N4:N9">
    <x:cfRule type="expression" dxfId="9" priority="1">
      <x:formula>N4="CẢNH BÁO"</x:formula>
    </x:cfRule>
  </x:conditionalFormatting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>
      <x:c r="A1" s="113" t="str">
        <x:v>43_Rolling_Forecast – Rolling Forecast 24 tháng &amp; reforecast triggers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  <x:c r="O1" s="14"/>
      <x:c r="P1" s="14"/>
      <x:c r="Q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</x:row>
    <x:row r="3">
      <x:c r="A3" s="111" t="str">
        <x:v>Mã dự án</x:v>
      </x:c>
      <x:c r="B3" s="111" t="str">
        <x:v>Thay đổi giá bán</x:v>
      </x:c>
      <x:c r="C3" s="111" t="str">
        <x:v>Thay đổi hấp thụ</x:v>
      </x:c>
      <x:c r="D3" s="111" t="str">
        <x:v>Thay đổi chi phí</x:v>
      </x:c>
      <x:c r="E3" s="111" t="str">
        <x:v>Thay đổi lãi suất</x:v>
      </x:c>
      <x:c r="F3" s="111" t="str">
        <x:v>Chậm pháp lý thêm (ngày)</x:v>
      </x:c>
      <x:c r="G3" s="111" t="str">
        <x:v>Thay đổi hạn mức tín dụng</x:v>
      </x:c>
      <x:c r="H3" s="111" t="str">
        <x:v>Dự báo doanh thu 24T</x:v>
      </x:c>
      <x:c r="I3" s="111" t="str">
        <x:v>Dự báo CAPEX 24T</x:v>
      </x:c>
      <x:c r="J3" s="111" t="str">
        <x:v>Dự báo khoảng thiếu vốn</x:v>
      </x:c>
      <x:c r="K3" s="111" t="str">
        <x:v>Dự báo LNST</x:v>
      </x:c>
      <x:c r="L3" s="111" t="str">
        <x:v>Ngày cập nhật</x:v>
      </x:c>
      <x:c r="M3" s="111" t="str">
        <x:v>Kích hoạt dự báo lại</x:v>
      </x:c>
      <x:c r="N3" s="111" t="str">
        <x:v>Ghi chú</x:v>
      </x:c>
      <x:c r="O3" s="14"/>
      <x:c r="P3" s="14"/>
      <x:c r="Q3" s="14"/>
    </x:row>
    <x:row r="4">
      <x:c r="A4" s="97" t="str">
        <x:v>DA01</x:v>
      </x:c>
      <x:c r="B4" s="98" t="n">
        <x:v>0</x:v>
      </x:c>
      <x:c r="C4" s="98" t="n">
        <x:v>0</x:v>
      </x:c>
      <x:c r="D4" s="98" t="n">
        <x:v>0</x:v>
      </x:c>
      <x:c r="E4" s="98" t="n">
        <x:v>0</x:v>
      </x:c>
      <x:c r="F4" s="97" t="n">
        <x:v>0</x:v>
      </x:c>
      <x:c r="G4" s="98" t="n">
        <x:v>0</x:v>
      </x:c>
      <x:c r="H4" s="100" t="n">
        <x:f>MAX(0,INDEX('01_Danh_muc_du_an'!$G$4:$G$9,MATCH(A4,'01_Danh_muc_du_an'!$A$4:$A$9,0))*(1+B4)*24/60)</x:f>
        <x:v>3920</x:v>
      </x:c>
      <x:c r="I4" s="100" t="n">
        <x:f>MAX(0,INDEX('01_Danh_muc_du_an'!$F$4:$F$9,MATCH(A4,'01_Danh_muc_du_an'!$A$4:$A$9,0))*(1+D4)*24/60)</x:f>
        <x:v>2600</x:v>
      </x:c>
      <x:c r="J4" s="100" t="n">
        <x:f>MAX(0,I4-H4*0.55)</x:f>
        <x:v>444</x:v>
      </x:c>
      <x:c r="K4" s="100" t="n">
        <x:f>H4*0.22-I4*0.03</x:f>
        <x:v>784.4</x:v>
      </x:c>
      <x:c r="L4" s="14" t="n">
        <x:f>TODAY()</x:f>
        <x:v>46247</x:v>
      </x:c>
      <x:c r="M4" s="14" t="str">
        <x:f>IF(OR(ABS(B4)&gt;=5%,ABS(C4)&gt;=10%,ABS(D4)&gt;=5%,F4&gt;=30,G4&lt;=-10%),"REFORECAST","BÌNH THƯỜNG")</x:f>
        <x:v>BÌNH THƯỜNG</x:v>
      </x:c>
      <x:c r="N4" s="14" t="str">
        <x:f>IF(M4="REFORECAST","Trình CFO/TGĐ phê duyệt forecast mới","Không")</x:f>
        <x:v>Không</x:v>
      </x:c>
      <x:c r="O4" s="14"/>
      <x:c r="P4" s="14"/>
      <x:c r="Q4" s="14"/>
    </x:row>
    <x:row r="5">
      <x:c r="A5" s="97" t="str">
        <x:v>DA02</x:v>
      </x:c>
      <x:c r="B5" s="98" t="n">
        <x:v>0</x:v>
      </x:c>
      <x:c r="C5" s="98" t="n">
        <x:v>0</x:v>
      </x:c>
      <x:c r="D5" s="98" t="n">
        <x:v>0</x:v>
      </x:c>
      <x:c r="E5" s="98" t="n">
        <x:v>0</x:v>
      </x:c>
      <x:c r="F5" s="97" t="n">
        <x:v>0</x:v>
      </x:c>
      <x:c r="G5" s="98" t="n">
        <x:v>0</x:v>
      </x:c>
      <x:c r="H5" s="100" t="n">
        <x:f>MAX(0,INDEX('01_Danh_muc_du_an'!$G$4:$G$9,MATCH(A5,'01_Danh_muc_du_an'!$A$4:$A$9,0))*(1+B5)*24/60)</x:f>
        <x:v>4480</x:v>
      </x:c>
      <x:c r="I5" s="100" t="n">
        <x:f>MAX(0,INDEX('01_Danh_muc_du_an'!$F$4:$F$9,MATCH(A5,'01_Danh_muc_du_an'!$A$4:$A$9,0))*(1+D5)*24/60)</x:f>
        <x:v>2880</x:v>
      </x:c>
      <x:c r="J5" s="100" t="n">
        <x:f>MAX(0,I5-H5*0.55)</x:f>
        <x:v>416</x:v>
      </x:c>
      <x:c r="K5" s="100" t="n">
        <x:f>H5*0.22-I5*0.03</x:f>
        <x:v>899.2</x:v>
      </x:c>
      <x:c r="L5" s="14" t="n">
        <x:f>TODAY()</x:f>
        <x:v>46247</x:v>
      </x:c>
      <x:c r="M5" s="14" t="str">
        <x:f>IF(OR(ABS(B5)&gt;=5%,ABS(C5)&gt;=10%,ABS(D5)&gt;=5%,F5&gt;=30,G5&lt;=-10%),"REFORECAST","BÌNH THƯỜNG")</x:f>
        <x:v>BÌNH THƯỜNG</x:v>
      </x:c>
      <x:c r="N5" s="14" t="str">
        <x:f>IF(M5="REFORECAST","Trình CFO/TGĐ phê duyệt forecast mới","Không")</x:f>
        <x:v>Không</x:v>
      </x:c>
      <x:c r="O5" s="14"/>
      <x:c r="P5" s="14"/>
      <x:c r="Q5" s="14"/>
    </x:row>
    <x:row r="6">
      <x:c r="A6" s="97" t="str">
        <x:v>DA03</x:v>
      </x:c>
      <x:c r="B6" s="98" t="n">
        <x:v>0</x:v>
      </x:c>
      <x:c r="C6" s="98" t="n">
        <x:v>0</x:v>
      </x:c>
      <x:c r="D6" s="98" t="n">
        <x:v>0</x:v>
      </x:c>
      <x:c r="E6" s="98" t="n">
        <x:v>0</x:v>
      </x:c>
      <x:c r="F6" s="97" t="n">
        <x:v>0</x:v>
      </x:c>
      <x:c r="G6" s="98" t="n">
        <x:v>0</x:v>
      </x:c>
      <x:c r="H6" s="100" t="n">
        <x:f>MAX(0,INDEX('01_Danh_muc_du_an'!$G$4:$G$9,MATCH(A6,'01_Danh_muc_du_an'!$A$4:$A$9,0))*(1+B6)*24/60)</x:f>
        <x:v>5920</x:v>
      </x:c>
      <x:c r="I6" s="100" t="n">
        <x:f>MAX(0,INDEX('01_Danh_muc_du_an'!$F$4:$F$9,MATCH(A6,'01_Danh_muc_du_an'!$A$4:$A$9,0))*(1+D6)*24/60)</x:f>
        <x:v>3920</x:v>
      </x:c>
      <x:c r="J6" s="100" t="n">
        <x:f>MAX(0,I6-H6*0.55)</x:f>
        <x:v>663.9999999999995</x:v>
      </x:c>
      <x:c r="K6" s="100" t="n">
        <x:f>H6*0.22-I6*0.03</x:f>
        <x:v>1184.8000000000002</x:v>
      </x:c>
      <x:c r="L6" s="14" t="n">
        <x:f>TODAY()</x:f>
        <x:v>46247</x:v>
      </x:c>
      <x:c r="M6" s="14" t="str">
        <x:f>IF(OR(ABS(B6)&gt;=5%,ABS(C6)&gt;=10%,ABS(D6)&gt;=5%,F6&gt;=30,G6&lt;=-10%),"REFORECAST","BÌNH THƯỜNG")</x:f>
        <x:v>BÌNH THƯỜNG</x:v>
      </x:c>
      <x:c r="N6" s="14" t="str">
        <x:f>IF(M6="REFORECAST","Trình CFO/TGĐ phê duyệt forecast mới","Không")</x:f>
        <x:v>Không</x:v>
      </x:c>
      <x:c r="O6" s="14"/>
      <x:c r="P6" s="14"/>
      <x:c r="Q6" s="14"/>
    </x:row>
    <x:row r="7">
      <x:c r="A7" s="97" t="str">
        <x:v>DA04</x:v>
      </x:c>
      <x:c r="B7" s="98" t="n">
        <x:v>0</x:v>
      </x:c>
      <x:c r="C7" s="98" t="n">
        <x:v>0</x:v>
      </x:c>
      <x:c r="D7" s="98" t="n">
        <x:v>0</x:v>
      </x:c>
      <x:c r="E7" s="98" t="n">
        <x:v>0</x:v>
      </x:c>
      <x:c r="F7" s="97" t="n">
        <x:v>0</x:v>
      </x:c>
      <x:c r="G7" s="98" t="n">
        <x:v>0</x:v>
      </x:c>
      <x:c r="H7" s="100" t="n">
        <x:f>MAX(0,INDEX('01_Danh_muc_du_an'!$G$4:$G$9,MATCH(A7,'01_Danh_muc_du_an'!$A$4:$A$9,0))*(1+B7)*24/60)</x:f>
        <x:v>5280</x:v>
      </x:c>
      <x:c r="I7" s="100" t="n">
        <x:f>MAX(0,INDEX('01_Danh_muc_du_an'!$F$4:$F$9,MATCH(A7,'01_Danh_muc_du_an'!$A$4:$A$9,0))*(1+D7)*24/60)</x:f>
        <x:v>3360</x:v>
      </x:c>
      <x:c r="J7" s="100" t="n">
        <x:f>MAX(0,I7-H7*0.55)</x:f>
        <x:v>455.99999999999955</x:v>
      </x:c>
      <x:c r="K7" s="100" t="n">
        <x:f>H7*0.22-I7*0.03</x:f>
        <x:v>1060.8</x:v>
      </x:c>
      <x:c r="L7" s="14" t="n">
        <x:f>TODAY()</x:f>
        <x:v>46247</x:v>
      </x:c>
      <x:c r="M7" s="14" t="str">
        <x:f>IF(OR(ABS(B7)&gt;=5%,ABS(C7)&gt;=10%,ABS(D7)&gt;=5%,F7&gt;=30,G7&lt;=-10%),"REFORECAST","BÌNH THƯỜNG")</x:f>
        <x:v>BÌNH THƯỜNG</x:v>
      </x:c>
      <x:c r="N7" s="14" t="str">
        <x:f>IF(M7="REFORECAST","Trình CFO/TGĐ phê duyệt forecast mới","Không")</x:f>
        <x:v>Không</x:v>
      </x:c>
      <x:c r="O7" s="14"/>
      <x:c r="P7" s="14"/>
      <x:c r="Q7" s="14"/>
    </x:row>
    <x:row r="8">
      <x:c r="A8" s="97" t="str">
        <x:v>DA05</x:v>
      </x:c>
      <x:c r="B8" s="98" t="n">
        <x:v>0</x:v>
      </x:c>
      <x:c r="C8" s="98" t="n">
        <x:v>0</x:v>
      </x:c>
      <x:c r="D8" s="98" t="n">
        <x:v>0</x:v>
      </x:c>
      <x:c r="E8" s="98" t="n">
        <x:v>0</x:v>
      </x:c>
      <x:c r="F8" s="97" t="n">
        <x:v>0</x:v>
      </x:c>
      <x:c r="G8" s="98" t="n">
        <x:v>0</x:v>
      </x:c>
      <x:c r="H8" s="100" t="n">
        <x:f>MAX(0,INDEX('01_Danh_muc_du_an'!$G$4:$G$9,MATCH(A8,'01_Danh_muc_du_an'!$A$4:$A$9,0))*(1+B8)*24/60)</x:f>
        <x:v>3760</x:v>
      </x:c>
      <x:c r="I8" s="100" t="n">
        <x:f>MAX(0,INDEX('01_Danh_muc_du_an'!$F$4:$F$9,MATCH(A8,'01_Danh_muc_du_an'!$A$4:$A$9,0))*(1+D8)*24/60)</x:f>
        <x:v>2480</x:v>
      </x:c>
      <x:c r="J8" s="100" t="n">
        <x:f>MAX(0,I8-H8*0.55)</x:f>
        <x:v>412</x:v>
      </x:c>
      <x:c r="K8" s="100" t="n">
        <x:f>H8*0.22-I8*0.03</x:f>
        <x:v>752.8000000000001</x:v>
      </x:c>
      <x:c r="L8" s="14" t="n">
        <x:f>TODAY()</x:f>
        <x:v>46247</x:v>
      </x:c>
      <x:c r="M8" s="14" t="str">
        <x:f>IF(OR(ABS(B8)&gt;=5%,ABS(C8)&gt;=10%,ABS(D8)&gt;=5%,F8&gt;=30,G8&lt;=-10%),"REFORECAST","BÌNH THƯỜNG")</x:f>
        <x:v>BÌNH THƯỜNG</x:v>
      </x:c>
      <x:c r="N8" s="14" t="str">
        <x:f>IF(M8="REFORECAST","Trình CFO/TGĐ phê duyệt forecast mới","Không")</x:f>
        <x:v>Không</x:v>
      </x:c>
      <x:c r="O8" s="14"/>
      <x:c r="P8" s="14"/>
      <x:c r="Q8" s="14"/>
    </x:row>
    <x:row r="9">
      <x:c r="A9" s="97" t="str">
        <x:v>DA06</x:v>
      </x:c>
      <x:c r="B9" s="98" t="n">
        <x:v>0</x:v>
      </x:c>
      <x:c r="C9" s="98" t="n">
        <x:v>0</x:v>
      </x:c>
      <x:c r="D9" s="98" t="n">
        <x:v>0</x:v>
      </x:c>
      <x:c r="E9" s="98" t="n">
        <x:v>0</x:v>
      </x:c>
      <x:c r="F9" s="97" t="n">
        <x:v>0</x:v>
      </x:c>
      <x:c r="G9" s="98" t="n">
        <x:v>0</x:v>
      </x:c>
      <x:c r="H9" s="100" t="n">
        <x:f>MAX(0,INDEX('01_Danh_muc_du_an'!$G$4:$G$9,MATCH(A9,'01_Danh_muc_du_an'!$A$4:$A$9,0))*(1+B9)*24/60)</x:f>
        <x:v>2880</x:v>
      </x:c>
      <x:c r="I9" s="100" t="n">
        <x:f>MAX(0,INDEX('01_Danh_muc_du_an'!$F$4:$F$9,MATCH(A9,'01_Danh_muc_du_an'!$A$4:$A$9,0))*(1+D9)*24/60)</x:f>
        <x:v>1800</x:v>
      </x:c>
      <x:c r="J9" s="100" t="n">
        <x:f>MAX(0,I9-H9*0.55)</x:f>
        <x:v>215.99999999999977</x:v>
      </x:c>
      <x:c r="K9" s="100" t="n">
        <x:f>H9*0.22-I9*0.03</x:f>
        <x:v>579.6</x:v>
      </x:c>
      <x:c r="L9" s="14" t="n">
        <x:f>TODAY()</x:f>
        <x:v>46247</x:v>
      </x:c>
      <x:c r="M9" s="14" t="str">
        <x:f>IF(OR(ABS(B9)&gt;=5%,ABS(C9)&gt;=10%,ABS(D9)&gt;=5%,F9&gt;=30,G9&lt;=-10%),"REFORECAST","BÌNH THƯỜNG")</x:f>
        <x:v>BÌNH THƯỜNG</x:v>
      </x:c>
      <x:c r="N9" s="14" t="str">
        <x:f>IF(M9="REFORECAST","Trình CFO/TGĐ phê duyệt forecast mới","Không")</x:f>
        <x:v>Không</x:v>
      </x:c>
      <x:c r="O9" s="14"/>
      <x:c r="P9" s="14"/>
      <x:c r="Q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</x:row>
  </x:sheetData>
  <x:mergeCells>
    <x:mergeCell ref="A1:N1"/>
  </x:mergeCells>
  <x:conditionalFormatting sqref="M4:M9">
    <x:cfRule type="expression" dxfId="10" priority="1">
      <x:formula>M4="REFORECAST"</x:formula>
    </x:cfRule>
  </x:conditionalFormatting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>
      <x:c r="A1" s="113" t="str">
        <x:v>44_Covenant_Forecast – Dự báo covenant &amp; thời gian hành động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  <x:c r="O1" s="14"/>
      <x:c r="P1" s="14"/>
      <x:c r="Q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</x:row>
    <x:row r="3">
      <x:c r="A3" s="111" t="str">
        <x:v>Khoản vay</x:v>
      </x:c>
      <x:c r="B3" s="111" t="str">
        <x:v>Dự án</x:v>
      </x:c>
      <x:c r="C3" s="111" t="str">
        <x:v>DSCR tối thiểu</x:v>
      </x:c>
      <x:c r="D3" s="111" t="str">
        <x:v>DSCR hiện tại</x:v>
      </x:c>
      <x:c r="E3" s="111" t="str">
        <x:v>DSCR 3T</x:v>
      </x:c>
      <x:c r="F3" s="111" t="str">
        <x:v>DSCR 6T</x:v>
      </x:c>
      <x:c r="G3" s="111" t="str">
        <x:v>DSCR 12T</x:v>
      </x:c>
      <x:c r="H3" s="111" t="str">
        <x:v>LTV tối đa</x:v>
      </x:c>
      <x:c r="I3" s="111" t="str">
        <x:v>LTV hiện tại</x:v>
      </x:c>
      <x:c r="J3" s="111" t="str">
        <x:v>LTV 12T</x:v>
      </x:c>
      <x:c r="K3" s="111" t="str">
        <x:v>Biên an toàn hiện tại</x:v>
      </x:c>
      <x:c r="L3" s="111" t="str">
        <x:v>Thời gian dự kiến vi phạm</x:v>
      </x:c>
      <x:c r="M3" s="111" t="str">
        <x:v>Xác suất vi phạm</x:v>
      </x:c>
      <x:c r="N3" s="111" t="str">
        <x:v>Hành động</x:v>
      </x:c>
      <x:c r="O3" s="14"/>
      <x:c r="P3" s="14"/>
      <x:c r="Q3" s="14"/>
    </x:row>
    <x:row r="4">
      <x:c r="A4" s="14" t="str">
        <x:f>'33_No_vay_Covenant'!A4</x:f>
        <x:v>LN01</x:v>
      </x:c>
      <x:c r="B4" s="14" t="str">
        <x:f>'33_No_vay_Covenant'!C4</x:f>
        <x:v>DA01</x:v>
      </x:c>
      <x:c r="C4" s="115" t="n">
        <x:f>'33_No_vay_Covenant'!M4</x:f>
        <x:v>1.2</x:v>
      </x:c>
      <x:c r="D4" s="115" t="n">
        <x:f>'33_No_vay_Covenant'!N4</x:f>
        <x:v>1.05</x:v>
      </x:c>
      <x:c r="E4" s="115" t="n">
        <x:f>D4*0.97</x:f>
        <x:v>1.0185</x:v>
      </x:c>
      <x:c r="F4" s="115" t="n">
        <x:f>D4*0.94</x:f>
        <x:v>0.987</x:v>
      </x:c>
      <x:c r="G4" s="115" t="n">
        <x:f>D4*0.90</x:f>
        <x:v>0.9450000000000001</x:v>
      </x:c>
      <x:c r="H4" s="115" t="n">
        <x:f>'33_No_vay_Covenant'!K4</x:f>
        <x:v>0.7</x:v>
      </x:c>
      <x:c r="I4" s="115" t="n">
        <x:f>'33_No_vay_Covenant'!L4</x:f>
        <x:v>0.48</x:v>
      </x:c>
      <x:c r="J4" s="115" t="n">
        <x:f>I4*1.06</x:f>
        <x:v>0.5088</x:v>
      </x:c>
      <x:c r="K4" s="100" t="n">
        <x:f>'33_No_vay_Covenant'!P4</x:f>
        <x:v>2010.9</x:v>
      </x:c>
      <x:c r="L4" s="14" t="str">
        <x:f>IF(G4&lt;C4,"&lt;=12 tháng",IF(F4&lt;C4,"&lt;=6 tháng",IF(E4&lt;C4,"&lt;=3 tháng","Không breach")))</x:f>
        <x:v>&lt;=12 tháng</x:v>
      </x:c>
      <x:c r="M4" s="14" t="str">
        <x:f>IF(OR(G4&lt;C4,J4&gt;H4),"Cao",IF(OR(F4&lt;C4*1.1,J4&gt;H4*0.95),"Trung bình","Thấp"))</x:f>
        <x:v>Cao</x:v>
      </x:c>
      <x:c r="N4" s="14" t="str">
        <x:f>IF(M4="Cao","Đàm phán waiver/refinance + cash preservation",IF(M4="Trung bình","Chuẩn bị phương án phòng ngừa","Theo dõi"))</x:f>
        <x:v>Đàm phán waiver/refinance + cash preservation</x:v>
      </x:c>
      <x:c r="O4" s="14"/>
      <x:c r="P4" s="14"/>
      <x:c r="Q4" s="14"/>
    </x:row>
    <x:row r="5">
      <x:c r="A5" s="14" t="str">
        <x:f>'33_No_vay_Covenant'!A5</x:f>
        <x:v>LN02</x:v>
      </x:c>
      <x:c r="B5" s="14" t="str">
        <x:f>'33_No_vay_Covenant'!C5</x:f>
        <x:v>DA02</x:v>
      </x:c>
      <x:c r="C5" s="115" t="n">
        <x:f>'33_No_vay_Covenant'!M5</x:f>
        <x:v>1.2</x:v>
      </x:c>
      <x:c r="D5" s="115" t="n">
        <x:f>'33_No_vay_Covenant'!N5</x:f>
        <x:v>1.12</x:v>
      </x:c>
      <x:c r="E5" s="115" t="n">
        <x:f>D5*0.97</x:f>
        <x:v>1.0864</x:v>
      </x:c>
      <x:c r="F5" s="115" t="n">
        <x:f>D5*0.94</x:f>
        <x:v>1.0528</x:v>
      </x:c>
      <x:c r="G5" s="115" t="n">
        <x:f>D5*0.90</x:f>
        <x:v>1.0080000000000002</x:v>
      </x:c>
      <x:c r="H5" s="115" t="n">
        <x:f>'33_No_vay_Covenant'!K5</x:f>
        <x:v>0.7</x:v>
      </x:c>
      <x:c r="I5" s="115" t="n">
        <x:f>'33_No_vay_Covenant'!L5</x:f>
        <x:v>0.58</x:v>
      </x:c>
      <x:c r="J5" s="115" t="n">
        <x:f>I5*1.06</x:f>
        <x:v>0.6148</x:v>
      </x:c>
      <x:c r="K5" s="100" t="n">
        <x:f>'33_No_vay_Covenant'!P5</x:f>
        <x:v>1321.9</x:v>
      </x:c>
      <x:c r="L5" s="14" t="str">
        <x:f>IF(G5&lt;C5,"&lt;=12 tháng",IF(F5&lt;C5,"&lt;=6 tháng",IF(E5&lt;C5,"&lt;=3 tháng","Không breach")))</x:f>
        <x:v>&lt;=12 tháng</x:v>
      </x:c>
      <x:c r="M5" s="14" t="str">
        <x:f>IF(OR(G5&lt;C5,J5&gt;H5),"Cao",IF(OR(F5&lt;C5*1.1,J5&gt;H5*0.95),"Trung bình","Thấp"))</x:f>
        <x:v>Cao</x:v>
      </x:c>
      <x:c r="N5" s="14" t="str">
        <x:f>IF(M5="Cao","Đàm phán waiver/refinance + cash preservation",IF(M5="Trung bình","Chuẩn bị phương án phòng ngừa","Theo dõi"))</x:f>
        <x:v>Đàm phán waiver/refinance + cash preservation</x:v>
      </x:c>
      <x:c r="O5" s="14"/>
      <x:c r="P5" s="14"/>
      <x:c r="Q5" s="14"/>
    </x:row>
    <x:row r="6">
      <x:c r="A6" s="14" t="str">
        <x:f>'33_No_vay_Covenant'!A6</x:f>
        <x:v>LN03</x:v>
      </x:c>
      <x:c r="B6" s="14" t="str">
        <x:f>'33_No_vay_Covenant'!C6</x:f>
        <x:v>DA03</x:v>
      </x:c>
      <x:c r="C6" s="115" t="n">
        <x:f>'33_No_vay_Covenant'!M6</x:f>
        <x:v>1.2</x:v>
      </x:c>
      <x:c r="D6" s="115" t="n">
        <x:f>'33_No_vay_Covenant'!N6</x:f>
        <x:v>1.28</x:v>
      </x:c>
      <x:c r="E6" s="115" t="n">
        <x:f>D6*0.97</x:f>
        <x:v>1.2416</x:v>
      </x:c>
      <x:c r="F6" s="115" t="n">
        <x:f>D6*0.94</x:f>
        <x:v>1.2032</x:v>
      </x:c>
      <x:c r="G6" s="115" t="n">
        <x:f>D6*0.90</x:f>
        <x:v>1.1520000000000001</x:v>
      </x:c>
      <x:c r="H6" s="115" t="n">
        <x:f>'33_No_vay_Covenant'!K6</x:f>
        <x:v>0.72</x:v>
      </x:c>
      <x:c r="I6" s="115" t="n">
        <x:f>'33_No_vay_Covenant'!L6</x:f>
        <x:v>0.66</x:v>
      </x:c>
      <x:c r="J6" s="115" t="n">
        <x:f>I6*1.06</x:f>
        <x:v>0.6996000000000001</x:v>
      </x:c>
      <x:c r="K6" s="100" t="n">
        <x:f>'33_No_vay_Covenant'!P6</x:f>
        <x:v>1140</x:v>
      </x:c>
      <x:c r="L6" s="14" t="str">
        <x:f>IF(G6&lt;C6,"&lt;=12 tháng",IF(F6&lt;C6,"&lt;=6 tháng",IF(E6&lt;C6,"&lt;=3 tháng","Không breach")))</x:f>
        <x:v>&lt;=12 tháng</x:v>
      </x:c>
      <x:c r="M6" s="14" t="str">
        <x:f>IF(OR(G6&lt;C6,J6&gt;H6),"Cao",IF(OR(F6&lt;C6*1.1,J6&gt;H6*0.95),"Trung bình","Thấp"))</x:f>
        <x:v>Cao</x:v>
      </x:c>
      <x:c r="N6" s="14" t="str">
        <x:f>IF(M6="Cao","Đàm phán waiver/refinance + cash preservation",IF(M6="Trung bình","Chuẩn bị phương án phòng ngừa","Theo dõi"))</x:f>
        <x:v>Đàm phán waiver/refinance + cash preservation</x:v>
      </x:c>
      <x:c r="O6" s="14"/>
      <x:c r="P6" s="14"/>
      <x:c r="Q6" s="14"/>
    </x:row>
    <x:row r="7">
      <x:c r="A7" s="14" t="str">
        <x:f>'33_No_vay_Covenant'!A7</x:f>
        <x:v>LN04</x:v>
      </x:c>
      <x:c r="B7" s="14" t="str">
        <x:f>'33_No_vay_Covenant'!C7</x:f>
        <x:v>DA04</x:v>
      </x:c>
      <x:c r="C7" s="115" t="n">
        <x:f>'33_No_vay_Covenant'!M7</x:f>
        <x:v>1.15</x:v>
      </x:c>
      <x:c r="D7" s="115" t="n">
        <x:f>'33_No_vay_Covenant'!N7</x:f>
        <x:v>1.34</x:v>
      </x:c>
      <x:c r="E7" s="115" t="n">
        <x:f>D7*0.97</x:f>
        <x:v>1.2998</x:v>
      </x:c>
      <x:c r="F7" s="115" t="n">
        <x:f>D7*0.94</x:f>
        <x:v>1.2596</x:v>
      </x:c>
      <x:c r="G7" s="115" t="n">
        <x:f>D7*0.90</x:f>
        <x:v>1.2060000000000002</x:v>
      </x:c>
      <x:c r="H7" s="115" t="n">
        <x:f>'33_No_vay_Covenant'!K7</x:f>
        <x:v>0.7</x:v>
      </x:c>
      <x:c r="I7" s="115" t="n">
        <x:f>'33_No_vay_Covenant'!L7</x:f>
        <x:v>0.63</x:v>
      </x:c>
      <x:c r="J7" s="115" t="n">
        <x:f>I7*1.06</x:f>
        <x:v>0.6678000000000001</x:v>
      </x:c>
      <x:c r="K7" s="100" t="n">
        <x:f>'33_No_vay_Covenant'!P7</x:f>
        <x:v>756</x:v>
      </x:c>
      <x:c r="L7" s="14" t="str">
        <x:f>IF(G7&lt;C7,"&lt;=12 tháng",IF(F7&lt;C7,"&lt;=6 tháng",IF(E7&lt;C7,"&lt;=3 tháng","Không breach")))</x:f>
        <x:v>Không breach</x:v>
      </x:c>
      <x:c r="M7" s="14" t="str">
        <x:f>IF(OR(G7&lt;C7,J7&gt;H7),"Cao",IF(OR(F7&lt;C7*1.1,J7&gt;H7*0.95),"Trung bình","Thấp"))</x:f>
        <x:v>Trung bình</x:v>
      </x:c>
      <x:c r="N7" s="14" t="str">
        <x:f>IF(M7="Cao","Đàm phán waiver/refinance + cash preservation",IF(M7="Trung bình","Chuẩn bị phương án phòng ngừa","Theo dõi"))</x:f>
        <x:v>Chuẩn bị phương án phòng ngừa</x:v>
      </x:c>
      <x:c r="O7" s="14"/>
      <x:c r="P7" s="14"/>
      <x:c r="Q7" s="14"/>
    </x:row>
    <x:row r="8">
      <x:c r="A8" s="14" t="str">
        <x:f>'33_No_vay_Covenant'!A8</x:f>
        <x:v>LN05</x:v>
      </x:c>
      <x:c r="B8" s="14" t="str">
        <x:f>'33_No_vay_Covenant'!C8</x:f>
        <x:v>DA05</x:v>
      </x:c>
      <x:c r="C8" s="115" t="n">
        <x:f>'33_No_vay_Covenant'!M8</x:f>
        <x:v>1.2</x:v>
      </x:c>
      <x:c r="D8" s="115" t="n">
        <x:f>'33_No_vay_Covenant'!N8</x:f>
        <x:v>1.18</x:v>
      </x:c>
      <x:c r="E8" s="115" t="n">
        <x:f>D8*0.97</x:f>
        <x:v>1.1445999999999998</x:v>
      </x:c>
      <x:c r="F8" s="115" t="n">
        <x:f>D8*0.94</x:f>
        <x:v>1.1092</x:v>
      </x:c>
      <x:c r="G8" s="115" t="n">
        <x:f>D8*0.90</x:f>
        <x:v>1.062</x:v>
      </x:c>
      <x:c r="H8" s="115" t="n">
        <x:f>'33_No_vay_Covenant'!K8</x:f>
        <x:v>0.65</x:v>
      </x:c>
      <x:c r="I8" s="115" t="n">
        <x:f>'33_No_vay_Covenant'!L8</x:f>
        <x:v>0.6</x:v>
      </x:c>
      <x:c r="J8" s="115" t="n">
        <x:f>I8*1.06</x:f>
        <x:v>0.636</x:v>
      </x:c>
      <x:c r="K8" s="100" t="n">
        <x:f>'33_No_vay_Covenant'!P8</x:f>
        <x:v>558</x:v>
      </x:c>
      <x:c r="L8" s="14" t="str">
        <x:f>IF(G8&lt;C8,"&lt;=12 tháng",IF(F8&lt;C8,"&lt;=6 tháng",IF(E8&lt;C8,"&lt;=3 tháng","Không breach")))</x:f>
        <x:v>&lt;=12 tháng</x:v>
      </x:c>
      <x:c r="M8" s="14" t="str">
        <x:f>IF(OR(G8&lt;C8,J8&gt;H8),"Cao",IF(OR(F8&lt;C8*1.1,J8&gt;H8*0.95),"Trung bình","Thấp"))</x:f>
        <x:v>Cao</x:v>
      </x:c>
      <x:c r="N8" s="14" t="str">
        <x:f>IF(M8="Cao","Đàm phán waiver/refinance + cash preservation",IF(M8="Trung bình","Chuẩn bị phương án phòng ngừa","Theo dõi"))</x:f>
        <x:v>Đàm phán waiver/refinance + cash preservation</x:v>
      </x:c>
      <x:c r="O8" s="14"/>
      <x:c r="P8" s="14"/>
      <x:c r="Q8" s="14"/>
    </x:row>
    <x:row r="9">
      <x:c r="A9" s="14" t="str">
        <x:f>'33_No_vay_Covenant'!A9</x:f>
        <x:v>LN06</x:v>
      </x:c>
      <x:c r="B9" s="14" t="str">
        <x:f>'33_No_vay_Covenant'!C9</x:f>
        <x:v>DA06</x:v>
      </x:c>
      <x:c r="C9" s="115" t="n">
        <x:f>'33_No_vay_Covenant'!M9</x:f>
        <x:v>1.2</x:v>
      </x:c>
      <x:c r="D9" s="115" t="n">
        <x:f>'33_No_vay_Covenant'!N9</x:f>
        <x:v>0.9</x:v>
      </x:c>
      <x:c r="E9" s="115" t="n">
        <x:f>D9*0.97</x:f>
        <x:v>0.873</x:v>
      </x:c>
      <x:c r="F9" s="115" t="n">
        <x:f>D9*0.94</x:f>
        <x:v>0.846</x:v>
      </x:c>
      <x:c r="G9" s="115" t="n">
        <x:f>D9*0.90</x:f>
        <x:v>0.81</x:v>
      </x:c>
      <x:c r="H9" s="115" t="n">
        <x:f>'33_No_vay_Covenant'!K9</x:f>
        <x:v>0.65</x:v>
      </x:c>
      <x:c r="I9" s="115" t="n">
        <x:f>'33_No_vay_Covenant'!L9</x:f>
        <x:v>0.25</x:v>
      </x:c>
      <x:c r="J9" s="115" t="n">
        <x:f>I9*1.06</x:f>
        <x:v>0.265</x:v>
      </x:c>
      <x:c r="K9" s="100" t="n">
        <x:f>'33_No_vay_Covenant'!P9</x:f>
        <x:v>1523.8</x:v>
      </x:c>
      <x:c r="L9" s="14" t="str">
        <x:f>IF(G9&lt;C9,"&lt;=12 tháng",IF(F9&lt;C9,"&lt;=6 tháng",IF(E9&lt;C9,"&lt;=3 tháng","Không breach")))</x:f>
        <x:v>&lt;=12 tháng</x:v>
      </x:c>
      <x:c r="M9" s="14" t="str">
        <x:f>IF(OR(G9&lt;C9,J9&gt;H9),"Cao",IF(OR(F9&lt;C9*1.1,J9&gt;H9*0.95),"Trung bình","Thấp"))</x:f>
        <x:v>Cao</x:v>
      </x:c>
      <x:c r="N9" s="14" t="str">
        <x:f>IF(M9="Cao","Đàm phán waiver/refinance + cash preservation",IF(M9="Trung bình","Chuẩn bị phương án phòng ngừa","Theo dõi"))</x:f>
        <x:v>Đàm phán waiver/refinance + cash preservation</x:v>
      </x:c>
      <x:c r="O9" s="14"/>
      <x:c r="P9" s="14"/>
      <x:c r="Q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</x:row>
  </x:sheetData>
  <x:mergeCells>
    <x:mergeCell ref="A1:N1"/>
  </x:mergeCells>
  <x:conditionalFormatting sqref="M4:M9">
    <x:cfRule type="expression" dxfId="11" priority="1">
      <x:formula>M4="Cao"</x:formula>
    </x:cfRule>
  </x:conditionalFormatting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>
      <x:c r="A1" s="113" t="str">
        <x:v>45_Phan_bo_von – Xếp hạng ưu tiên vốn theo risk-adjusted return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  <x:c r="O1" s="113"/>
      <x:c r="P1" s="14"/>
      <x:c r="Q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</x:row>
    <x:row r="3">
      <x:c r="A3" s="111" t="str">
        <x:v>Dự án</x:v>
      </x:c>
      <x:c r="B3" s="111" t="str">
        <x:v>Lợi nhuận kỳ vọng</x:v>
      </x:c>
      <x:c r="C3" s="111" t="str">
        <x:v>Khoảng thiếu vốn</x:v>
      </x:c>
      <x:c r="D3" s="111" t="str">
        <x:v>Rủi ro thanh khoản</x:v>
      </x:c>
      <x:c r="E3" s="111" t="str">
        <x:v>Rủi ro cam kết tài chính</x:v>
      </x:c>
      <x:c r="F3" s="111" t="str">
        <x:v>Rủi ro bán hàng</x:v>
      </x:c>
      <x:c r="G3" s="111" t="str">
        <x:v>Điểm chiến lược</x:v>
      </x:c>
      <x:c r="H3" s="111" t="str">
        <x:v>Điểm rủi ro</x:v>
      </x:c>
      <x:c r="I3" s="111" t="str">
        <x:v>Điểm lợi nhuận điều chỉnh rủi ro</x:v>
      </x:c>
      <x:c r="J3" s="111" t="str">
        <x:v>Nhu cầu vốn 12T</x:v>
      </x:c>
      <x:c r="K3" s="111" t="str">
        <x:v>Vốn đề xuất</x:v>
      </x:c>
      <x:c r="L3" s="111" t="str">
        <x:v>Ưu tiên</x:v>
      </x:c>
      <x:c r="M3" s="111" t="str">
        <x:v>Quyết định</x:v>
      </x:c>
      <x:c r="N3" s="111" t="str">
        <x:v>Phụ trách</x:v>
      </x:c>
      <x:c r="O3" s="111" t="str">
        <x:v>Ghi chú</x:v>
      </x:c>
      <x:c r="P3" s="14"/>
      <x:c r="Q3" s="14"/>
    </x:row>
    <x:row r="4">
      <x:c r="A4" s="14" t="str">
        <x:v>DA01</x:v>
      </x:c>
      <x:c r="B4" s="103" t="n">
        <x:f>IFERROR(INDEX('01_Danh_muc_du_an'!$G$4:$G$9,MATCH(A4,'01_Danh_muc_du_an'!$A$4:$A$9,0))/INDEX('01_Danh_muc_du_an'!$F$4:$F$9,MATCH(A4,'01_Danh_muc_du_an'!$A$4:$A$9,0))-1,0)</x:f>
        <x:v>0.5076923076923077</x:v>
      </x:c>
      <x:c r="C4" s="100" t="n">
        <x:f>IFERROR(INDEX('32_Treasury_Cash_Pool'!$F$5:$F$10,MATCH(A4,'32_Treasury_Cash_Pool'!$B$5:$B$10,0)),0)</x:f>
        <x:v>435.4</x:v>
      </x:c>
      <x:c r="D4" s="14" t="n">
        <x:f>IF(C4&gt;300,5,IF(C4&gt;100,3,1))</x:f>
        <x:v>5</x:v>
      </x:c>
      <x:c r="E4" s="14" t="n">
        <x:f>IF(COUNTIFS('33_No_vay_Covenant'!$C$4:$C$9,A4,'33_No_vay_Covenant'!$Q$4:$Q$9,"Cảnh báo")&gt;0,5,1)</x:f>
        <x:v>5</x:v>
      </x:c>
      <x:c r="F4" s="14" t="n">
        <x:f>IF(IFERROR(INDEX('42_Budget_vs_Actual'!$E$4:$E$9,MATCH(A4,'42_Budget_vs_Actual'!$A$4:$A$9,0)),0)&lt;-10%,5,2)</x:f>
        <x:v>5</x:v>
      </x:c>
      <x:c r="G4" s="14" t="n">
        <x:f>IF(A4="DA06",2,IF(OR(A4="DA01",A4="DA02"),4,5))</x:f>
        <x:v>4</x:v>
      </x:c>
      <x:c r="H4" s="14" t="n">
        <x:f>D4+E4+F4</x:f>
        <x:v>15</x:v>
      </x:c>
      <x:c r="I4" s="100" t="n">
        <x:f>B4*10+G4*2-H4*1.5</x:f>
        <x:v>-9.423076923076923</x:v>
      </x:c>
      <x:c r="J4" s="100" t="n">
        <x:f>C4</x:f>
        <x:v>435.4</x:v>
      </x:c>
      <x:c r="K4" s="100" t="n">
        <x:f>IF(A4="DA06",0,MIN(J4,MAX(0,I4)*10))</x:f>
        <x:v>0</x:v>
      </x:c>
      <x:c r="L4" s="14" t="n">
        <x:f>RANK(I4,$I$4:$I$9,0)</x:f>
        <x:v>6</x:v>
      </x:c>
      <x:c r="M4" s="14" t="str">
        <x:f>IF(L4&lt;=2,"Ưu tiên vốn",IF(L4&lt;=4,"Cấp có điều kiện","Hoãn/giảm"))</x:f>
        <x:v>Hoãn/giảm</x:v>
      </x:c>
      <x:c r="N4" s="14" t="str">
        <x:v>CFO</x:v>
      </x:c>
      <x:c r="O4" s="14" t="str">
        <x:f>IF(M4="Ưu tiên vốn","Khóa nguồn và milestone","Gắn vốn với Legal/Sales/Covenant Gate")</x:f>
        <x:v>Gắn vốn với Legal/Sales/Covenant Gate</x:v>
      </x:c>
      <x:c r="P4" s="14"/>
      <x:c r="Q4" s="14"/>
    </x:row>
    <x:row r="5">
      <x:c r="A5" s="14" t="str">
        <x:v>DA02</x:v>
      </x:c>
      <x:c r="B5" s="103" t="n">
        <x:f>IFERROR(INDEX('01_Danh_muc_du_an'!$G$4:$G$9,MATCH(A5,'01_Danh_muc_du_an'!$A$4:$A$9,0))/INDEX('01_Danh_muc_du_an'!$F$4:$F$9,MATCH(A5,'01_Danh_muc_du_an'!$A$4:$A$9,0))-1,0)</x:f>
        <x:v>0.5555555555555556</x:v>
      </x:c>
      <x:c r="C5" s="100" t="n">
        <x:f>IFERROR(INDEX('32_Treasury_Cash_Pool'!$F$5:$F$10,MATCH(A5,'32_Treasury_Cash_Pool'!$B$5:$B$10,0)),0)</x:f>
        <x:v>269.6</x:v>
      </x:c>
      <x:c r="D5" s="14" t="n">
        <x:f>IF(C5&gt;300,5,IF(C5&gt;100,3,1))</x:f>
        <x:v>3</x:v>
      </x:c>
      <x:c r="E5" s="14" t="n">
        <x:f>IF(COUNTIFS('33_No_vay_Covenant'!$C$4:$C$9,A5,'33_No_vay_Covenant'!$Q$4:$Q$9,"Cảnh báo")&gt;0,5,1)</x:f>
        <x:v>5</x:v>
      </x:c>
      <x:c r="F5" s="14" t="n">
        <x:f>IF(IFERROR(INDEX('42_Budget_vs_Actual'!$E$4:$E$9,MATCH(A5,'42_Budget_vs_Actual'!$A$4:$A$9,0)),0)&lt;-10%,5,2)</x:f>
        <x:v>5</x:v>
      </x:c>
      <x:c r="G5" s="14" t="n">
        <x:f>IF(A5="DA06",2,IF(OR(A5="DA01",A5="DA02"),4,5))</x:f>
        <x:v>4</x:v>
      </x:c>
      <x:c r="H5" s="14" t="n">
        <x:f>D5+E5+F5</x:f>
        <x:v>13</x:v>
      </x:c>
      <x:c r="I5" s="100" t="n">
        <x:f>B5*10+G5*2-H5*1.5</x:f>
        <x:v>-5.944444444444445</x:v>
      </x:c>
      <x:c r="J5" s="100" t="n">
        <x:f>C5</x:f>
        <x:v>269.6</x:v>
      </x:c>
      <x:c r="K5" s="100" t="n">
        <x:f>IF(A5="DA06",0,MIN(J5,MAX(0,I5)*10))</x:f>
        <x:v>0</x:v>
      </x:c>
      <x:c r="L5" s="14" t="n">
        <x:f>RANK(I5,$I$4:$I$9,0)</x:f>
        <x:v>4</x:v>
      </x:c>
      <x:c r="M5" s="14" t="str">
        <x:f>IF(L5&lt;=2,"Ưu tiên vốn",IF(L5&lt;=4,"Cấp có điều kiện","Hoãn/giảm"))</x:f>
        <x:v>Cấp có điều kiện</x:v>
      </x:c>
      <x:c r="N5" s="14" t="str">
        <x:v>CFO</x:v>
      </x:c>
      <x:c r="O5" s="14" t="str">
        <x:f>IF(M5="Ưu tiên vốn","Khóa nguồn và milestone","Gắn vốn với Legal/Sales/Covenant Gate")</x:f>
        <x:v>Gắn vốn với Legal/Sales/Covenant Gate</x:v>
      </x:c>
      <x:c r="P5" s="14"/>
      <x:c r="Q5" s="14"/>
    </x:row>
    <x:row r="6">
      <x:c r="A6" s="14" t="str">
        <x:v>DA03</x:v>
      </x:c>
      <x:c r="B6" s="103" t="n">
        <x:f>IFERROR(INDEX('01_Danh_muc_du_an'!$G$4:$G$9,MATCH(A6,'01_Danh_muc_du_an'!$A$4:$A$9,0))/INDEX('01_Danh_muc_du_an'!$F$4:$F$9,MATCH(A6,'01_Danh_muc_du_an'!$A$4:$A$9,0))-1,0)</x:f>
        <x:v>0.510204081632653</x:v>
      </x:c>
      <x:c r="C6" s="100" t="n">
        <x:f>IFERROR(INDEX('32_Treasury_Cash_Pool'!$F$5:$F$10,MATCH(A6,'32_Treasury_Cash_Pool'!$B$5:$B$10,0)),0)</x:f>
        <x:v>124.6</x:v>
      </x:c>
      <x:c r="D6" s="14" t="n">
        <x:f>IF(C6&gt;300,5,IF(C6&gt;100,3,1))</x:f>
        <x:v>3</x:v>
      </x:c>
      <x:c r="E6" s="14" t="n">
        <x:f>IF(COUNTIFS('33_No_vay_Covenant'!$C$4:$C$9,A6,'33_No_vay_Covenant'!$Q$4:$Q$9,"Cảnh báo")&gt;0,5,1)</x:f>
        <x:v>1</x:v>
      </x:c>
      <x:c r="F6" s="14" t="n">
        <x:f>IF(IFERROR(INDEX('42_Budget_vs_Actual'!$E$4:$E$9,MATCH(A6,'42_Budget_vs_Actual'!$A$4:$A$9,0)),0)&lt;-10%,5,2)</x:f>
        <x:v>2</x:v>
      </x:c>
      <x:c r="G6" s="14" t="n">
        <x:f>IF(A6="DA06",2,IF(OR(A6="DA01",A6="DA02"),4,5))</x:f>
        <x:v>5</x:v>
      </x:c>
      <x:c r="H6" s="14" t="n">
        <x:f>D6+E6+F6</x:f>
        <x:v>6</x:v>
      </x:c>
      <x:c r="I6" s="100" t="n">
        <x:f>B6*10+G6*2-H6*1.5</x:f>
        <x:v>6.102040816326529</x:v>
      </x:c>
      <x:c r="J6" s="100" t="n">
        <x:f>C6</x:f>
        <x:v>124.6</x:v>
      </x:c>
      <x:c r="K6" s="100" t="n">
        <x:f>IF(A6="DA06",0,MIN(J6,MAX(0,I6)*10))</x:f>
        <x:v>61.02040816326529</x:v>
      </x:c>
      <x:c r="L6" s="14" t="n">
        <x:f>RANK(I6,$I$4:$I$9,0)</x:f>
        <x:v>2</x:v>
      </x:c>
      <x:c r="M6" s="14" t="str">
        <x:f>IF(L6&lt;=2,"Ưu tiên vốn",IF(L6&lt;=4,"Cấp có điều kiện","Hoãn/giảm"))</x:f>
        <x:v>Ưu tiên vốn</x:v>
      </x:c>
      <x:c r="N6" s="14" t="str">
        <x:v>CFO</x:v>
      </x:c>
      <x:c r="O6" s="14" t="str">
        <x:f>IF(M6="Ưu tiên vốn","Khóa nguồn và milestone","Gắn vốn với Legal/Sales/Covenant Gate")</x:f>
        <x:v>Khóa nguồn và milestone</x:v>
      </x:c>
      <x:c r="P6" s="14"/>
      <x:c r="Q6" s="14"/>
    </x:row>
    <x:row r="7">
      <x:c r="A7" s="14" t="str">
        <x:v>DA04</x:v>
      </x:c>
      <x:c r="B7" s="103" t="n">
        <x:f>IFERROR(INDEX('01_Danh_muc_du_an'!$G$4:$G$9,MATCH(A7,'01_Danh_muc_du_an'!$A$4:$A$9,0))/INDEX('01_Danh_muc_du_an'!$F$4:$F$9,MATCH(A7,'01_Danh_muc_du_an'!$A$4:$A$9,0))-1,0)</x:f>
        <x:v>0.5714285714285714</x:v>
      </x:c>
      <x:c r="C7" s="100" t="n">
        <x:f>IFERROR(INDEX('32_Treasury_Cash_Pool'!$F$5:$F$10,MATCH(A7,'32_Treasury_Cash_Pool'!$B$5:$B$10,0)),0)</x:f>
        <x:v>0</x:v>
      </x:c>
      <x:c r="D7" s="14" t="n">
        <x:f>IF(C7&gt;300,5,IF(C7&gt;100,3,1))</x:f>
        <x:v>1</x:v>
      </x:c>
      <x:c r="E7" s="14" t="n">
        <x:f>IF(COUNTIFS('33_No_vay_Covenant'!$C$4:$C$9,A7,'33_No_vay_Covenant'!$Q$4:$Q$9,"Cảnh báo")&gt;0,5,1)</x:f>
        <x:v>1</x:v>
      </x:c>
      <x:c r="F7" s="14" t="n">
        <x:f>IF(IFERROR(INDEX('42_Budget_vs_Actual'!$E$4:$E$9,MATCH(A7,'42_Budget_vs_Actual'!$A$4:$A$9,0)),0)&lt;-10%,5,2)</x:f>
        <x:v>2</x:v>
      </x:c>
      <x:c r="G7" s="14" t="n">
        <x:f>IF(A7="DA06",2,IF(OR(A7="DA01",A7="DA02"),4,5))</x:f>
        <x:v>5</x:v>
      </x:c>
      <x:c r="H7" s="14" t="n">
        <x:f>D7+E7+F7</x:f>
        <x:v>4</x:v>
      </x:c>
      <x:c r="I7" s="100" t="n">
        <x:f>B7*10+G7*2-H7*1.5</x:f>
        <x:v>9.714285714285714</x:v>
      </x:c>
      <x:c r="J7" s="100" t="n">
        <x:f>C7</x:f>
        <x:v>0</x:v>
      </x:c>
      <x:c r="K7" s="100" t="n">
        <x:f>IF(A7="DA06",0,MIN(J7,MAX(0,I7)*10))</x:f>
        <x:v>0</x:v>
      </x:c>
      <x:c r="L7" s="14" t="n">
        <x:f>RANK(I7,$I$4:$I$9,0)</x:f>
        <x:v>1</x:v>
      </x:c>
      <x:c r="M7" s="14" t="str">
        <x:f>IF(L7&lt;=2,"Ưu tiên vốn",IF(L7&lt;=4,"Cấp có điều kiện","Hoãn/giảm"))</x:f>
        <x:v>Ưu tiên vốn</x:v>
      </x:c>
      <x:c r="N7" s="14" t="str">
        <x:v>CFO</x:v>
      </x:c>
      <x:c r="O7" s="14" t="str">
        <x:f>IF(M7="Ưu tiên vốn","Khóa nguồn và milestone","Gắn vốn với Legal/Sales/Covenant Gate")</x:f>
        <x:v>Khóa nguồn và milestone</x:v>
      </x:c>
      <x:c r="P7" s="14"/>
      <x:c r="Q7" s="14"/>
    </x:row>
    <x:row r="8">
      <x:c r="A8" s="14" t="str">
        <x:v>DA05</x:v>
      </x:c>
      <x:c r="B8" s="103" t="n">
        <x:f>IFERROR(INDEX('01_Danh_muc_du_an'!$G$4:$G$9,MATCH(A8,'01_Danh_muc_du_an'!$A$4:$A$9,0))/INDEX('01_Danh_muc_du_an'!$F$4:$F$9,MATCH(A8,'01_Danh_muc_du_an'!$A$4:$A$9,0))-1,0)</x:f>
        <x:v>0.5161290322580645</x:v>
      </x:c>
      <x:c r="C8" s="100" t="n">
        <x:f>IFERROR(INDEX('32_Treasury_Cash_Pool'!$F$5:$F$10,MATCH(A8,'32_Treasury_Cash_Pool'!$B$5:$B$10,0)),0)</x:f>
        <x:v>0</x:v>
      </x:c>
      <x:c r="D8" s="14" t="n">
        <x:f>IF(C8&gt;300,5,IF(C8&gt;100,3,1))</x:f>
        <x:v>1</x:v>
      </x:c>
      <x:c r="E8" s="14" t="n">
        <x:f>IF(COUNTIFS('33_No_vay_Covenant'!$C$4:$C$9,A8,'33_No_vay_Covenant'!$Q$4:$Q$9,"Cảnh báo")&gt;0,5,1)</x:f>
        <x:v>5</x:v>
      </x:c>
      <x:c r="F8" s="14" t="n">
        <x:f>IF(IFERROR(INDEX('42_Budget_vs_Actual'!$E$4:$E$9,MATCH(A8,'42_Budget_vs_Actual'!$A$4:$A$9,0)),0)&lt;-10%,5,2)</x:f>
        <x:v>2</x:v>
      </x:c>
      <x:c r="G8" s="14" t="n">
        <x:f>IF(A8="DA06",2,IF(OR(A8="DA01",A8="DA02"),4,5))</x:f>
        <x:v>5</x:v>
      </x:c>
      <x:c r="H8" s="14" t="n">
        <x:f>D8+E8+F8</x:f>
        <x:v>8</x:v>
      </x:c>
      <x:c r="I8" s="100" t="n">
        <x:f>B8*10+G8*2-H8*1.5</x:f>
        <x:v>3.161290322580644</x:v>
      </x:c>
      <x:c r="J8" s="100" t="n">
        <x:f>C8</x:f>
        <x:v>0</x:v>
      </x:c>
      <x:c r="K8" s="100" t="n">
        <x:f>IF(A8="DA06",0,MIN(J8,MAX(0,I8)*10))</x:f>
        <x:v>0</x:v>
      </x:c>
      <x:c r="L8" s="14" t="n">
        <x:f>RANK(I8,$I$4:$I$9,0)</x:f>
        <x:v>3</x:v>
      </x:c>
      <x:c r="M8" s="14" t="str">
        <x:f>IF(L8&lt;=2,"Ưu tiên vốn",IF(L8&lt;=4,"Cấp có điều kiện","Hoãn/giảm"))</x:f>
        <x:v>Cấp có điều kiện</x:v>
      </x:c>
      <x:c r="N8" s="14" t="str">
        <x:v>CFO</x:v>
      </x:c>
      <x:c r="O8" s="14" t="str">
        <x:f>IF(M8="Ưu tiên vốn","Khóa nguồn và milestone","Gắn vốn với Legal/Sales/Covenant Gate")</x:f>
        <x:v>Gắn vốn với Legal/Sales/Covenant Gate</x:v>
      </x:c>
      <x:c r="P8" s="14"/>
      <x:c r="Q8" s="14"/>
    </x:row>
    <x:row r="9">
      <x:c r="A9" s="14" t="str">
        <x:v>DA06</x:v>
      </x:c>
      <x:c r="B9" s="103" t="n">
        <x:f>IFERROR(INDEX('01_Danh_muc_du_an'!$G$4:$G$9,MATCH(A9,'01_Danh_muc_du_an'!$A$4:$A$9,0))/INDEX('01_Danh_muc_du_an'!$F$4:$F$9,MATCH(A9,'01_Danh_muc_du_an'!$A$4:$A$9,0))-1,0)</x:f>
        <x:v>0.6000000000000001</x:v>
      </x:c>
      <x:c r="C9" s="100" t="n">
        <x:f>IFERROR(INDEX('32_Treasury_Cash_Pool'!$F$5:$F$10,MATCH(A9,'32_Treasury_Cash_Pool'!$B$5:$B$10,0)),0)</x:f>
        <x:v>467.7</x:v>
      </x:c>
      <x:c r="D9" s="14" t="n">
        <x:f>IF(C9&gt;300,5,IF(C9&gt;100,3,1))</x:f>
        <x:v>5</x:v>
      </x:c>
      <x:c r="E9" s="14" t="n">
        <x:f>IF(COUNTIFS('33_No_vay_Covenant'!$C$4:$C$9,A9,'33_No_vay_Covenant'!$Q$4:$Q$9,"Cảnh báo")&gt;0,5,1)</x:f>
        <x:v>1</x:v>
      </x:c>
      <x:c r="F9" s="14" t="n">
        <x:f>IF(IFERROR(INDEX('42_Budget_vs_Actual'!$E$4:$E$9,MATCH(A9,'42_Budget_vs_Actual'!$A$4:$A$9,0)),0)&lt;-10%,5,2)</x:f>
        <x:v>5</x:v>
      </x:c>
      <x:c r="G9" s="14" t="n">
        <x:f>IF(A9="DA06",2,IF(OR(A9="DA01",A9="DA02"),4,5))</x:f>
        <x:v>2</x:v>
      </x:c>
      <x:c r="H9" s="14" t="n">
        <x:f>D9+E9+F9</x:f>
        <x:v>11</x:v>
      </x:c>
      <x:c r="I9" s="100" t="n">
        <x:f>B9*10+G9*2-H9*1.5</x:f>
        <x:v>-6.5</x:v>
      </x:c>
      <x:c r="J9" s="100" t="n">
        <x:f>C9</x:f>
        <x:v>467.7</x:v>
      </x:c>
      <x:c r="K9" s="100" t="n">
        <x:f>IF(A9="DA06",0,MIN(J9,MAX(0,I9)*10))</x:f>
        <x:v>0</x:v>
      </x:c>
      <x:c r="L9" s="14" t="n">
        <x:f>RANK(I9,$I$4:$I$9,0)</x:f>
        <x:v>5</x:v>
      </x:c>
      <x:c r="M9" s="14" t="str">
        <x:f>IF(L9&lt;=2,"Ưu tiên vốn",IF(L9&lt;=4,"Cấp có điều kiện","Hoãn/giảm"))</x:f>
        <x:v>Hoãn/giảm</x:v>
      </x:c>
      <x:c r="N9" s="14" t="str">
        <x:v>CFO</x:v>
      </x:c>
      <x:c r="O9" s="14" t="str">
        <x:f>IF(M9="Ưu tiên vốn","Khóa nguồn và milestone","Gắn vốn với Legal/Sales/Covenant Gate")</x:f>
        <x:v>Gắn vốn với Legal/Sales/Covenant Gate</x:v>
      </x:c>
      <x:c r="P9" s="14"/>
      <x:c r="Q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</x:row>
  </x:sheetData>
  <x:mergeCells>
    <x:mergeCell ref="A1:O1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>
      <x:c r="A1" s="113" t="str">
        <x:v>46_Board_CFO_Pack – Executive pack 3–5 phút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4"/>
      <x:c r="L1" s="14"/>
      <x:c r="M1" s="14"/>
      <x:c r="N1" s="14"/>
      <x:c r="O1" s="14"/>
      <x:c r="P1" s="14"/>
      <x:c r="Q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</x:row>
    <x:row r="3">
      <x:c r="A3" s="111" t="str">
        <x:v>KPI</x:v>
      </x:c>
      <x:c r="B3" s="111" t="str">
        <x:v>Giá trị</x:v>
      </x:c>
      <x:c r="C3" s="14"/>
      <x:c r="D3" s="111" t="str">
        <x:v>Ưu tiên</x:v>
      </x:c>
      <x:c r="E3" s="111" t="str">
        <x:v>Pháp nhân/Dự án</x:v>
      </x:c>
      <x:c r="F3" s="111" t="str">
        <x:v>Quyết định</x:v>
      </x:c>
      <x:c r="G3" s="111" t="str">
        <x:v>Mức độ</x:v>
      </x:c>
      <x:c r="H3" s="111" t="str">
        <x:v>Chủ trì</x:v>
      </x:c>
      <x:c r="I3" s="111" t="str">
        <x:v>Hạn xử lý</x:v>
      </x:c>
      <x:c r="J3" s="111" t="str">
        <x:v>Trạng thái</x:v>
      </x:c>
      <x:c r="K3" s="14"/>
      <x:c r="L3" s="14"/>
      <x:c r="M3" s="14"/>
      <x:c r="N3" s="14"/>
      <x:c r="O3" s="14"/>
      <x:c r="P3" s="14"/>
      <x:c r="Q3" s="14"/>
    </x:row>
    <x:row r="4">
      <x:c r="A4" s="14" t="str">
        <x:v>Funding gap 12T</x:v>
      </x:c>
      <x:c r="B4" s="100" t="n">
        <x:f>SUM('32_Treasury_Cash_Pool'!F5:F10)</x:f>
        <x:v>1297.3</x:v>
      </x:c>
      <x:c r="C4" s="14"/>
      <x:c r="D4" s="14" t="n">
        <x:f>'39_Quyet_dinh_TGD'!A4</x:f>
        <x:v>1</x:v>
      </x:c>
      <x:c r="E4" s="14" t="str">
        <x:f>'39_Quyet_dinh_TGD'!C4</x:f>
        <x:v>SPV02 / DA02</x:v>
      </x:c>
      <x:c r="F4" s="14" t="str">
        <x:f>'39_Quyet_dinh_TGD'!G4</x:f>
        <x:v>Ưu tiên bridge/IC loan có take-out; đẩy Legal Gate</x:v>
      </x:c>
      <x:c r="G4" s="14" t="str">
        <x:f>'39_Quyet_dinh_TGD'!F4</x:f>
        <x:v>Rất cao</x:v>
      </x:c>
      <x:c r="H4" s="14" t="str">
        <x:f>'39_Quyet_dinh_TGD'!H4</x:f>
        <x:v>CFO</x:v>
      </x:c>
      <x:c r="I4" s="28" t="n">
        <x:f>'39_Quyet_dinh_TGD'!J4</x:f>
        <x:v>46254</x:v>
      </x:c>
      <x:c r="J4" s="14" t="str">
        <x:f>'39_Quyet_dinh_TGD'!L4</x:f>
        <x:v>Đang xử lý</x:v>
      </x:c>
      <x:c r="K4" s="14"/>
      <x:c r="L4" s="14"/>
      <x:c r="M4" s="14"/>
      <x:c r="N4" s="14"/>
      <x:c r="O4" s="14"/>
      <x:c r="P4" s="14"/>
      <x:c r="Q4" s="14"/>
    </x:row>
    <x:row r="5">
      <x:c r="A5" s="14" t="str">
        <x:v>Dư nợ ngân hàng</x:v>
      </x:c>
      <x:c r="B5" s="100" t="n">
        <x:f>SUM('33_No_vay_Covenant'!G4:G9)</x:f>
        <x:v>11859.400000000001</x:v>
      </x:c>
      <x:c r="C5" s="14"/>
      <x:c r="D5" s="14" t="n">
        <x:f>'39_Quyet_dinh_TGD'!A5</x:f>
        <x:v>2</x:v>
      </x:c>
      <x:c r="E5" s="14" t="str">
        <x:f>'39_Quyet_dinh_TGD'!C5</x:f>
        <x:v>SPV01 / DA01</x:v>
      </x:c>
      <x:c r="F5" s="14" t="str">
        <x:f>'39_Quyet_dinh_TGD'!G5</x:f>
        <x:v>Escalate pháp lý; không tăng CAPEX trước gate</x:v>
      </x:c>
      <x:c r="G5" s="14" t="str">
        <x:f>'39_Quyet_dinh_TGD'!F5</x:f>
        <x:v>Rất cao</x:v>
      </x:c>
      <x:c r="H5" s="14" t="str">
        <x:f>'39_Quyet_dinh_TGD'!H5</x:f>
        <x:v>GĐ Phát triển</x:v>
      </x:c>
      <x:c r="I5" s="28" t="n">
        <x:f>'39_Quyet_dinh_TGD'!J5</x:f>
        <x:v>46261</x:v>
      </x:c>
      <x:c r="J5" s="14" t="str">
        <x:f>'39_Quyet_dinh_TGD'!L5</x:f>
        <x:v>Đang xử lý</x:v>
      </x:c>
      <x:c r="K5" s="14"/>
      <x:c r="L5" s="14"/>
      <x:c r="M5" s="14"/>
      <x:c r="N5" s="14"/>
      <x:c r="O5" s="14"/>
      <x:c r="P5" s="14"/>
      <x:c r="Q5" s="14"/>
    </x:row>
    <x:row r="6">
      <x:c r="A6" s="14" t="str">
        <x:v>Covenant rủi ro cao</x:v>
      </x:c>
      <x:c r="B6" s="14" t="n">
        <x:f>COUNTIF('44_Covenant_Forecast'!M4:M9,"Cao")</x:f>
        <x:v>5</x:v>
      </x:c>
      <x:c r="C6" s="14"/>
      <x:c r="D6" s="14" t="n">
        <x:f>'39_Quyet_dinh_TGD'!A6</x:f>
        <x:v>3</x:v>
      </x:c>
      <x:c r="E6" s="14" t="str">
        <x:f>'39_Quyet_dinh_TGD'!C6</x:f>
        <x:v>SPV05 / DA05</x:v>
      </x:c>
      <x:c r="F6" s="14" t="str">
        <x:f>'39_Quyet_dinh_TGD'!G6</x:f>
        <x:v>Giữ cash buffer; làm việc ngân hàng về waiver/headroom</x:v>
      </x:c>
      <x:c r="G6" s="14" t="str">
        <x:f>'39_Quyet_dinh_TGD'!F6</x:f>
        <x:v>Cao</x:v>
      </x:c>
      <x:c r="H6" s="14" t="str">
        <x:f>'39_Quyet_dinh_TGD'!H6</x:f>
        <x:v>Treasury</x:v>
      </x:c>
      <x:c r="I6" s="28" t="n">
        <x:f>'39_Quyet_dinh_TGD'!J6</x:f>
        <x:v>46265</x:v>
      </x:c>
      <x:c r="J6" s="14" t="str">
        <x:f>'39_Quyet_dinh_TGD'!L6</x:f>
        <x:v>Chưa bắt đầu</x:v>
      </x:c>
      <x:c r="K6" s="14"/>
      <x:c r="L6" s="14"/>
      <x:c r="M6" s="14"/>
      <x:c r="N6" s="14"/>
      <x:c r="O6" s="14"/>
      <x:c r="P6" s="14"/>
      <x:c r="Q6" s="14"/>
    </x:row>
    <x:row r="7">
      <x:c r="A7" s="14" t="str">
        <x:v>Dự án BvA cảnh báo</x:v>
      </x:c>
      <x:c r="B7" s="14" t="n">
        <x:f>COUNTIF('42_Budget_vs_Actual'!N4:N9,"CẢNH BÁO")</x:f>
        <x:v>5</x:v>
      </x:c>
      <x:c r="C7" s="14"/>
      <x:c r="D7" s="14" t="n">
        <x:f>'39_Quyet_dinh_TGD'!A7</x:f>
        <x:v>4</x:v>
      </x:c>
      <x:c r="E7" s="14" t="str">
        <x:f>'39_Quyet_dinh_TGD'!C7</x:f>
        <x:v>SPV03 / DA03</x:v>
      </x:c>
      <x:c r="F7" s="14" t="str">
        <x:f>'39_Quyet_dinh_TGD'!G7</x:f>
        <x:v>Value engineering + khóa change order</x:v>
      </x:c>
      <x:c r="G7" s="14" t="str">
        <x:f>'39_Quyet_dinh_TGD'!F7</x:f>
        <x:v>Cao</x:v>
      </x:c>
      <x:c r="H7" s="14" t="str">
        <x:f>'39_Quyet_dinh_TGD'!H7</x:f>
        <x:v>QLDA</x:v>
      </x:c>
      <x:c r="I7" s="28" t="n">
        <x:f>'39_Quyet_dinh_TGD'!J7</x:f>
        <x:v>46259</x:v>
      </x:c>
      <x:c r="J7" s="14" t="str">
        <x:f>'39_Quyet_dinh_TGD'!L7</x:f>
        <x:v>Đang xử lý</x:v>
      </x:c>
      <x:c r="K7" s="14"/>
      <x:c r="L7" s="14"/>
      <x:c r="M7" s="14"/>
      <x:c r="N7" s="14"/>
      <x:c r="O7" s="14"/>
      <x:c r="P7" s="14"/>
      <x:c r="Q7" s="14"/>
    </x:row>
    <x:row r="8">
      <x:c r="A8" s="14" t="str">
        <x:v>Dự án cần reforecast</x:v>
      </x:c>
      <x:c r="B8" s="14" t="n">
        <x:f>COUNTIF('43_Rolling_Forecast'!M4:M9,"REFORECAST")</x:f>
        <x:v>0</x:v>
      </x:c>
      <x:c r="C8" s="14"/>
      <x:c r="D8" s="14" t="n">
        <x:f>'39_Quyet_dinh_TGD'!A8</x:f>
        <x:v>5</x:v>
      </x:c>
      <x:c r="E8" s="14" t="str">
        <x:f>'39_Quyet_dinh_TGD'!C8</x:f>
        <x:v>SPV06 / DA06</x:v>
      </x:c>
      <x:c r="F8" s="14" t="str">
        <x:f>'39_Quyet_dinh_TGD'!G8</x:f>
        <x:v>Giữ ngoài consolidation; không giải ngân acquisition facility trước CP</x:v>
      </x:c>
      <x:c r="G8" s="14" t="str">
        <x:f>'39_Quyet_dinh_TGD'!F8</x:f>
        <x:v>Cao</x:v>
      </x:c>
      <x:c r="H8" s="14" t="str">
        <x:f>'39_Quyet_dinh_TGD'!H8</x:f>
        <x:v>Đầu tư</x:v>
      </x:c>
      <x:c r="I8" s="28" t="n">
        <x:f>'39_Quyet_dinh_TGD'!J8</x:f>
        <x:v>46280</x:v>
      </x:c>
      <x:c r="J8" s="14" t="str">
        <x:f>'39_Quyet_dinh_TGD'!L8</x:f>
        <x:v>Chưa bắt đầu</x:v>
      </x:c>
      <x:c r="K8" s="14"/>
      <x:c r="L8" s="14"/>
      <x:c r="M8" s="14"/>
      <x:c r="N8" s="14"/>
      <x:c r="O8" s="14"/>
      <x:c r="P8" s="14"/>
      <x:c r="Q8" s="14"/>
    </x:row>
    <x:row r="9">
      <x:c r="A9" s="14" t="str">
        <x:v>LNST hợp nhất Năm 1</x:v>
      </x:c>
      <x:c r="B9" s="100" t="n">
        <x:f>'35_BCTC_Hop_nhat_Data'!I4</x:f>
        <x:v>-885.5028522459768</x:v>
      </x:c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</x:row>
    <x:row r="10">
      <x:c r="A10" s="14" t="str">
        <x:v>Tiền hợp nhất Năm 1</x:v>
      </x:c>
      <x:c r="B10" s="100" t="n">
        <x:f>'35_BCTC_Hop_nhat_Data'!S4</x:f>
        <x:v>0</x:v>
      </x:c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193db0004fdd427b"/>
</x:worksheet>
</file>

<file path=xl/worksheets/sheet4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8" hidden="0" customWidth="1"/>
    <x:col min="18" max="18" width="28" hidden="0" customWidth="1"/>
  </x:cols>
  <x:sheetData>
    <x:row r="1">
      <x:c r="A1" s="133" t="str">
        <x:v>47_Quan_ly_Phien_ban – Budget / Forecast / Latest Estimate / Actual</x:v>
      </x:c>
      <x:c r="B1" s="133"/>
      <x:c r="C1" s="133"/>
      <x:c r="D1" s="133"/>
      <x:c r="E1" s="133"/>
      <x:c r="F1" s="133"/>
      <x:c r="G1" s="133"/>
      <x:c r="H1" s="133"/>
      <x:c r="I1" s="133"/>
      <x:c r="J1" s="133"/>
      <x:c r="K1" s="133"/>
      <x:c r="L1" s="133"/>
      <x:c r="M1" s="133"/>
      <x:c r="N1" s="133"/>
      <x:c r="O1" s="133"/>
      <x:c r="P1" s="133"/>
      <x:c r="Q1" s="14"/>
      <x:c r="R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</x:row>
    <x:row r="3">
      <x:c r="A3" s="125" t="str">
        <x:v>Mã phiên bản</x:v>
      </x:c>
      <x:c r="B3" s="125" t="str">
        <x:v>Loại phiên bản</x:v>
      </x:c>
      <x:c r="C3" s="125" t="str">
        <x:v>Kỳ áp dụng</x:v>
      </x:c>
      <x:c r="D3" s="125" t="str">
        <x:v>Ngày chụp dữ liệu</x:v>
      </x:c>
      <x:c r="E3" s="125" t="str">
        <x:v>Phạm vi</x:v>
      </x:c>
      <x:c r="F3" s="125" t="str">
        <x:v>Phiên bản cha</x:v>
      </x:c>
      <x:c r="G3" s="125" t="str">
        <x:v>Trạng thái</x:v>
      </x:c>
      <x:c r="H3" s="125" t="str">
        <x:v>Phụ trách</x:v>
      </x:c>
      <x:c r="I3" s="125" t="str">
        <x:v>Người phê duyệt</x:v>
      </x:c>
      <x:c r="J3" s="125" t="str">
        <x:v>Ngày gửi duyệt</x:v>
      </x:c>
      <x:c r="K3" s="125" t="str">
        <x:v>Ngày phê duyệt/khóa</x:v>
      </x:c>
      <x:c r="L3" s="125" t="str">
        <x:v>Cho phép chỉnh sửa?</x:v>
      </x:c>
      <x:c r="M3" s="125" t="str">
        <x:v>Nguồn giả định</x:v>
      </x:c>
      <x:c r="N3" s="125" t="str">
        <x:v>Mục đích sử dụng</x:v>
      </x:c>
      <x:c r="O3" s="125" t="str">
        <x:v>Mức ưu tiên</x:v>
      </x:c>
      <x:c r="P3" s="125" t="str">
        <x:v>Ghi chú</x:v>
      </x:c>
      <x:c r="Q3" s="14"/>
      <x:c r="R3" s="14"/>
    </x:row>
    <x:row r="4">
      <x:c r="A4" s="97" t="str">
        <x:v>ACT_2026_07</x:v>
      </x:c>
      <x:c r="B4" s="97" t="str">
        <x:v>Actual</x:v>
      </x:c>
      <x:c r="C4" s="97" t="str">
        <x:v>01-07/2026</x:v>
      </x:c>
      <x:c r="D4" s="101" t="n">
        <x:v>46234</x:v>
      </x:c>
      <x:c r="E4" s="97" t="str">
        <x:v>Tập đoàn</x:v>
      </x:c>
      <x:c r="F4" s="97" t="str">
        <x:v>-</x:v>
      </x:c>
      <x:c r="G4" s="97" t="str">
        <x:v>Đã khóa</x:v>
      </x:c>
      <x:c r="H4" s="97" t="str">
        <x:v>Kế toán trưởng</x:v>
      </x:c>
      <x:c r="I4" s="97" t="str">
        <x:v>CFO</x:v>
      </x:c>
      <x:c r="J4" s="101" t="n">
        <x:v>46239</x:v>
      </x:c>
      <x:c r="K4" s="101" t="n">
        <x:v>46242</x:v>
      </x:c>
      <x:c r="L4" s="97" t="str">
        <x:v>Không</x:v>
      </x:c>
      <x:c r="M4" s="97" t="str">
        <x:v>ERP/PMIS/Bank</x:v>
      </x:c>
      <x:c r="N4" s="97" t="str">
        <x:v>Báo cáo quản trị tháng</x:v>
      </x:c>
      <x:c r="O4" s="97" t="str">
        <x:v>1 - Chính thức</x:v>
      </x:c>
      <x:c r="P4" s="97" t="str">
        <x:v>Dữ liệu mẫu đang đại diện số thực tế</x:v>
      </x:c>
      <x:c r="Q4" s="14"/>
      <x:c r="R4" s="14"/>
    </x:row>
    <x:row r="5">
      <x:c r="A5" s="97" t="str">
        <x:v>LE_2026_08</x:v>
      </x:c>
      <x:c r="B5" s="97" t="str">
        <x:v>Latest Estimate</x:v>
      </x:c>
      <x:c r="C5" s="97" t="str">
        <x:v>FY2026</x:v>
      </x:c>
      <x:c r="D5" s="101" t="n">
        <x:v>46247</x:v>
      </x:c>
      <x:c r="E5" s="97" t="str">
        <x:v>Tập đoàn</x:v>
      </x:c>
      <x:c r="F5" s="97" t="str">
        <x:v>ACT_2026_07</x:v>
      </x:c>
      <x:c r="G5" s="97" t="str">
        <x:v>Đang sử dụng</x:v>
      </x:c>
      <x:c r="H5" s="97" t="str">
        <x:v>FP&amp;A</x:v>
      </x:c>
      <x:c r="I5" s="97" t="str">
        <x:v>CFO</x:v>
      </x:c>
      <x:c r="J5" s="101" t="n">
        <x:v>46247</x:v>
      </x:c>
      <x:c r="K5" s="101"/>
      <x:c r="L5" s="97" t="str">
        <x:v>Có</x:v>
      </x:c>
      <x:c r="M5" s="97" t="str">
        <x:v>Actual YTD + Rolling Forecast</x:v>
      </x:c>
      <x:c r="N5" s="97" t="str">
        <x:v>Điều hành FY2026</x:v>
      </x:c>
      <x:c r="O5" s="97" t="str">
        <x:v>1 - Chính thức</x:v>
      </x:c>
      <x:c r="P5" s="97" t="str">
        <x:v>Phiên bản điều hành hiện tại</x:v>
      </x:c>
      <x:c r="Q5" s="14"/>
      <x:c r="R5" s="14"/>
    </x:row>
    <x:row r="6">
      <x:c r="A6" s="97" t="str">
        <x:v>FCST_2026_09_01</x:v>
      </x:c>
      <x:c r="B6" s="97" t="str">
        <x:v>Rolling Forecast</x:v>
      </x:c>
      <x:c r="C6" s="97" t="str">
        <x:v>09/2026-08/2028</x:v>
      </x:c>
      <x:c r="D6" s="101" t="n">
        <x:v>46247</x:v>
      </x:c>
      <x:c r="E6" s="97" t="str">
        <x:v>Tập đoàn</x:v>
      </x:c>
      <x:c r="F6" s="97" t="str">
        <x:v>LE_2026_08</x:v>
      </x:c>
      <x:c r="G6" s="97" t="str">
        <x:v>Dự thảo</x:v>
      </x:c>
      <x:c r="H6" s="97" t="str">
        <x:v>FP&amp;A</x:v>
      </x:c>
      <x:c r="I6" s="97" t="str">
        <x:v>CFO</x:v>
      </x:c>
      <x:c r="J6" s="101"/>
      <x:c r="K6" s="101"/>
      <x:c r="L6" s="97" t="str">
        <x:v>Có</x:v>
      </x:c>
      <x:c r="M6" s="97" t="str">
        <x:v>43_Rolling_Forecast</x:v>
      </x:c>
      <x:c r="N6" s="97" t="str">
        <x:v>Dự báo 24 tháng</x:v>
      </x:c>
      <x:c r="O6" s="97" t="str">
        <x:v>2 - Làm việc</x:v>
      </x:c>
      <x:c r="P6" s="97" t="str">
        <x:v>Chưa khóa</x:v>
      </x:c>
      <x:c r="Q6" s="14"/>
      <x:c r="R6" s="14"/>
    </x:row>
    <x:row r="7">
      <x:c r="A7" s="97" t="str">
        <x:v>BUD_2027_01</x:v>
      </x:c>
      <x:c r="B7" s="97" t="str">
        <x:v>Budget</x:v>
      </x:c>
      <x:c r="C7" s="97" t="str">
        <x:v>FY2027</x:v>
      </x:c>
      <x:c r="D7" s="101" t="n">
        <x:v>46247</x:v>
      </x:c>
      <x:c r="E7" s="97" t="str">
        <x:v>Tập đoàn</x:v>
      </x:c>
      <x:c r="F7" s="97" t="str">
        <x:v>LE_2026_08</x:v>
      </x:c>
      <x:c r="G7" s="97" t="str">
        <x:v>Dự thảo</x:v>
      </x:c>
      <x:c r="H7" s="97" t="str">
        <x:v>FP&amp;A</x:v>
      </x:c>
      <x:c r="I7" s="97" t="str">
        <x:v>TGĐ/HĐQT</x:v>
      </x:c>
      <x:c r="J7" s="101"/>
      <x:c r="K7" s="101"/>
      <x:c r="L7" s="97" t="str">
        <x:v>Có</x:v>
      </x:c>
      <x:c r="M7" s="97" t="str">
        <x:v>Bottom-up các SPV</x:v>
      </x:c>
      <x:c r="N7" s="97" t="str">
        <x:v>Ngân sách 2027</x:v>
      </x:c>
      <x:c r="O7" s="97" t="str">
        <x:v>2 - Làm việc</x:v>
      </x:c>
      <x:c r="P7" s="97" t="str">
        <x:v>Vòng 1</x:v>
      </x:c>
      <x:c r="Q7" s="14"/>
      <x:c r="R7" s="14"/>
    </x:row>
    <x:row r="8">
      <x:c r="A8" s="97" t="str">
        <x:v>PLAN_2027_2031</x:v>
      </x:c>
      <x:c r="B8" s="97" t="str">
        <x:v>Kế hoạch trung hạn</x:v>
      </x:c>
      <x:c r="C8" s="97" t="str">
        <x:v>2027-2031</x:v>
      </x:c>
      <x:c r="D8" s="101" t="n">
        <x:v>46247</x:v>
      </x:c>
      <x:c r="E8" s="97" t="str">
        <x:v>Tập đoàn</x:v>
      </x:c>
      <x:c r="F8" s="97" t="str">
        <x:v>BUD_2027_01</x:v>
      </x:c>
      <x:c r="G8" s="97" t="str">
        <x:v>Dự thảo</x:v>
      </x:c>
      <x:c r="H8" s="97" t="str">
        <x:v>CFO/Chiến lược</x:v>
      </x:c>
      <x:c r="I8" s="97" t="str">
        <x:v>HĐQT</x:v>
      </x:c>
      <x:c r="J8" s="101"/>
      <x:c r="K8" s="101"/>
      <x:c r="L8" s="97" t="str">
        <x:v>Có</x:v>
      </x:c>
      <x:c r="M8" s="97" t="str">
        <x:v>Mô hình 60T + chiến lược</x:v>
      </x:c>
      <x:c r="N8" s="97" t="str">
        <x:v>Kế hoạch trung hạn</x:v>
      </x:c>
      <x:c r="O8" s="97" t="str">
        <x:v>3 - Tham chiếu</x:v>
      </x:c>
      <x:c r="P8" s="97" t="str">
        <x:v>Không dùng thay Budget</x:v>
      </x:c>
      <x:c r="Q8" s="14"/>
      <x:c r="R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</x:row>
  </x:sheetData>
  <x:mergeCells>
    <x:mergeCell ref="A1:P1"/>
  </x:mergeCells>
  <x:conditionalFormatting sqref="G4:G8">
    <x:cfRule type="expression" dxfId="12" priority="1">
      <x:formula>G4="Đã khóa"</x:formula>
    </x:cfRule>
  </x:conditionalFormatting>
  <x:dataValidations count="2">
    <x:dataValidation type="list" sqref="G4:G8">
      <x:formula1>"Dự thảo,Đã gửi duyệt,Đã phê duyệt,Đang sử dụng,Đã khóa,Hủy"</x:formula1>
    </x:dataValidation>
    <x:dataValidation type="list" sqref="L4:L8">
      <x:formula1>"Có,Không"</x:formula1>
    </x:dataValidation>
  </x:dataValidation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8" hidden="0" customWidth="1"/>
    <x:col min="18" max="18" width="28" hidden="0" customWidth="1"/>
  </x:cols>
  <x:sheetData>
    <x:row r="1">
      <x:c r="A1" s="133" t="str">
        <x:v>48_Workflow_Phe_duyet – Workflow ngân sách, reforecast, CAPEX và nguồn vốn</x:v>
      </x:c>
      <x:c r="B1" s="133"/>
      <x:c r="C1" s="133"/>
      <x:c r="D1" s="133"/>
      <x:c r="E1" s="133"/>
      <x:c r="F1" s="133"/>
      <x:c r="G1" s="133"/>
      <x:c r="H1" s="133"/>
      <x:c r="I1" s="133"/>
      <x:c r="J1" s="133"/>
      <x:c r="K1" s="133"/>
      <x:c r="L1" s="133"/>
      <x:c r="M1" s="133"/>
      <x:c r="N1" s="133"/>
      <x:c r="O1" s="133"/>
      <x:c r="P1" s="133"/>
      <x:c r="Q1" s="133"/>
      <x:c r="R1" s="13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</x:row>
    <x:row r="3">
      <x:c r="A3" s="125" t="str">
        <x:v>Mã yêu cầu</x:v>
      </x:c>
      <x:c r="B3" s="125" t="str">
        <x:v>Loại yêu cầu</x:v>
      </x:c>
      <x:c r="C3" s="125" t="str">
        <x:v>Phiên bản/Dự án</x:v>
      </x:c>
      <x:c r="D3" s="125" t="str">
        <x:v>Nội dung quyết định</x:v>
      </x:c>
      <x:c r="E3" s="125" t="str">
        <x:v>Người đề xuất</x:v>
      </x:c>
      <x:c r="F3" s="125" t="str">
        <x:v>Ngày đề xuất</x:v>
      </x:c>
      <x:c r="G3" s="125" t="str">
        <x:v>Cấp duyệt 1</x:v>
      </x:c>
      <x:c r="H3" s="125" t="str">
        <x:v>Cấp duyệt 2</x:v>
      </x:c>
      <x:c r="I3" s="125" t="str">
        <x:v>Cấp duyệt cuối</x:v>
      </x:c>
      <x:c r="J3" s="125" t="str">
        <x:v>Hạn xử lý</x:v>
      </x:c>
      <x:c r="K3" s="125" t="str">
        <x:v>SLA (ngày)</x:v>
      </x:c>
      <x:c r="L3" s="125" t="str">
        <x:v>Trạng thái</x:v>
      </x:c>
      <x:c r="M3" s="125" t="str">
        <x:v>Ngày duyệt</x:v>
      </x:c>
      <x:c r="N3" s="125" t="str">
        <x:v>Giá trị ảnh hưởng (tỷ)</x:v>
      </x:c>
      <x:c r="O3" s="125" t="str">
        <x:v>Mức độ</x:v>
      </x:c>
      <x:c r="P3" s="125" t="str">
        <x:v>Điều kiện phê duyệt</x:v>
      </x:c>
      <x:c r="Q3" s="125" t="str">
        <x:v>Hồ sơ còn thiếu</x:v>
      </x:c>
      <x:c r="R3" s="125" t="str">
        <x:v>Ghi chú</x:v>
      </x:c>
    </x:row>
    <x:row r="4">
      <x:c r="A4" s="97" t="str">
        <x:v>WF001</x:v>
      </x:c>
      <x:c r="B4" s="97" t="str">
        <x:v>Latest Estimate</x:v>
      </x:c>
      <x:c r="C4" s="97" t="str">
        <x:v>LE_2026_08</x:v>
      </x:c>
      <x:c r="D4" s="97" t="str">
        <x:v>Khóa Latest Estimate FY2026</x:v>
      </x:c>
      <x:c r="E4" s="97" t="str">
        <x:v>FP&amp;A</x:v>
      </x:c>
      <x:c r="F4" s="101" t="n">
        <x:v>46247</x:v>
      </x:c>
      <x:c r="G4" s="97" t="str">
        <x:v>CFO</x:v>
      </x:c>
      <x:c r="H4" s="97" t="str">
        <x:v>TGĐ</x:v>
      </x:c>
      <x:c r="I4" s="97" t="str">
        <x:v>-</x:v>
      </x:c>
      <x:c r="J4" s="101" t="n">
        <x:v>46252</x:v>
      </x:c>
      <x:c r="K4" s="97" t="n">
        <x:v>3</x:v>
      </x:c>
      <x:c r="L4" s="97" t="str">
        <x:v>Đang duyệt</x:v>
      </x:c>
      <x:c r="M4" s="101"/>
      <x:c r="N4" s="99" t="n">
        <x:v>0</x:v>
      </x:c>
      <x:c r="O4" s="97" t="str">
        <x:v>Cao</x:v>
      </x:c>
      <x:c r="P4" s="97" t="str">
        <x:v>Actual Jul đã khóa; các assumption có owner</x:v>
      </x:c>
      <x:c r="Q4" s="97" t="str">
        <x:v>Biên bản review SPV</x:v>
      </x:c>
      <x:c r="R4" s="97" t="str"/>
    </x:row>
    <x:row r="5">
      <x:c r="A5" s="97" t="str">
        <x:v>WF002</x:v>
      </x:c>
      <x:c r="B5" s="97" t="str">
        <x:v>Nguồn vốn</x:v>
      </x:c>
      <x:c r="C5" s="97" t="str">
        <x:v>DA02</x:v>
      </x:c>
      <x:c r="D5" s="97" t="str">
        <x:v>Bridge/IC loan cho nghĩa vụ tài chính đất</x:v>
      </x:c>
      <x:c r="E5" s="97" t="str">
        <x:v>CFO</x:v>
      </x:c>
      <x:c r="F5" s="101" t="n">
        <x:v>46247</x:v>
      </x:c>
      <x:c r="G5" s="97" t="str">
        <x:v>TGĐ</x:v>
      </x:c>
      <x:c r="H5" s="97" t="str">
        <x:v>HĐQT</x:v>
      </x:c>
      <x:c r="I5" s="97" t="str">
        <x:v>-</x:v>
      </x:c>
      <x:c r="J5" s="101" t="n">
        <x:v>46254</x:v>
      </x:c>
      <x:c r="K5" s="97" t="n">
        <x:v>5</x:v>
      </x:c>
      <x:c r="L5" s="97" t="str">
        <x:v>Đang duyệt</x:v>
      </x:c>
      <x:c r="M5" s="101"/>
      <x:c r="N5" s="99" t="n">
        <x:v>450</x:v>
      </x:c>
      <x:c r="O5" s="97" t="str">
        <x:v>Rất cao</x:v>
      </x:c>
      <x:c r="P5" s="97" t="str">
        <x:v>Có take-out plan và legal milestone</x:v>
      </x:c>
      <x:c r="Q5" s="97" t="str">
        <x:v>Term sheet bridge</x:v>
      </x:c>
      <x:c r="R5" s="97" t="str"/>
    </x:row>
    <x:row r="6">
      <x:c r="A6" s="97" t="str">
        <x:v>WF003</x:v>
      </x:c>
      <x:c r="B6" s="97" t="str">
        <x:v>CAPEX Variation</x:v>
      </x:c>
      <x:c r="C6" s="97" t="str">
        <x:v>DA03</x:v>
      </x:c>
      <x:c r="D6" s="97" t="str">
        <x:v>Phê duyệt Value Engineering / EAC</x:v>
      </x:c>
      <x:c r="E6" s="97" t="str">
        <x:v>QLDA</x:v>
      </x:c>
      <x:c r="F6" s="101" t="n">
        <x:v>46247</x:v>
      </x:c>
      <x:c r="G6" s="97" t="str">
        <x:v>CFO</x:v>
      </x:c>
      <x:c r="H6" s="97" t="str">
        <x:v>TGĐ</x:v>
      </x:c>
      <x:c r="I6" s="97" t="str">
        <x:v>HĐQT</x:v>
      </x:c>
      <x:c r="J6" s="101" t="n">
        <x:v>46259</x:v>
      </x:c>
      <x:c r="K6" s="97" t="n">
        <x:v>7</x:v>
      </x:c>
      <x:c r="L6" s="97" t="str">
        <x:v>Đang chuẩn bị</x:v>
      </x:c>
      <x:c r="M6" s="101"/>
      <x:c r="N6" s="99" t="n">
        <x:v>190</x:v>
      </x:c>
      <x:c r="O6" s="97" t="str">
        <x:v>Cao</x:v>
      </x:c>
      <x:c r="P6" s="97" t="str">
        <x:v>Có BOQ, VE proposal, tác động tiến độ</x:v>
      </x:c>
      <x:c r="Q6" s="97" t="str">
        <x:v>Biên bản kỹ thuật</x:v>
      </x:c>
      <x:c r="R6" s="97" t="str"/>
    </x:row>
    <x:row r="7">
      <x:c r="A7" s="97" t="str">
        <x:v>WF004</x:v>
      </x:c>
      <x:c r="B7" s="97" t="str">
        <x:v>Covenant</x:v>
      </x:c>
      <x:c r="C7" s="97" t="str">
        <x:v>DA05</x:v>
      </x:c>
      <x:c r="D7" s="97" t="str">
        <x:v>Đàm phán waiver DSCR / hạn chế upstream cash</x:v>
      </x:c>
      <x:c r="E7" s="97" t="str">
        <x:v>Treasury</x:v>
      </x:c>
      <x:c r="F7" s="101" t="n">
        <x:v>46247</x:v>
      </x:c>
      <x:c r="G7" s="97" t="str">
        <x:v>CFO</x:v>
      </x:c>
      <x:c r="H7" s="97" t="str">
        <x:v>TGĐ</x:v>
      </x:c>
      <x:c r="I7" s="97" t="str">
        <x:v>-</x:v>
      </x:c>
      <x:c r="J7" s="101" t="n">
        <x:v>46265</x:v>
      </x:c>
      <x:c r="K7" s="97" t="n">
        <x:v>10</x:v>
      </x:c>
      <x:c r="L7" s="97" t="str">
        <x:v>Chưa gửi</x:v>
      </x:c>
      <x:c r="M7" s="101"/>
      <x:c r="N7" s="99" t="n">
        <x:v>558</x:v>
      </x:c>
      <x:c r="O7" s="97" t="str">
        <x:v>Cao</x:v>
      </x:c>
      <x:c r="P7" s="97" t="str">
        <x:v>Có covenant forecast và cash preservation plan</x:v>
      </x:c>
      <x:c r="Q7" s="97" t="str">
        <x:v>Draft waiver letter</x:v>
      </x:c>
      <x:c r="R7" s="97" t="str"/>
    </x:row>
    <x:row r="8">
      <x:c r="A8" s="97" t="str">
        <x:v>WF005</x:v>
      </x:c>
      <x:c r="B8" s="97" t="str">
        <x:v>Budget</x:v>
      </x:c>
      <x:c r="C8" s="97" t="str">
        <x:v>BUD_2027_01</x:v>
      </x:c>
      <x:c r="D8" s="97" t="str">
        <x:v>Phát hành hướng dẫn lập ngân sách 2027</x:v>
      </x:c>
      <x:c r="E8" s="97" t="str">
        <x:v>FP&amp;A</x:v>
      </x:c>
      <x:c r="F8" s="101" t="n">
        <x:v>46247</x:v>
      </x:c>
      <x:c r="G8" s="97" t="str">
        <x:v>CFO</x:v>
      </x:c>
      <x:c r="H8" s="97" t="str">
        <x:v>TGĐ</x:v>
      </x:c>
      <x:c r="I8" s="97" t="str">
        <x:v>-</x:v>
      </x:c>
      <x:c r="J8" s="101" t="n">
        <x:v>46262</x:v>
      </x:c>
      <x:c r="K8" s="97" t="n">
        <x:v>10</x:v>
      </x:c>
      <x:c r="L8" s="97" t="str">
        <x:v>Đang chuẩn bị</x:v>
      </x:c>
      <x:c r="M8" s="101"/>
      <x:c r="N8" s="99" t="n">
        <x:v>0</x:v>
      </x:c>
      <x:c r="O8" s="97" t="str">
        <x:v>Trung bình</x:v>
      </x:c>
      <x:c r="P8" s="97" t="str">
        <x:v>Assumption book và timeline được duyệt</x:v>
      </x:c>
      <x:c r="Q8" s="97" t="str">
        <x:v>Budget guideline</x:v>
      </x:c>
      <x:c r="R8" s="97" t="str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</x:row>
  </x:sheetData>
  <x:mergeCells>
    <x:mergeCell ref="A1:R1"/>
  </x:mergeCells>
  <x:conditionalFormatting sqref="O4:O8">
    <x:cfRule type="expression" dxfId="13" priority="1">
      <x:formula>O4="Rất cao"</x:formula>
    </x:cfRule>
  </x:conditionalFormatting>
  <x:dataValidations count="1">
    <x:dataValidation type="list" sqref="L4:L8">
      <x:formula1>"Đang chuẩn bị,Chưa gửi,Đã gửi,Đang duyệt,Đã duyệt,Từ chối,Tạm dừng"</x:formula1>
    </x:dataValidation>
  </x:dataValidation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8" hidden="0" customWidth="1"/>
    <x:col min="18" max="18" width="28" hidden="0" customWidth="1"/>
  </x:cols>
  <x:sheetData>
    <x:row r="1">
      <x:c r="A1" s="133" t="str">
        <x:v>49_Monthly_Close – Checklist khóa sổ &amp; báo cáo quản trị hàng tháng</x:v>
      </x:c>
      <x:c r="B1" s="133"/>
      <x:c r="C1" s="133"/>
      <x:c r="D1" s="133"/>
      <x:c r="E1" s="133"/>
      <x:c r="F1" s="133"/>
      <x:c r="G1" s="133"/>
      <x:c r="H1" s="133"/>
      <x:c r="I1" s="133"/>
      <x:c r="J1" s="133"/>
      <x:c r="K1" s="133"/>
      <x:c r="L1" s="133"/>
      <x:c r="M1" s="133"/>
      <x:c r="N1" s="133"/>
      <x:c r="O1" s="133"/>
      <x:c r="P1" s="133"/>
      <x:c r="Q1" s="133"/>
      <x:c r="R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</x:row>
    <x:row r="3">
      <x:c r="A3" s="125" t="str">
        <x:v>Kỳ khóa sổ</x:v>
      </x:c>
      <x:c r="B3" s="125" t="str">
        <x:v>Mã pháp nhân</x:v>
      </x:c>
      <x:c r="C3" s="125" t="str">
        <x:v>Nhóm công việc</x:v>
      </x:c>
      <x:c r="D3" s="125" t="str">
        <x:v>Công việc</x:v>
      </x:c>
      <x:c r="E3" s="125" t="str">
        <x:v>Hạn xử lý</x:v>
      </x:c>
      <x:c r="F3" s="125" t="str">
        <x:v>Ngày hoàn thành</x:v>
      </x:c>
      <x:c r="G3" s="125" t="str">
        <x:v>Phụ trách</x:v>
      </x:c>
      <x:c r="H3" s="125" t="str">
        <x:v>Người rà soát</x:v>
      </x:c>
      <x:c r="I3" s="125" t="str">
        <x:v>Trạng thái</x:v>
      </x:c>
      <x:c r="J3" s="125" t="str">
        <x:v>Số ngày trễ</x:v>
      </x:c>
      <x:c r="K3" s="125" t="str">
        <x:v>Ảnh hưởng BCTC</x:v>
      </x:c>
      <x:c r="L3" s="125" t="str">
        <x:v>Ảnh hưởng dự báo</x:v>
      </x:c>
      <x:c r="M3" s="125" t="str">
        <x:v>Vướng mắc</x:v>
      </x:c>
      <x:c r="N3" s="125" t="str">
        <x:v>Hành động</x:v>
      </x:c>
      <x:c r="O3" s="125" t="str">
        <x:v>Nguồn dữ liệu</x:v>
      </x:c>
      <x:c r="P3" s="125" t="str">
        <x:v>Bằng chứng/Đường dẫn</x:v>
      </x:c>
      <x:c r="Q3" s="125" t="str">
        <x:v>Ghi chú</x:v>
      </x:c>
      <x:c r="R3" s="14"/>
    </x:row>
    <x:row r="4">
      <x:c r="A4" s="134" t="n">
        <x:v>46234</x:v>
      </x:c>
      <x:c r="B4" s="14" t="str">
        <x:v>CTM</x:v>
      </x:c>
      <x:c r="C4" s="14" t="str">
        <x:v>Bank/Treasury</x:v>
      </x:c>
      <x:c r="D4" s="14" t="str">
        <x:v>Đối chiếu ngân hàng &amp; dư nợ</x:v>
      </x:c>
      <x:c r="E4" s="28" t="n">
        <x:v>46236</x:v>
      </x:c>
      <x:c r="F4" s="28" t="n">
        <x:v>46236</x:v>
      </x:c>
      <x:c r="G4" s="14" t="str">
        <x:v>Treasury</x:v>
      </x:c>
      <x:c r="H4" s="14" t="str">
        <x:v>CFO</x:v>
      </x:c>
      <x:c r="I4" s="14" t="str">
        <x:v>Hoàn thành</x:v>
      </x:c>
      <x:c r="J4" s="14" t="n">
        <x:f>IF(I4="Hoàn thành",MAX(0,F4-E4),MAX(0,DATE(2026,8,13)-E4))</x:f>
        <x:v>0</x:v>
      </x:c>
      <x:c r="K4" s="14" t="str">
        <x:v>Tiền/Nợ</x:v>
      </x:c>
      <x:c r="L4" s="14" t="str">
        <x:v>Có</x:v>
      </x:c>
      <x:c r="M4" s="14" t="str"/>
      <x:c r="N4" s="14" t="str">
        <x:v>Theo checklist</x:v>
      </x:c>
      <x:c r="O4" s="14" t="str">
        <x:v>ERP/Bank/PMIS</x:v>
      </x:c>
      <x:c r="P4" s="14" t="str"/>
      <x:c r="Q4" s="14" t="str"/>
      <x:c r="R4" s="14"/>
    </x:row>
    <x:row r="5">
      <x:c r="A5" s="134" t="n">
        <x:v>46234</x:v>
      </x:c>
      <x:c r="B5" s="14" t="str">
        <x:v>CTM</x:v>
      </x:c>
      <x:c r="C5" s="14" t="str">
        <x:v>Revenue/Sales</x:v>
      </x:c>
      <x:c r="D5" s="14" t="str">
        <x:v>Đối chiếu bán hàng, thu tiền, người mua trả trước</x:v>
      </x:c>
      <x:c r="E5" s="28" t="n">
        <x:v>46237</x:v>
      </x:c>
      <x:c r="F5" s="28" t="n">
        <x:v>46237</x:v>
      </x:c>
      <x:c r="G5" s="14" t="str">
        <x:v>Kế toán DT</x:v>
      </x:c>
      <x:c r="H5" s="14" t="str">
        <x:v>KTT</x:v>
      </x:c>
      <x:c r="I5" s="14" t="str">
        <x:v>Hoàn thành</x:v>
      </x:c>
      <x:c r="J5" s="14" t="n">
        <x:f>IF(I5="Hoàn thành",MAX(0,F5-E5),MAX(0,DATE(2026,8,13)-E5))</x:f>
        <x:v>0</x:v>
      </x:c>
      <x:c r="K5" s="14" t="str">
        <x:v>DT/Phải thu</x:v>
      </x:c>
      <x:c r="L5" s="14" t="str">
        <x:v>Có</x:v>
      </x:c>
      <x:c r="M5" s="14" t="str"/>
      <x:c r="N5" s="14" t="str">
        <x:v>Theo checklist</x:v>
      </x:c>
      <x:c r="O5" s="14" t="str">
        <x:v>ERP/Bank/PMIS</x:v>
      </x:c>
      <x:c r="P5" s="14" t="str"/>
      <x:c r="Q5" s="14" t="str"/>
      <x:c r="R5" s="14"/>
    </x:row>
    <x:row r="6">
      <x:c r="A6" s="134" t="n">
        <x:v>46234</x:v>
      </x:c>
      <x:c r="B6" s="14" t="str">
        <x:v>CTM</x:v>
      </x:c>
      <x:c r="C6" s="14" t="str">
        <x:v>CAPEX/Inventory</x:v>
      </x:c>
      <x:c r="D6" s="14" t="str">
        <x:v>Đối chiếu khối lượng, CAPEX, HTK/BĐS dở dang</x:v>
      </x:c>
      <x:c r="E6" s="28" t="n">
        <x:v>46238</x:v>
      </x:c>
      <x:c r="F6" s="28" t="n">
        <x:v>46238</x:v>
      </x:c>
      <x:c r="G6" s="14" t="str">
        <x:v>Kế toán dự án</x:v>
      </x:c>
      <x:c r="H6" s="14" t="str">
        <x:v>KTT</x:v>
      </x:c>
      <x:c r="I6" s="14" t="str">
        <x:v>Hoàn thành</x:v>
      </x:c>
      <x:c r="J6" s="14" t="n">
        <x:f>IF(I6="Hoàn thành",MAX(0,F6-E6),MAX(0,DATE(2026,8,13)-E6))</x:f>
        <x:v>0</x:v>
      </x:c>
      <x:c r="K6" s="14" t="str">
        <x:v>HTK/CAPEX</x:v>
      </x:c>
      <x:c r="L6" s="14" t="str">
        <x:v>Có</x:v>
      </x:c>
      <x:c r="M6" s="14" t="str"/>
      <x:c r="N6" s="14" t="str">
        <x:v>Theo checklist</x:v>
      </x:c>
      <x:c r="O6" s="14" t="str">
        <x:v>ERP/Bank/PMIS</x:v>
      </x:c>
      <x:c r="P6" s="14" t="str"/>
      <x:c r="Q6" s="14" t="str"/>
      <x:c r="R6" s="14"/>
    </x:row>
    <x:row r="7">
      <x:c r="A7" s="134" t="n">
        <x:v>46234</x:v>
      </x:c>
      <x:c r="B7" s="14" t="str">
        <x:v>CTM</x:v>
      </x:c>
      <x:c r="C7" s="14" t="str">
        <x:v>AP/Accrual</x:v>
      </x:c>
      <x:c r="D7" s="14" t="str">
        <x:v>Đối chiếu phải trả &amp; chi phí phải trả</x:v>
      </x:c>
      <x:c r="E7" s="28" t="n">
        <x:v>46238</x:v>
      </x:c>
      <x:c r="F7" s="28" t="n">
        <x:v>46238</x:v>
      </x:c>
      <x:c r="G7" s="14" t="str">
        <x:v>Kế toán AP</x:v>
      </x:c>
      <x:c r="H7" s="14" t="str">
        <x:v>KTT</x:v>
      </x:c>
      <x:c r="I7" s="14" t="str">
        <x:v>Hoàn thành</x:v>
      </x:c>
      <x:c r="J7" s="14" t="n">
        <x:f>IF(I7="Hoàn thành",MAX(0,F7-E7),MAX(0,DATE(2026,8,13)-E7))</x:f>
        <x:v>0</x:v>
      </x:c>
      <x:c r="K7" s="14" t="str">
        <x:v>Nợ phải trả</x:v>
      </x:c>
      <x:c r="L7" s="14" t="str">
        <x:v>Có</x:v>
      </x:c>
      <x:c r="M7" s="14" t="str"/>
      <x:c r="N7" s="14" t="str">
        <x:v>Theo checklist</x:v>
      </x:c>
      <x:c r="O7" s="14" t="str">
        <x:v>ERP/Bank/PMIS</x:v>
      </x:c>
      <x:c r="P7" s="14" t="str"/>
      <x:c r="Q7" s="14" t="str"/>
      <x:c r="R7" s="14"/>
    </x:row>
    <x:row r="8">
      <x:c r="A8" s="134" t="n">
        <x:v>46234</x:v>
      </x:c>
      <x:c r="B8" s="14" t="str">
        <x:v>CTM</x:v>
      </x:c>
      <x:c r="C8" s="14" t="str">
        <x:v>Tax</x:v>
      </x:c>
      <x:c r="D8" s="14" t="str">
        <x:v>Rà nghĩa vụ thuế &amp; nghĩa vụ đất đến hạn</x:v>
      </x:c>
      <x:c r="E8" s="28" t="n">
        <x:v>46239</x:v>
      </x:c>
      <x:c r="F8" s="28" t="n">
        <x:v>46239</x:v>
      </x:c>
      <x:c r="G8" s="14" t="str">
        <x:v>Thuế</x:v>
      </x:c>
      <x:c r="H8" s="14" t="str">
        <x:v>KTT</x:v>
      </x:c>
      <x:c r="I8" s="14" t="str">
        <x:v>Hoàn thành</x:v>
      </x:c>
      <x:c r="J8" s="14" t="n">
        <x:f>IF(I8="Hoàn thành",MAX(0,F8-E8),MAX(0,DATE(2026,8,13)-E8))</x:f>
        <x:v>0</x:v>
      </x:c>
      <x:c r="K8" s="14" t="str">
        <x:v>Thuế</x:v>
      </x:c>
      <x:c r="L8" s="14" t="str">
        <x:v>Có</x:v>
      </x:c>
      <x:c r="M8" s="14" t="str"/>
      <x:c r="N8" s="14" t="str">
        <x:v>Theo checklist</x:v>
      </x:c>
      <x:c r="O8" s="14" t="str">
        <x:v>ERP/Bank/PMIS</x:v>
      </x:c>
      <x:c r="P8" s="14" t="str"/>
      <x:c r="Q8" s="14" t="str"/>
      <x:c r="R8" s="14"/>
    </x:row>
    <x:row r="9">
      <x:c r="A9" s="134" t="n">
        <x:v>46234</x:v>
      </x:c>
      <x:c r="B9" s="14" t="str">
        <x:v>CTM</x:v>
      </x:c>
      <x:c r="C9" s="14" t="str">
        <x:v>Intercompany</x:v>
      </x:c>
      <x:c r="D9" s="14" t="str">
        <x:v>Đối chiếu giao dịch nội bộ</x:v>
      </x:c>
      <x:c r="E9" s="28" t="n">
        <x:v>46239</x:v>
      </x:c>
      <x:c r="F9" s="28"/>
      <x:c r="G9" s="14" t="str">
        <x:v>Kế toán tổng hợp</x:v>
      </x:c>
      <x:c r="H9" s="14" t="str">
        <x:v>KTT</x:v>
      </x:c>
      <x:c r="I9" s="14" t="str">
        <x:v>Quá hạn</x:v>
      </x:c>
      <x:c r="J9" s="14" t="n">
        <x:f>IF(I9="Hoàn thành",MAX(0,F9-E9),MAX(0,DATE(2026,8,13)-E9))</x:f>
        <x:v>8</x:v>
      </x:c>
      <x:c r="K9" s="14" t="str">
        <x:v>Hợp nhất</x:v>
      </x:c>
      <x:c r="L9" s="14" t="str">
        <x:v>Không</x:v>
      </x:c>
      <x:c r="M9" s="14" t="str"/>
      <x:c r="N9" s="14" t="str">
        <x:v>Escalate trong daily close</x:v>
      </x:c>
      <x:c r="O9" s="14" t="str">
        <x:v>ERP/Bank/PMIS</x:v>
      </x:c>
      <x:c r="P9" s="14" t="str"/>
      <x:c r="Q9" s="14" t="str"/>
      <x:c r="R9" s="14"/>
    </x:row>
    <x:row r="10">
      <x:c r="A10" s="134" t="n">
        <x:v>46234</x:v>
      </x:c>
      <x:c r="B10" s="14" t="str">
        <x:v>CTM</x:v>
      </x:c>
      <x:c r="C10" s="14" t="str">
        <x:v>Consolidation</x:v>
      </x:c>
      <x:c r="D10" s="14" t="str">
        <x:v>Khóa BCTC riêng &amp; package hợp nhất</x:v>
      </x:c>
      <x:c r="E10" s="28" t="n">
        <x:v>46241</x:v>
      </x:c>
      <x:c r="F10" s="28"/>
      <x:c r="G10" s="14" t="str">
        <x:v>KTT</x:v>
      </x:c>
      <x:c r="H10" s="14" t="str">
        <x:v>CFO</x:v>
      </x:c>
      <x:c r="I10" s="14" t="str">
        <x:v>Quá hạn</x:v>
      </x:c>
      <x:c r="J10" s="14" t="n">
        <x:f>IF(I10="Hoàn thành",MAX(0,F10-E10),MAX(0,DATE(2026,8,13)-E10))</x:f>
        <x:v>6</x:v>
      </x:c>
      <x:c r="K10" s="14" t="str">
        <x:v>BCTC HN</x:v>
      </x:c>
      <x:c r="L10" s="14" t="str">
        <x:v>Có</x:v>
      </x:c>
      <x:c r="M10" s="14" t="str"/>
      <x:c r="N10" s="14" t="str">
        <x:v>Escalate trong daily close</x:v>
      </x:c>
      <x:c r="O10" s="14" t="str">
        <x:v>ERP/Bank/PMIS</x:v>
      </x:c>
      <x:c r="P10" s="14" t="str"/>
      <x:c r="Q10" s="14" t="str"/>
      <x:c r="R10" s="14"/>
    </x:row>
    <x:row r="11">
      <x:c r="A11" s="134" t="n">
        <x:v>46234</x:v>
      </x:c>
      <x:c r="B11" s="14" t="str">
        <x:v>SPV01</x:v>
      </x:c>
      <x:c r="C11" s="14" t="str">
        <x:v>Bank/Treasury</x:v>
      </x:c>
      <x:c r="D11" s="14" t="str">
        <x:v>Đối chiếu ngân hàng &amp; dư nợ</x:v>
      </x:c>
      <x:c r="E11" s="28" t="n">
        <x:v>46236</x:v>
      </x:c>
      <x:c r="F11" s="28" t="n">
        <x:v>46236</x:v>
      </x:c>
      <x:c r="G11" s="14" t="str">
        <x:v>Treasury</x:v>
      </x:c>
      <x:c r="H11" s="14" t="str">
        <x:v>CFO</x:v>
      </x:c>
      <x:c r="I11" s="14" t="str">
        <x:v>Hoàn thành</x:v>
      </x:c>
      <x:c r="J11" s="14" t="n">
        <x:f>IF(I11="Hoàn thành",MAX(0,F11-E11),MAX(0,DATE(2026,8,13)-E11))</x:f>
        <x:v>0</x:v>
      </x:c>
      <x:c r="K11" s="14" t="str">
        <x:v>Tiền/Nợ</x:v>
      </x:c>
      <x:c r="L11" s="14" t="str">
        <x:v>Có</x:v>
      </x:c>
      <x:c r="M11" s="14" t="str"/>
      <x:c r="N11" s="14" t="str">
        <x:v>Theo checklist</x:v>
      </x:c>
      <x:c r="O11" s="14" t="str">
        <x:v>ERP/Bank/PMIS</x:v>
      </x:c>
      <x:c r="P11" s="14" t="str"/>
      <x:c r="Q11" s="14" t="str"/>
      <x:c r="R11" s="14"/>
    </x:row>
    <x:row r="12">
      <x:c r="A12" s="134" t="n">
        <x:v>46234</x:v>
      </x:c>
      <x:c r="B12" s="14" t="str">
        <x:v>SPV01</x:v>
      </x:c>
      <x:c r="C12" s="14" t="str">
        <x:v>Revenue/Sales</x:v>
      </x:c>
      <x:c r="D12" s="14" t="str">
        <x:v>Đối chiếu bán hàng, thu tiền, người mua trả trước</x:v>
      </x:c>
      <x:c r="E12" s="28" t="n">
        <x:v>46237</x:v>
      </x:c>
      <x:c r="F12" s="28" t="n">
        <x:v>46237</x:v>
      </x:c>
      <x:c r="G12" s="14" t="str">
        <x:v>Kế toán DT</x:v>
      </x:c>
      <x:c r="H12" s="14" t="str">
        <x:v>KTT</x:v>
      </x:c>
      <x:c r="I12" s="14" t="str">
        <x:v>Hoàn thành</x:v>
      </x:c>
      <x:c r="J12" s="14" t="n">
        <x:f>IF(I12="Hoàn thành",MAX(0,F12-E12),MAX(0,DATE(2026,8,13)-E12))</x:f>
        <x:v>0</x:v>
      </x:c>
      <x:c r="K12" s="14" t="str">
        <x:v>DT/Phải thu</x:v>
      </x:c>
      <x:c r="L12" s="14" t="str">
        <x:v>Có</x:v>
      </x:c>
      <x:c r="M12" s="14" t="str"/>
      <x:c r="N12" s="14" t="str">
        <x:v>Theo checklist</x:v>
      </x:c>
      <x:c r="O12" s="14" t="str">
        <x:v>ERP/Bank/PMIS</x:v>
      </x:c>
      <x:c r="P12" s="14" t="str"/>
      <x:c r="Q12" s="14" t="str"/>
      <x:c r="R12" s="14"/>
    </x:row>
    <x:row r="13">
      <x:c r="A13" s="134" t="n">
        <x:v>46234</x:v>
      </x:c>
      <x:c r="B13" s="14" t="str">
        <x:v>SPV01</x:v>
      </x:c>
      <x:c r="C13" s="14" t="str">
        <x:v>CAPEX/Inventory</x:v>
      </x:c>
      <x:c r="D13" s="14" t="str">
        <x:v>Đối chiếu khối lượng, CAPEX, HTK/BĐS dở dang</x:v>
      </x:c>
      <x:c r="E13" s="28" t="n">
        <x:v>46238</x:v>
      </x:c>
      <x:c r="F13" s="28" t="n">
        <x:v>46238</x:v>
      </x:c>
      <x:c r="G13" s="14" t="str">
        <x:v>Kế toán dự án</x:v>
      </x:c>
      <x:c r="H13" s="14" t="str">
        <x:v>KTT</x:v>
      </x:c>
      <x:c r="I13" s="14" t="str">
        <x:v>Hoàn thành</x:v>
      </x:c>
      <x:c r="J13" s="14" t="n">
        <x:f>IF(I13="Hoàn thành",MAX(0,F13-E13),MAX(0,DATE(2026,8,13)-E13))</x:f>
        <x:v>0</x:v>
      </x:c>
      <x:c r="K13" s="14" t="str">
        <x:v>HTK/CAPEX</x:v>
      </x:c>
      <x:c r="L13" s="14" t="str">
        <x:v>Có</x:v>
      </x:c>
      <x:c r="M13" s="14" t="str"/>
      <x:c r="N13" s="14" t="str">
        <x:v>Theo checklist</x:v>
      </x:c>
      <x:c r="O13" s="14" t="str">
        <x:v>ERP/Bank/PMIS</x:v>
      </x:c>
      <x:c r="P13" s="14" t="str"/>
      <x:c r="Q13" s="14" t="str"/>
      <x:c r="R13" s="14"/>
    </x:row>
    <x:row r="14">
      <x:c r="A14" s="134" t="n">
        <x:v>46234</x:v>
      </x:c>
      <x:c r="B14" s="14" t="str">
        <x:v>SPV01</x:v>
      </x:c>
      <x:c r="C14" s="14" t="str">
        <x:v>AP/Accrual</x:v>
      </x:c>
      <x:c r="D14" s="14" t="str">
        <x:v>Đối chiếu phải trả &amp; chi phí phải trả</x:v>
      </x:c>
      <x:c r="E14" s="28" t="n">
        <x:v>46238</x:v>
      </x:c>
      <x:c r="F14" s="28" t="n">
        <x:v>46238</x:v>
      </x:c>
      <x:c r="G14" s="14" t="str">
        <x:v>Kế toán AP</x:v>
      </x:c>
      <x:c r="H14" s="14" t="str">
        <x:v>KTT</x:v>
      </x:c>
      <x:c r="I14" s="14" t="str">
        <x:v>Hoàn thành</x:v>
      </x:c>
      <x:c r="J14" s="14" t="n">
        <x:f>IF(I14="Hoàn thành",MAX(0,F14-E14),MAX(0,DATE(2026,8,13)-E14))</x:f>
        <x:v>0</x:v>
      </x:c>
      <x:c r="K14" s="14" t="str">
        <x:v>Nợ phải trả</x:v>
      </x:c>
      <x:c r="L14" s="14" t="str">
        <x:v>Có</x:v>
      </x:c>
      <x:c r="M14" s="14" t="str"/>
      <x:c r="N14" s="14" t="str">
        <x:v>Theo checklist</x:v>
      </x:c>
      <x:c r="O14" s="14" t="str">
        <x:v>ERP/Bank/PMIS</x:v>
      </x:c>
      <x:c r="P14" s="14" t="str"/>
      <x:c r="Q14" s="14" t="str"/>
      <x:c r="R14" s="14"/>
    </x:row>
    <x:row r="15">
      <x:c r="A15" s="134" t="n">
        <x:v>46234</x:v>
      </x:c>
      <x:c r="B15" s="14" t="str">
        <x:v>SPV01</x:v>
      </x:c>
      <x:c r="C15" s="14" t="str">
        <x:v>Tax</x:v>
      </x:c>
      <x:c r="D15" s="14" t="str">
        <x:v>Rà nghĩa vụ thuế &amp; nghĩa vụ đất đến hạn</x:v>
      </x:c>
      <x:c r="E15" s="28" t="n">
        <x:v>46239</x:v>
      </x:c>
      <x:c r="F15" s="28" t="n">
        <x:v>46239</x:v>
      </x:c>
      <x:c r="G15" s="14" t="str">
        <x:v>Thuế</x:v>
      </x:c>
      <x:c r="H15" s="14" t="str">
        <x:v>KTT</x:v>
      </x:c>
      <x:c r="I15" s="14" t="str">
        <x:v>Hoàn thành</x:v>
      </x:c>
      <x:c r="J15" s="14" t="n">
        <x:f>IF(I15="Hoàn thành",MAX(0,F15-E15),MAX(0,DATE(2026,8,13)-E15))</x:f>
        <x:v>0</x:v>
      </x:c>
      <x:c r="K15" s="14" t="str">
        <x:v>Thuế</x:v>
      </x:c>
      <x:c r="L15" s="14" t="str">
        <x:v>Có</x:v>
      </x:c>
      <x:c r="M15" s="14" t="str"/>
      <x:c r="N15" s="14" t="str">
        <x:v>Theo checklist</x:v>
      </x:c>
      <x:c r="O15" s="14" t="str">
        <x:v>ERP/Bank/PMIS</x:v>
      </x:c>
      <x:c r="P15" s="14" t="str"/>
      <x:c r="Q15" s="14" t="str"/>
      <x:c r="R15" s="14"/>
    </x:row>
    <x:row r="16">
      <x:c r="A16" s="134" t="n">
        <x:v>46234</x:v>
      </x:c>
      <x:c r="B16" s="14" t="str">
        <x:v>SPV01</x:v>
      </x:c>
      <x:c r="C16" s="14" t="str">
        <x:v>Intercompany</x:v>
      </x:c>
      <x:c r="D16" s="14" t="str">
        <x:v>Đối chiếu giao dịch nội bộ</x:v>
      </x:c>
      <x:c r="E16" s="28" t="n">
        <x:v>46239</x:v>
      </x:c>
      <x:c r="F16" s="28"/>
      <x:c r="G16" s="14" t="str">
        <x:v>Kế toán tổng hợp</x:v>
      </x:c>
      <x:c r="H16" s="14" t="str">
        <x:v>KTT</x:v>
      </x:c>
      <x:c r="I16" s="14" t="str">
        <x:v>Quá hạn</x:v>
      </x:c>
      <x:c r="J16" s="14" t="n">
        <x:f>IF(I16="Hoàn thành",MAX(0,F16-E16),MAX(0,DATE(2026,8,13)-E16))</x:f>
        <x:v>8</x:v>
      </x:c>
      <x:c r="K16" s="14" t="str">
        <x:v>Hợp nhất</x:v>
      </x:c>
      <x:c r="L16" s="14" t="str">
        <x:v>Không</x:v>
      </x:c>
      <x:c r="M16" s="14" t="str"/>
      <x:c r="N16" s="14" t="str">
        <x:v>Escalate trong daily close</x:v>
      </x:c>
      <x:c r="O16" s="14" t="str">
        <x:v>ERP/Bank/PMIS</x:v>
      </x:c>
      <x:c r="P16" s="14" t="str"/>
      <x:c r="Q16" s="14" t="str"/>
      <x:c r="R16" s="14"/>
    </x:row>
    <x:row r="17">
      <x:c r="A17" s="134" t="n">
        <x:v>46234</x:v>
      </x:c>
      <x:c r="B17" s="14" t="str">
        <x:v>SPV01</x:v>
      </x:c>
      <x:c r="C17" s="14" t="str">
        <x:v>Consolidation</x:v>
      </x:c>
      <x:c r="D17" s="14" t="str">
        <x:v>Khóa BCTC riêng &amp; package hợp nhất</x:v>
      </x:c>
      <x:c r="E17" s="28" t="n">
        <x:v>46241</x:v>
      </x:c>
      <x:c r="F17" s="28"/>
      <x:c r="G17" s="14" t="str">
        <x:v>KTT</x:v>
      </x:c>
      <x:c r="H17" s="14" t="str">
        <x:v>CFO</x:v>
      </x:c>
      <x:c r="I17" s="14" t="str">
        <x:v>Quá hạn</x:v>
      </x:c>
      <x:c r="J17" s="14" t="n">
        <x:f>IF(I17="Hoàn thành",MAX(0,F17-E17),MAX(0,DATE(2026,8,13)-E17))</x:f>
        <x:v>6</x:v>
      </x:c>
      <x:c r="K17" s="14" t="str">
        <x:v>BCTC HN</x:v>
      </x:c>
      <x:c r="L17" s="14" t="str">
        <x:v>Có</x:v>
      </x:c>
      <x:c r="M17" s="14" t="str"/>
      <x:c r="N17" s="14" t="str">
        <x:v>Escalate trong daily close</x:v>
      </x:c>
      <x:c r="O17" s="14" t="str">
        <x:v>ERP/Bank/PMIS</x:v>
      </x:c>
      <x:c r="P17" s="14" t="str"/>
      <x:c r="Q17" s="14" t="str"/>
      <x:c r="R17" s="14"/>
    </x:row>
    <x:row r="18">
      <x:c r="A18" s="134" t="n">
        <x:v>46234</x:v>
      </x:c>
      <x:c r="B18" s="14" t="str">
        <x:v>SPV02</x:v>
      </x:c>
      <x:c r="C18" s="14" t="str">
        <x:v>Bank/Treasury</x:v>
      </x:c>
      <x:c r="D18" s="14" t="str">
        <x:v>Đối chiếu ngân hàng &amp; dư nợ</x:v>
      </x:c>
      <x:c r="E18" s="28" t="n">
        <x:v>46236</x:v>
      </x:c>
      <x:c r="F18" s="28"/>
      <x:c r="G18" s="14" t="str">
        <x:v>Treasury</x:v>
      </x:c>
      <x:c r="H18" s="14" t="str">
        <x:v>CFO</x:v>
      </x:c>
      <x:c r="I18" s="14" t="str">
        <x:v>Quá hạn</x:v>
      </x:c>
      <x:c r="J18" s="14" t="n">
        <x:f>IF(I18="Hoàn thành",MAX(0,F18-E18),MAX(0,DATE(2026,8,13)-E18))</x:f>
        <x:v>11</x:v>
      </x:c>
      <x:c r="K18" s="14" t="str">
        <x:v>Tiền/Nợ</x:v>
      </x:c>
      <x:c r="L18" s="14" t="str">
        <x:v>Có</x:v>
      </x:c>
      <x:c r="M18" s="14" t="str"/>
      <x:c r="N18" s="14" t="str">
        <x:v>Escalate trong daily close</x:v>
      </x:c>
      <x:c r="O18" s="14" t="str">
        <x:v>ERP/Bank/PMIS</x:v>
      </x:c>
      <x:c r="P18" s="14" t="str"/>
      <x:c r="Q18" s="14" t="str"/>
      <x:c r="R18" s="14"/>
    </x:row>
    <x:row r="19">
      <x:c r="A19" s="134" t="n">
        <x:v>46234</x:v>
      </x:c>
      <x:c r="B19" s="14" t="str">
        <x:v>SPV02</x:v>
      </x:c>
      <x:c r="C19" s="14" t="str">
        <x:v>Revenue/Sales</x:v>
      </x:c>
      <x:c r="D19" s="14" t="str">
        <x:v>Đối chiếu bán hàng, thu tiền, người mua trả trước</x:v>
      </x:c>
      <x:c r="E19" s="28" t="n">
        <x:v>46237</x:v>
      </x:c>
      <x:c r="F19" s="28"/>
      <x:c r="G19" s="14" t="str">
        <x:v>Kế toán DT</x:v>
      </x:c>
      <x:c r="H19" s="14" t="str">
        <x:v>KTT</x:v>
      </x:c>
      <x:c r="I19" s="14" t="str">
        <x:v>Quá hạn</x:v>
      </x:c>
      <x:c r="J19" s="14" t="n">
        <x:f>IF(I19="Hoàn thành",MAX(0,F19-E19),MAX(0,DATE(2026,8,13)-E19))</x:f>
        <x:v>10</x:v>
      </x:c>
      <x:c r="K19" s="14" t="str">
        <x:v>DT/Phải thu</x:v>
      </x:c>
      <x:c r="L19" s="14" t="str">
        <x:v>Có</x:v>
      </x:c>
      <x:c r="M19" s="14" t="str"/>
      <x:c r="N19" s="14" t="str">
        <x:v>Escalate trong daily close</x:v>
      </x:c>
      <x:c r="O19" s="14" t="str">
        <x:v>ERP/Bank/PMIS</x:v>
      </x:c>
      <x:c r="P19" s="14" t="str"/>
      <x:c r="Q19" s="14" t="str"/>
      <x:c r="R19" s="14"/>
    </x:row>
    <x:row r="20">
      <x:c r="A20" s="134" t="n">
        <x:v>46234</x:v>
      </x:c>
      <x:c r="B20" s="14" t="str">
        <x:v>SPV02</x:v>
      </x:c>
      <x:c r="C20" s="14" t="str">
        <x:v>CAPEX/Inventory</x:v>
      </x:c>
      <x:c r="D20" s="14" t="str">
        <x:v>Đối chiếu khối lượng, CAPEX, HTK/BĐS dở dang</x:v>
      </x:c>
      <x:c r="E20" s="28" t="n">
        <x:v>46238</x:v>
      </x:c>
      <x:c r="F20" s="28"/>
      <x:c r="G20" s="14" t="str">
        <x:v>Kế toán dự án</x:v>
      </x:c>
      <x:c r="H20" s="14" t="str">
        <x:v>KTT</x:v>
      </x:c>
      <x:c r="I20" s="14" t="str">
        <x:v>Quá hạn</x:v>
      </x:c>
      <x:c r="J20" s="14" t="n">
        <x:f>IF(I20="Hoàn thành",MAX(0,F20-E20),MAX(0,DATE(2026,8,13)-E20))</x:f>
        <x:v>9</x:v>
      </x:c>
      <x:c r="K20" s="14" t="str">
        <x:v>HTK/CAPEX</x:v>
      </x:c>
      <x:c r="L20" s="14" t="str">
        <x:v>Có</x:v>
      </x:c>
      <x:c r="M20" s="14" t="str"/>
      <x:c r="N20" s="14" t="str">
        <x:v>Escalate trong daily close</x:v>
      </x:c>
      <x:c r="O20" s="14" t="str">
        <x:v>ERP/Bank/PMIS</x:v>
      </x:c>
      <x:c r="P20" s="14" t="str"/>
      <x:c r="Q20" s="14" t="str"/>
      <x:c r="R20" s="14"/>
    </x:row>
    <x:row r="21">
      <x:c r="A21" s="134" t="n">
        <x:v>46234</x:v>
      </x:c>
      <x:c r="B21" s="14" t="str">
        <x:v>SPV02</x:v>
      </x:c>
      <x:c r="C21" s="14" t="str">
        <x:v>AP/Accrual</x:v>
      </x:c>
      <x:c r="D21" s="14" t="str">
        <x:v>Đối chiếu phải trả &amp; chi phí phải trả</x:v>
      </x:c>
      <x:c r="E21" s="28" t="n">
        <x:v>46238</x:v>
      </x:c>
      <x:c r="F21" s="28"/>
      <x:c r="G21" s="14" t="str">
        <x:v>Kế toán AP</x:v>
      </x:c>
      <x:c r="H21" s="14" t="str">
        <x:v>KTT</x:v>
      </x:c>
      <x:c r="I21" s="14" t="str">
        <x:v>Quá hạn</x:v>
      </x:c>
      <x:c r="J21" s="14" t="n">
        <x:f>IF(I21="Hoàn thành",MAX(0,F21-E21),MAX(0,DATE(2026,8,13)-E21))</x:f>
        <x:v>9</x:v>
      </x:c>
      <x:c r="K21" s="14" t="str">
        <x:v>Nợ phải trả</x:v>
      </x:c>
      <x:c r="L21" s="14" t="str">
        <x:v>Có</x:v>
      </x:c>
      <x:c r="M21" s="14" t="str"/>
      <x:c r="N21" s="14" t="str">
        <x:v>Escalate trong daily close</x:v>
      </x:c>
      <x:c r="O21" s="14" t="str">
        <x:v>ERP/Bank/PMIS</x:v>
      </x:c>
      <x:c r="P21" s="14" t="str"/>
      <x:c r="Q21" s="14" t="str"/>
      <x:c r="R21" s="14"/>
    </x:row>
    <x:row r="22">
      <x:c r="A22" s="134" t="n">
        <x:v>46234</x:v>
      </x:c>
      <x:c r="B22" s="14" t="str">
        <x:v>SPV02</x:v>
      </x:c>
      <x:c r="C22" s="14" t="str">
        <x:v>Tax</x:v>
      </x:c>
      <x:c r="D22" s="14" t="str">
        <x:v>Rà nghĩa vụ thuế &amp; nghĩa vụ đất đến hạn</x:v>
      </x:c>
      <x:c r="E22" s="28" t="n">
        <x:v>46239</x:v>
      </x:c>
      <x:c r="F22" s="28"/>
      <x:c r="G22" s="14" t="str">
        <x:v>Thuế</x:v>
      </x:c>
      <x:c r="H22" s="14" t="str">
        <x:v>KTT</x:v>
      </x:c>
      <x:c r="I22" s="14" t="str">
        <x:v>Quá hạn</x:v>
      </x:c>
      <x:c r="J22" s="14" t="n">
        <x:f>IF(I22="Hoàn thành",MAX(0,F22-E22),MAX(0,DATE(2026,8,13)-E22))</x:f>
        <x:v>8</x:v>
      </x:c>
      <x:c r="K22" s="14" t="str">
        <x:v>Thuế</x:v>
      </x:c>
      <x:c r="L22" s="14" t="str">
        <x:v>Có</x:v>
      </x:c>
      <x:c r="M22" s="14" t="str">
        <x:v>Chờ đối chiếu nghĩa vụ đất</x:v>
      </x:c>
      <x:c r="N22" s="14" t="str">
        <x:v>Escalate trong daily close</x:v>
      </x:c>
      <x:c r="O22" s="14" t="str">
        <x:v>ERP/Bank/PMIS</x:v>
      </x:c>
      <x:c r="P22" s="14" t="str"/>
      <x:c r="Q22" s="14" t="str"/>
      <x:c r="R22" s="14"/>
    </x:row>
    <x:row r="23">
      <x:c r="A23" s="134" t="n">
        <x:v>46234</x:v>
      </x:c>
      <x:c r="B23" s="14" t="str">
        <x:v>SPV02</x:v>
      </x:c>
      <x:c r="C23" s="14" t="str">
        <x:v>Intercompany</x:v>
      </x:c>
      <x:c r="D23" s="14" t="str">
        <x:v>Đối chiếu giao dịch nội bộ</x:v>
      </x:c>
      <x:c r="E23" s="28" t="n">
        <x:v>46239</x:v>
      </x:c>
      <x:c r="F23" s="28"/>
      <x:c r="G23" s="14" t="str">
        <x:v>Kế toán tổng hợp</x:v>
      </x:c>
      <x:c r="H23" s="14" t="str">
        <x:v>KTT</x:v>
      </x:c>
      <x:c r="I23" s="14" t="str">
        <x:v>Quá hạn</x:v>
      </x:c>
      <x:c r="J23" s="14" t="n">
        <x:f>IF(I23="Hoàn thành",MAX(0,F23-E23),MAX(0,DATE(2026,8,13)-E23))</x:f>
        <x:v>8</x:v>
      </x:c>
      <x:c r="K23" s="14" t="str">
        <x:v>Hợp nhất</x:v>
      </x:c>
      <x:c r="L23" s="14" t="str">
        <x:v>Không</x:v>
      </x:c>
      <x:c r="M23" s="14" t="str"/>
      <x:c r="N23" s="14" t="str">
        <x:v>Escalate trong daily close</x:v>
      </x:c>
      <x:c r="O23" s="14" t="str">
        <x:v>ERP/Bank/PMIS</x:v>
      </x:c>
      <x:c r="P23" s="14" t="str"/>
      <x:c r="Q23" s="14" t="str"/>
      <x:c r="R23" s="14"/>
    </x:row>
    <x:row r="24">
      <x:c r="A24" s="134" t="n">
        <x:v>46234</x:v>
      </x:c>
      <x:c r="B24" s="14" t="str">
        <x:v>SPV02</x:v>
      </x:c>
      <x:c r="C24" s="14" t="str">
        <x:v>Consolidation</x:v>
      </x:c>
      <x:c r="D24" s="14" t="str">
        <x:v>Khóa BCTC riêng &amp; package hợp nhất</x:v>
      </x:c>
      <x:c r="E24" s="28" t="n">
        <x:v>46241</x:v>
      </x:c>
      <x:c r="F24" s="28"/>
      <x:c r="G24" s="14" t="str">
        <x:v>KTT</x:v>
      </x:c>
      <x:c r="H24" s="14" t="str">
        <x:v>CFO</x:v>
      </x:c>
      <x:c r="I24" s="14" t="str">
        <x:v>Quá hạn</x:v>
      </x:c>
      <x:c r="J24" s="14" t="n">
        <x:f>IF(I24="Hoàn thành",MAX(0,F24-E24),MAX(0,DATE(2026,8,13)-E24))</x:f>
        <x:v>6</x:v>
      </x:c>
      <x:c r="K24" s="14" t="str">
        <x:v>BCTC HN</x:v>
      </x:c>
      <x:c r="L24" s="14" t="str">
        <x:v>Có</x:v>
      </x:c>
      <x:c r="M24" s="14" t="str"/>
      <x:c r="N24" s="14" t="str">
        <x:v>Escalate trong daily close</x:v>
      </x:c>
      <x:c r="O24" s="14" t="str">
        <x:v>ERP/Bank/PMIS</x:v>
      </x:c>
      <x:c r="P24" s="14" t="str"/>
      <x:c r="Q24" s="14" t="str"/>
      <x:c r="R24" s="14"/>
    </x:row>
    <x:row r="25">
      <x:c r="A25" s="134" t="n">
        <x:v>46234</x:v>
      </x:c>
      <x:c r="B25" s="14" t="str">
        <x:v>SPV03</x:v>
      </x:c>
      <x:c r="C25" s="14" t="str">
        <x:v>Bank/Treasury</x:v>
      </x:c>
      <x:c r="D25" s="14" t="str">
        <x:v>Đối chiếu ngân hàng &amp; dư nợ</x:v>
      </x:c>
      <x:c r="E25" s="28" t="n">
        <x:v>46236</x:v>
      </x:c>
      <x:c r="F25" s="28" t="n">
        <x:v>46236</x:v>
      </x:c>
      <x:c r="G25" s="14" t="str">
        <x:v>Treasury</x:v>
      </x:c>
      <x:c r="H25" s="14" t="str">
        <x:v>CFO</x:v>
      </x:c>
      <x:c r="I25" s="14" t="str">
        <x:v>Hoàn thành</x:v>
      </x:c>
      <x:c r="J25" s="14" t="n">
        <x:f>IF(I25="Hoàn thành",MAX(0,F25-E25),MAX(0,DATE(2026,8,13)-E25))</x:f>
        <x:v>0</x:v>
      </x:c>
      <x:c r="K25" s="14" t="str">
        <x:v>Tiền/Nợ</x:v>
      </x:c>
      <x:c r="L25" s="14" t="str">
        <x:v>Có</x:v>
      </x:c>
      <x:c r="M25" s="14" t="str"/>
      <x:c r="N25" s="14" t="str">
        <x:v>Theo checklist</x:v>
      </x:c>
      <x:c r="O25" s="14" t="str">
        <x:v>ERP/Bank/PMIS</x:v>
      </x:c>
      <x:c r="P25" s="14" t="str"/>
      <x:c r="Q25" s="14" t="str"/>
      <x:c r="R25" s="14"/>
    </x:row>
    <x:row r="26">
      <x:c r="A26" s="134" t="n">
        <x:v>46234</x:v>
      </x:c>
      <x:c r="B26" s="14" t="str">
        <x:v>SPV03</x:v>
      </x:c>
      <x:c r="C26" s="14" t="str">
        <x:v>Revenue/Sales</x:v>
      </x:c>
      <x:c r="D26" s="14" t="str">
        <x:v>Đối chiếu bán hàng, thu tiền, người mua trả trước</x:v>
      </x:c>
      <x:c r="E26" s="28" t="n">
        <x:v>46237</x:v>
      </x:c>
      <x:c r="F26" s="28" t="n">
        <x:v>46237</x:v>
      </x:c>
      <x:c r="G26" s="14" t="str">
        <x:v>Kế toán DT</x:v>
      </x:c>
      <x:c r="H26" s="14" t="str">
        <x:v>KTT</x:v>
      </x:c>
      <x:c r="I26" s="14" t="str">
        <x:v>Hoàn thành</x:v>
      </x:c>
      <x:c r="J26" s="14" t="n">
        <x:f>IF(I26="Hoàn thành",MAX(0,F26-E26),MAX(0,DATE(2026,8,13)-E26))</x:f>
        <x:v>0</x:v>
      </x:c>
      <x:c r="K26" s="14" t="str">
        <x:v>DT/Phải thu</x:v>
      </x:c>
      <x:c r="L26" s="14" t="str">
        <x:v>Có</x:v>
      </x:c>
      <x:c r="M26" s="14" t="str"/>
      <x:c r="N26" s="14" t="str">
        <x:v>Theo checklist</x:v>
      </x:c>
      <x:c r="O26" s="14" t="str">
        <x:v>ERP/Bank/PMIS</x:v>
      </x:c>
      <x:c r="P26" s="14" t="str"/>
      <x:c r="Q26" s="14" t="str"/>
      <x:c r="R26" s="14"/>
    </x:row>
    <x:row r="27">
      <x:c r="A27" s="134" t="n">
        <x:v>46234</x:v>
      </x:c>
      <x:c r="B27" s="14" t="str">
        <x:v>SPV03</x:v>
      </x:c>
      <x:c r="C27" s="14" t="str">
        <x:v>CAPEX/Inventory</x:v>
      </x:c>
      <x:c r="D27" s="14" t="str">
        <x:v>Đối chiếu khối lượng, CAPEX, HTK/BĐS dở dang</x:v>
      </x:c>
      <x:c r="E27" s="28" t="n">
        <x:v>46238</x:v>
      </x:c>
      <x:c r="F27" s="28" t="n">
        <x:v>46238</x:v>
      </x:c>
      <x:c r="G27" s="14" t="str">
        <x:v>Kế toán dự án</x:v>
      </x:c>
      <x:c r="H27" s="14" t="str">
        <x:v>KTT</x:v>
      </x:c>
      <x:c r="I27" s="14" t="str">
        <x:v>Hoàn thành</x:v>
      </x:c>
      <x:c r="J27" s="14" t="n">
        <x:f>IF(I27="Hoàn thành",MAX(0,F27-E27),MAX(0,DATE(2026,8,13)-E27))</x:f>
        <x:v>0</x:v>
      </x:c>
      <x:c r="K27" s="14" t="str">
        <x:v>HTK/CAPEX</x:v>
      </x:c>
      <x:c r="L27" s="14" t="str">
        <x:v>Có</x:v>
      </x:c>
      <x:c r="M27" s="14" t="str"/>
      <x:c r="N27" s="14" t="str">
        <x:v>Theo checklist</x:v>
      </x:c>
      <x:c r="O27" s="14" t="str">
        <x:v>ERP/Bank/PMIS</x:v>
      </x:c>
      <x:c r="P27" s="14" t="str"/>
      <x:c r="Q27" s="14" t="str"/>
      <x:c r="R27" s="14"/>
    </x:row>
    <x:row r="28">
      <x:c r="A28" s="134" t="n">
        <x:v>46234</x:v>
      </x:c>
      <x:c r="B28" s="14" t="str">
        <x:v>SPV03</x:v>
      </x:c>
      <x:c r="C28" s="14" t="str">
        <x:v>AP/Accrual</x:v>
      </x:c>
      <x:c r="D28" s="14" t="str">
        <x:v>Đối chiếu phải trả &amp; chi phí phải trả</x:v>
      </x:c>
      <x:c r="E28" s="28" t="n">
        <x:v>46238</x:v>
      </x:c>
      <x:c r="F28" s="28" t="n">
        <x:v>46238</x:v>
      </x:c>
      <x:c r="G28" s="14" t="str">
        <x:v>Kế toán AP</x:v>
      </x:c>
      <x:c r="H28" s="14" t="str">
        <x:v>KTT</x:v>
      </x:c>
      <x:c r="I28" s="14" t="str">
        <x:v>Hoàn thành</x:v>
      </x:c>
      <x:c r="J28" s="14" t="n">
        <x:f>IF(I28="Hoàn thành",MAX(0,F28-E28),MAX(0,DATE(2026,8,13)-E28))</x:f>
        <x:v>0</x:v>
      </x:c>
      <x:c r="K28" s="14" t="str">
        <x:v>Nợ phải trả</x:v>
      </x:c>
      <x:c r="L28" s="14" t="str">
        <x:v>Có</x:v>
      </x:c>
      <x:c r="M28" s="14" t="str"/>
      <x:c r="N28" s="14" t="str">
        <x:v>Theo checklist</x:v>
      </x:c>
      <x:c r="O28" s="14" t="str">
        <x:v>ERP/Bank/PMIS</x:v>
      </x:c>
      <x:c r="P28" s="14" t="str"/>
      <x:c r="Q28" s="14" t="str"/>
      <x:c r="R28" s="14"/>
    </x:row>
    <x:row r="29">
      <x:c r="A29" s="134" t="n">
        <x:v>46234</x:v>
      </x:c>
      <x:c r="B29" s="14" t="str">
        <x:v>SPV03</x:v>
      </x:c>
      <x:c r="C29" s="14" t="str">
        <x:v>Tax</x:v>
      </x:c>
      <x:c r="D29" s="14" t="str">
        <x:v>Rà nghĩa vụ thuế &amp; nghĩa vụ đất đến hạn</x:v>
      </x:c>
      <x:c r="E29" s="28" t="n">
        <x:v>46239</x:v>
      </x:c>
      <x:c r="F29" s="28" t="n">
        <x:v>46239</x:v>
      </x:c>
      <x:c r="G29" s="14" t="str">
        <x:v>Thuế</x:v>
      </x:c>
      <x:c r="H29" s="14" t="str">
        <x:v>KTT</x:v>
      </x:c>
      <x:c r="I29" s="14" t="str">
        <x:v>Hoàn thành</x:v>
      </x:c>
      <x:c r="J29" s="14" t="n">
        <x:f>IF(I29="Hoàn thành",MAX(0,F29-E29),MAX(0,DATE(2026,8,13)-E29))</x:f>
        <x:v>0</x:v>
      </x:c>
      <x:c r="K29" s="14" t="str">
        <x:v>Thuế</x:v>
      </x:c>
      <x:c r="L29" s="14" t="str">
        <x:v>Có</x:v>
      </x:c>
      <x:c r="M29" s="14" t="str"/>
      <x:c r="N29" s="14" t="str">
        <x:v>Theo checklist</x:v>
      </x:c>
      <x:c r="O29" s="14" t="str">
        <x:v>ERP/Bank/PMIS</x:v>
      </x:c>
      <x:c r="P29" s="14" t="str"/>
      <x:c r="Q29" s="14" t="str"/>
      <x:c r="R29" s="14"/>
    </x:row>
    <x:row r="30">
      <x:c r="A30" s="134" t="n">
        <x:v>46234</x:v>
      </x:c>
      <x:c r="B30" s="14" t="str">
        <x:v>SPV03</x:v>
      </x:c>
      <x:c r="C30" s="14" t="str">
        <x:v>Intercompany</x:v>
      </x:c>
      <x:c r="D30" s="14" t="str">
        <x:v>Đối chiếu giao dịch nội bộ</x:v>
      </x:c>
      <x:c r="E30" s="28" t="n">
        <x:v>46239</x:v>
      </x:c>
      <x:c r="F30" s="28"/>
      <x:c r="G30" s="14" t="str">
        <x:v>Kế toán tổng hợp</x:v>
      </x:c>
      <x:c r="H30" s="14" t="str">
        <x:v>KTT</x:v>
      </x:c>
      <x:c r="I30" s="14" t="str">
        <x:v>Quá hạn</x:v>
      </x:c>
      <x:c r="J30" s="14" t="n">
        <x:f>IF(I30="Hoàn thành",MAX(0,F30-E30),MAX(0,DATE(2026,8,13)-E30))</x:f>
        <x:v>8</x:v>
      </x:c>
      <x:c r="K30" s="14" t="str">
        <x:v>Hợp nhất</x:v>
      </x:c>
      <x:c r="L30" s="14" t="str">
        <x:v>Không</x:v>
      </x:c>
      <x:c r="M30" s="14" t="str"/>
      <x:c r="N30" s="14" t="str">
        <x:v>Escalate trong daily close</x:v>
      </x:c>
      <x:c r="O30" s="14" t="str">
        <x:v>ERP/Bank/PMIS</x:v>
      </x:c>
      <x:c r="P30" s="14" t="str"/>
      <x:c r="Q30" s="14" t="str"/>
      <x:c r="R30" s="14"/>
    </x:row>
    <x:row r="31">
      <x:c r="A31" s="134" t="n">
        <x:v>46234</x:v>
      </x:c>
      <x:c r="B31" s="14" t="str">
        <x:v>SPV03</x:v>
      </x:c>
      <x:c r="C31" s="14" t="str">
        <x:v>Consolidation</x:v>
      </x:c>
      <x:c r="D31" s="14" t="str">
        <x:v>Khóa BCTC riêng &amp; package hợp nhất</x:v>
      </x:c>
      <x:c r="E31" s="28" t="n">
        <x:v>46241</x:v>
      </x:c>
      <x:c r="F31" s="28"/>
      <x:c r="G31" s="14" t="str">
        <x:v>KTT</x:v>
      </x:c>
      <x:c r="H31" s="14" t="str">
        <x:v>CFO</x:v>
      </x:c>
      <x:c r="I31" s="14" t="str">
        <x:v>Quá hạn</x:v>
      </x:c>
      <x:c r="J31" s="14" t="n">
        <x:f>IF(I31="Hoàn thành",MAX(0,F31-E31),MAX(0,DATE(2026,8,13)-E31))</x:f>
        <x:v>6</x:v>
      </x:c>
      <x:c r="K31" s="14" t="str">
        <x:v>BCTC HN</x:v>
      </x:c>
      <x:c r="L31" s="14" t="str">
        <x:v>Có</x:v>
      </x:c>
      <x:c r="M31" s="14" t="str"/>
      <x:c r="N31" s="14" t="str">
        <x:v>Escalate trong daily close</x:v>
      </x:c>
      <x:c r="O31" s="14" t="str">
        <x:v>ERP/Bank/PMIS</x:v>
      </x:c>
      <x:c r="P31" s="14" t="str"/>
      <x:c r="Q31" s="14" t="str"/>
      <x:c r="R31" s="14"/>
    </x:row>
    <x:row r="32">
      <x:c r="A32" s="134" t="n">
        <x:v>46234</x:v>
      </x:c>
      <x:c r="B32" s="14" t="str">
        <x:v>SPV04</x:v>
      </x:c>
      <x:c r="C32" s="14" t="str">
        <x:v>Bank/Treasury</x:v>
      </x:c>
      <x:c r="D32" s="14" t="str">
        <x:v>Đối chiếu ngân hàng &amp; dư nợ</x:v>
      </x:c>
      <x:c r="E32" s="28" t="n">
        <x:v>46236</x:v>
      </x:c>
      <x:c r="F32" s="28" t="n">
        <x:v>46236</x:v>
      </x:c>
      <x:c r="G32" s="14" t="str">
        <x:v>Treasury</x:v>
      </x:c>
      <x:c r="H32" s="14" t="str">
        <x:v>CFO</x:v>
      </x:c>
      <x:c r="I32" s="14" t="str">
        <x:v>Hoàn thành</x:v>
      </x:c>
      <x:c r="J32" s="14" t="n">
        <x:f>IF(I32="Hoàn thành",MAX(0,F32-E32),MAX(0,DATE(2026,8,13)-E32))</x:f>
        <x:v>0</x:v>
      </x:c>
      <x:c r="K32" s="14" t="str">
        <x:v>Tiền/Nợ</x:v>
      </x:c>
      <x:c r="L32" s="14" t="str">
        <x:v>Có</x:v>
      </x:c>
      <x:c r="M32" s="14" t="str"/>
      <x:c r="N32" s="14" t="str">
        <x:v>Theo checklist</x:v>
      </x:c>
      <x:c r="O32" s="14" t="str">
        <x:v>ERP/Bank/PMIS</x:v>
      </x:c>
      <x:c r="P32" s="14" t="str"/>
      <x:c r="Q32" s="14" t="str"/>
      <x:c r="R32" s="14"/>
    </x:row>
    <x:row r="33">
      <x:c r="A33" s="134" t="n">
        <x:v>46234</x:v>
      </x:c>
      <x:c r="B33" s="14" t="str">
        <x:v>SPV04</x:v>
      </x:c>
      <x:c r="C33" s="14" t="str">
        <x:v>Revenue/Sales</x:v>
      </x:c>
      <x:c r="D33" s="14" t="str">
        <x:v>Đối chiếu bán hàng, thu tiền, người mua trả trước</x:v>
      </x:c>
      <x:c r="E33" s="28" t="n">
        <x:v>46237</x:v>
      </x:c>
      <x:c r="F33" s="28" t="n">
        <x:v>46237</x:v>
      </x:c>
      <x:c r="G33" s="14" t="str">
        <x:v>Kế toán DT</x:v>
      </x:c>
      <x:c r="H33" s="14" t="str">
        <x:v>KTT</x:v>
      </x:c>
      <x:c r="I33" s="14" t="str">
        <x:v>Hoàn thành</x:v>
      </x:c>
      <x:c r="J33" s="14" t="n">
        <x:f>IF(I33="Hoàn thành",MAX(0,F33-E33),MAX(0,DATE(2026,8,13)-E33))</x:f>
        <x:v>0</x:v>
      </x:c>
      <x:c r="K33" s="14" t="str">
        <x:v>DT/Phải thu</x:v>
      </x:c>
      <x:c r="L33" s="14" t="str">
        <x:v>Có</x:v>
      </x:c>
      <x:c r="M33" s="14" t="str"/>
      <x:c r="N33" s="14" t="str">
        <x:v>Theo checklist</x:v>
      </x:c>
      <x:c r="O33" s="14" t="str">
        <x:v>ERP/Bank/PMIS</x:v>
      </x:c>
      <x:c r="P33" s="14" t="str"/>
      <x:c r="Q33" s="14" t="str"/>
      <x:c r="R33" s="14"/>
    </x:row>
    <x:row r="34">
      <x:c r="A34" s="134" t="n">
        <x:v>46234</x:v>
      </x:c>
      <x:c r="B34" s="14" t="str">
        <x:v>SPV04</x:v>
      </x:c>
      <x:c r="C34" s="14" t="str">
        <x:v>CAPEX/Inventory</x:v>
      </x:c>
      <x:c r="D34" s="14" t="str">
        <x:v>Đối chiếu khối lượng, CAPEX, HTK/BĐS dở dang</x:v>
      </x:c>
      <x:c r="E34" s="28" t="n">
        <x:v>46238</x:v>
      </x:c>
      <x:c r="F34" s="28" t="n">
        <x:v>46238</x:v>
      </x:c>
      <x:c r="G34" s="14" t="str">
        <x:v>Kế toán dự án</x:v>
      </x:c>
      <x:c r="H34" s="14" t="str">
        <x:v>KTT</x:v>
      </x:c>
      <x:c r="I34" s="14" t="str">
        <x:v>Hoàn thành</x:v>
      </x:c>
      <x:c r="J34" s="14" t="n">
        <x:f>IF(I34="Hoàn thành",MAX(0,F34-E34),MAX(0,DATE(2026,8,13)-E34))</x:f>
        <x:v>0</x:v>
      </x:c>
      <x:c r="K34" s="14" t="str">
        <x:v>HTK/CAPEX</x:v>
      </x:c>
      <x:c r="L34" s="14" t="str">
        <x:v>Có</x:v>
      </x:c>
      <x:c r="M34" s="14" t="str"/>
      <x:c r="N34" s="14" t="str">
        <x:v>Theo checklist</x:v>
      </x:c>
      <x:c r="O34" s="14" t="str">
        <x:v>ERP/Bank/PMIS</x:v>
      </x:c>
      <x:c r="P34" s="14" t="str"/>
      <x:c r="Q34" s="14" t="str"/>
      <x:c r="R34" s="14"/>
    </x:row>
    <x:row r="35">
      <x:c r="A35" s="134" t="n">
        <x:v>46234</x:v>
      </x:c>
      <x:c r="B35" s="14" t="str">
        <x:v>SPV04</x:v>
      </x:c>
      <x:c r="C35" s="14" t="str">
        <x:v>AP/Accrual</x:v>
      </x:c>
      <x:c r="D35" s="14" t="str">
        <x:v>Đối chiếu phải trả &amp; chi phí phải trả</x:v>
      </x:c>
      <x:c r="E35" s="28" t="n">
        <x:v>46238</x:v>
      </x:c>
      <x:c r="F35" s="28" t="n">
        <x:v>46238</x:v>
      </x:c>
      <x:c r="G35" s="14" t="str">
        <x:v>Kế toán AP</x:v>
      </x:c>
      <x:c r="H35" s="14" t="str">
        <x:v>KTT</x:v>
      </x:c>
      <x:c r="I35" s="14" t="str">
        <x:v>Hoàn thành</x:v>
      </x:c>
      <x:c r="J35" s="14" t="n">
        <x:f>IF(I35="Hoàn thành",MAX(0,F35-E35),MAX(0,DATE(2026,8,13)-E35))</x:f>
        <x:v>0</x:v>
      </x:c>
      <x:c r="K35" s="14" t="str">
        <x:v>Nợ phải trả</x:v>
      </x:c>
      <x:c r="L35" s="14" t="str">
        <x:v>Có</x:v>
      </x:c>
      <x:c r="M35" s="14" t="str"/>
      <x:c r="N35" s="14" t="str">
        <x:v>Theo checklist</x:v>
      </x:c>
      <x:c r="O35" s="14" t="str">
        <x:v>ERP/Bank/PMIS</x:v>
      </x:c>
      <x:c r="P35" s="14" t="str"/>
      <x:c r="Q35" s="14" t="str"/>
      <x:c r="R35" s="14"/>
    </x:row>
    <x:row r="36">
      <x:c r="A36" s="134" t="n">
        <x:v>46234</x:v>
      </x:c>
      <x:c r="B36" s="14" t="str">
        <x:v>SPV04</x:v>
      </x:c>
      <x:c r="C36" s="14" t="str">
        <x:v>Tax</x:v>
      </x:c>
      <x:c r="D36" s="14" t="str">
        <x:v>Rà nghĩa vụ thuế &amp; nghĩa vụ đất đến hạn</x:v>
      </x:c>
      <x:c r="E36" s="28" t="n">
        <x:v>46239</x:v>
      </x:c>
      <x:c r="F36" s="28" t="n">
        <x:v>46239</x:v>
      </x:c>
      <x:c r="G36" s="14" t="str">
        <x:v>Thuế</x:v>
      </x:c>
      <x:c r="H36" s="14" t="str">
        <x:v>KTT</x:v>
      </x:c>
      <x:c r="I36" s="14" t="str">
        <x:v>Hoàn thành</x:v>
      </x:c>
      <x:c r="J36" s="14" t="n">
        <x:f>IF(I36="Hoàn thành",MAX(0,F36-E36),MAX(0,DATE(2026,8,13)-E36))</x:f>
        <x:v>0</x:v>
      </x:c>
      <x:c r="K36" s="14" t="str">
        <x:v>Thuế</x:v>
      </x:c>
      <x:c r="L36" s="14" t="str">
        <x:v>Có</x:v>
      </x:c>
      <x:c r="M36" s="14" t="str"/>
      <x:c r="N36" s="14" t="str">
        <x:v>Theo checklist</x:v>
      </x:c>
      <x:c r="O36" s="14" t="str">
        <x:v>ERP/Bank/PMIS</x:v>
      </x:c>
      <x:c r="P36" s="14" t="str"/>
      <x:c r="Q36" s="14" t="str"/>
      <x:c r="R36" s="14"/>
    </x:row>
    <x:row r="37">
      <x:c r="A37" s="134" t="n">
        <x:v>46234</x:v>
      </x:c>
      <x:c r="B37" s="14" t="str">
        <x:v>SPV04</x:v>
      </x:c>
      <x:c r="C37" s="14" t="str">
        <x:v>Intercompany</x:v>
      </x:c>
      <x:c r="D37" s="14" t="str">
        <x:v>Đối chiếu giao dịch nội bộ</x:v>
      </x:c>
      <x:c r="E37" s="28" t="n">
        <x:v>46239</x:v>
      </x:c>
      <x:c r="F37" s="28"/>
      <x:c r="G37" s="14" t="str">
        <x:v>Kế toán tổng hợp</x:v>
      </x:c>
      <x:c r="H37" s="14" t="str">
        <x:v>KTT</x:v>
      </x:c>
      <x:c r="I37" s="14" t="str">
        <x:v>Quá hạn</x:v>
      </x:c>
      <x:c r="J37" s="14" t="n">
        <x:f>IF(I37="Hoàn thành",MAX(0,F37-E37),MAX(0,DATE(2026,8,13)-E37))</x:f>
        <x:v>8</x:v>
      </x:c>
      <x:c r="K37" s="14" t="str">
        <x:v>Hợp nhất</x:v>
      </x:c>
      <x:c r="L37" s="14" t="str">
        <x:v>Không</x:v>
      </x:c>
      <x:c r="M37" s="14" t="str"/>
      <x:c r="N37" s="14" t="str">
        <x:v>Escalate trong daily close</x:v>
      </x:c>
      <x:c r="O37" s="14" t="str">
        <x:v>ERP/Bank/PMIS</x:v>
      </x:c>
      <x:c r="P37" s="14" t="str"/>
      <x:c r="Q37" s="14" t="str"/>
      <x:c r="R37" s="14"/>
    </x:row>
    <x:row r="38">
      <x:c r="A38" s="134" t="n">
        <x:v>46234</x:v>
      </x:c>
      <x:c r="B38" s="14" t="str">
        <x:v>SPV04</x:v>
      </x:c>
      <x:c r="C38" s="14" t="str">
        <x:v>Consolidation</x:v>
      </x:c>
      <x:c r="D38" s="14" t="str">
        <x:v>Khóa BCTC riêng &amp; package hợp nhất</x:v>
      </x:c>
      <x:c r="E38" s="28" t="n">
        <x:v>46241</x:v>
      </x:c>
      <x:c r="F38" s="28"/>
      <x:c r="G38" s="14" t="str">
        <x:v>KTT</x:v>
      </x:c>
      <x:c r="H38" s="14" t="str">
        <x:v>CFO</x:v>
      </x:c>
      <x:c r="I38" s="14" t="str">
        <x:v>Quá hạn</x:v>
      </x:c>
      <x:c r="J38" s="14" t="n">
        <x:f>IF(I38="Hoàn thành",MAX(0,F38-E38),MAX(0,DATE(2026,8,13)-E38))</x:f>
        <x:v>6</x:v>
      </x:c>
      <x:c r="K38" s="14" t="str">
        <x:v>BCTC HN</x:v>
      </x:c>
      <x:c r="L38" s="14" t="str">
        <x:v>Có</x:v>
      </x:c>
      <x:c r="M38" s="14" t="str"/>
      <x:c r="N38" s="14" t="str">
        <x:v>Escalate trong daily close</x:v>
      </x:c>
      <x:c r="O38" s="14" t="str">
        <x:v>ERP/Bank/PMIS</x:v>
      </x:c>
      <x:c r="P38" s="14" t="str"/>
      <x:c r="Q38" s="14" t="str"/>
      <x:c r="R38" s="14"/>
    </x:row>
    <x:row r="39">
      <x:c r="A39" s="134" t="n">
        <x:v>46234</x:v>
      </x:c>
      <x:c r="B39" s="14" t="str">
        <x:v>SPV05</x:v>
      </x:c>
      <x:c r="C39" s="14" t="str">
        <x:v>Bank/Treasury</x:v>
      </x:c>
      <x:c r="D39" s="14" t="str">
        <x:v>Đối chiếu ngân hàng &amp; dư nợ</x:v>
      </x:c>
      <x:c r="E39" s="28" t="n">
        <x:v>46236</x:v>
      </x:c>
      <x:c r="F39" s="28" t="n">
        <x:v>46236</x:v>
      </x:c>
      <x:c r="G39" s="14" t="str">
        <x:v>Treasury</x:v>
      </x:c>
      <x:c r="H39" s="14" t="str">
        <x:v>CFO</x:v>
      </x:c>
      <x:c r="I39" s="14" t="str">
        <x:v>Hoàn thành</x:v>
      </x:c>
      <x:c r="J39" s="14" t="n">
        <x:f>IF(I39="Hoàn thành",MAX(0,F39-E39),MAX(0,DATE(2026,8,13)-E39))</x:f>
        <x:v>0</x:v>
      </x:c>
      <x:c r="K39" s="14" t="str">
        <x:v>Tiền/Nợ</x:v>
      </x:c>
      <x:c r="L39" s="14" t="str">
        <x:v>Có</x:v>
      </x:c>
      <x:c r="M39" s="14" t="str"/>
      <x:c r="N39" s="14" t="str">
        <x:v>Theo checklist</x:v>
      </x:c>
      <x:c r="O39" s="14" t="str">
        <x:v>ERP/Bank/PMIS</x:v>
      </x:c>
      <x:c r="P39" s="14" t="str"/>
      <x:c r="Q39" s="14" t="str"/>
      <x:c r="R39" s="14"/>
    </x:row>
    <x:row r="40">
      <x:c r="A40" s="134" t="n">
        <x:v>46234</x:v>
      </x:c>
      <x:c r="B40" s="14" t="str">
        <x:v>SPV05</x:v>
      </x:c>
      <x:c r="C40" s="14" t="str">
        <x:v>Revenue/Sales</x:v>
      </x:c>
      <x:c r="D40" s="14" t="str">
        <x:v>Đối chiếu bán hàng, thu tiền, người mua trả trước</x:v>
      </x:c>
      <x:c r="E40" s="28" t="n">
        <x:v>46237</x:v>
      </x:c>
      <x:c r="F40" s="28" t="n">
        <x:v>46237</x:v>
      </x:c>
      <x:c r="G40" s="14" t="str">
        <x:v>Kế toán DT</x:v>
      </x:c>
      <x:c r="H40" s="14" t="str">
        <x:v>KTT</x:v>
      </x:c>
      <x:c r="I40" s="14" t="str">
        <x:v>Hoàn thành</x:v>
      </x:c>
      <x:c r="J40" s="14" t="n">
        <x:f>IF(I40="Hoàn thành",MAX(0,F40-E40),MAX(0,DATE(2026,8,13)-E40))</x:f>
        <x:v>0</x:v>
      </x:c>
      <x:c r="K40" s="14" t="str">
        <x:v>DT/Phải thu</x:v>
      </x:c>
      <x:c r="L40" s="14" t="str">
        <x:v>Có</x:v>
      </x:c>
      <x:c r="M40" s="14" t="str"/>
      <x:c r="N40" s="14" t="str">
        <x:v>Theo checklist</x:v>
      </x:c>
      <x:c r="O40" s="14" t="str">
        <x:v>ERP/Bank/PMIS</x:v>
      </x:c>
      <x:c r="P40" s="14" t="str"/>
      <x:c r="Q40" s="14" t="str"/>
      <x:c r="R40" s="14"/>
    </x:row>
    <x:row r="41">
      <x:c r="A41" s="134" t="n">
        <x:v>46234</x:v>
      </x:c>
      <x:c r="B41" s="14" t="str">
        <x:v>SPV05</x:v>
      </x:c>
      <x:c r="C41" s="14" t="str">
        <x:v>CAPEX/Inventory</x:v>
      </x:c>
      <x:c r="D41" s="14" t="str">
        <x:v>Đối chiếu khối lượng, CAPEX, HTK/BĐS dở dang</x:v>
      </x:c>
      <x:c r="E41" s="28" t="n">
        <x:v>46238</x:v>
      </x:c>
      <x:c r="F41" s="28" t="n">
        <x:v>46238</x:v>
      </x:c>
      <x:c r="G41" s="14" t="str">
        <x:v>Kế toán dự án</x:v>
      </x:c>
      <x:c r="H41" s="14" t="str">
        <x:v>KTT</x:v>
      </x:c>
      <x:c r="I41" s="14" t="str">
        <x:v>Hoàn thành</x:v>
      </x:c>
      <x:c r="J41" s="14" t="n">
        <x:f>IF(I41="Hoàn thành",MAX(0,F41-E41),MAX(0,DATE(2026,8,13)-E41))</x:f>
        <x:v>0</x:v>
      </x:c>
      <x:c r="K41" s="14" t="str">
        <x:v>HTK/CAPEX</x:v>
      </x:c>
      <x:c r="L41" s="14" t="str">
        <x:v>Có</x:v>
      </x:c>
      <x:c r="M41" s="14" t="str"/>
      <x:c r="N41" s="14" t="str">
        <x:v>Theo checklist</x:v>
      </x:c>
      <x:c r="O41" s="14" t="str">
        <x:v>ERP/Bank/PMIS</x:v>
      </x:c>
      <x:c r="P41" s="14" t="str"/>
      <x:c r="Q41" s="14" t="str"/>
      <x:c r="R41" s="14"/>
    </x:row>
    <x:row r="42">
      <x:c r="A42" s="134" t="n">
        <x:v>46234</x:v>
      </x:c>
      <x:c r="B42" s="14" t="str">
        <x:v>SPV05</x:v>
      </x:c>
      <x:c r="C42" s="14" t="str">
        <x:v>AP/Accrual</x:v>
      </x:c>
      <x:c r="D42" s="14" t="str">
        <x:v>Đối chiếu phải trả &amp; chi phí phải trả</x:v>
      </x:c>
      <x:c r="E42" s="28" t="n">
        <x:v>46238</x:v>
      </x:c>
      <x:c r="F42" s="28" t="n">
        <x:v>46238</x:v>
      </x:c>
      <x:c r="G42" s="14" t="str">
        <x:v>Kế toán AP</x:v>
      </x:c>
      <x:c r="H42" s="14" t="str">
        <x:v>KTT</x:v>
      </x:c>
      <x:c r="I42" s="14" t="str">
        <x:v>Hoàn thành</x:v>
      </x:c>
      <x:c r="J42" s="14" t="n">
        <x:f>IF(I42="Hoàn thành",MAX(0,F42-E42),MAX(0,DATE(2026,8,13)-E42))</x:f>
        <x:v>0</x:v>
      </x:c>
      <x:c r="K42" s="14" t="str">
        <x:v>Nợ phải trả</x:v>
      </x:c>
      <x:c r="L42" s="14" t="str">
        <x:v>Có</x:v>
      </x:c>
      <x:c r="M42" s="14" t="str"/>
      <x:c r="N42" s="14" t="str">
        <x:v>Theo checklist</x:v>
      </x:c>
      <x:c r="O42" s="14" t="str">
        <x:v>ERP/Bank/PMIS</x:v>
      </x:c>
      <x:c r="P42" s="14" t="str"/>
      <x:c r="Q42" s="14" t="str"/>
      <x:c r="R42" s="14"/>
    </x:row>
    <x:row r="43">
      <x:c r="A43" s="134" t="n">
        <x:v>46234</x:v>
      </x:c>
      <x:c r="B43" s="14" t="str">
        <x:v>SPV05</x:v>
      </x:c>
      <x:c r="C43" s="14" t="str">
        <x:v>Tax</x:v>
      </x:c>
      <x:c r="D43" s="14" t="str">
        <x:v>Rà nghĩa vụ thuế &amp; nghĩa vụ đất đến hạn</x:v>
      </x:c>
      <x:c r="E43" s="28" t="n">
        <x:v>46239</x:v>
      </x:c>
      <x:c r="F43" s="28" t="n">
        <x:v>46239</x:v>
      </x:c>
      <x:c r="G43" s="14" t="str">
        <x:v>Thuế</x:v>
      </x:c>
      <x:c r="H43" s="14" t="str">
        <x:v>KTT</x:v>
      </x:c>
      <x:c r="I43" s="14" t="str">
        <x:v>Hoàn thành</x:v>
      </x:c>
      <x:c r="J43" s="14" t="n">
        <x:f>IF(I43="Hoàn thành",MAX(0,F43-E43),MAX(0,DATE(2026,8,13)-E43))</x:f>
        <x:v>0</x:v>
      </x:c>
      <x:c r="K43" s="14" t="str">
        <x:v>Thuế</x:v>
      </x:c>
      <x:c r="L43" s="14" t="str">
        <x:v>Có</x:v>
      </x:c>
      <x:c r="M43" s="14" t="str"/>
      <x:c r="N43" s="14" t="str">
        <x:v>Theo checklist</x:v>
      </x:c>
      <x:c r="O43" s="14" t="str">
        <x:v>ERP/Bank/PMIS</x:v>
      </x:c>
      <x:c r="P43" s="14" t="str"/>
      <x:c r="Q43" s="14" t="str"/>
      <x:c r="R43" s="14"/>
    </x:row>
    <x:row r="44">
      <x:c r="A44" s="134" t="n">
        <x:v>46234</x:v>
      </x:c>
      <x:c r="B44" s="14" t="str">
        <x:v>SPV05</x:v>
      </x:c>
      <x:c r="C44" s="14" t="str">
        <x:v>Intercompany</x:v>
      </x:c>
      <x:c r="D44" s="14" t="str">
        <x:v>Đối chiếu giao dịch nội bộ</x:v>
      </x:c>
      <x:c r="E44" s="28" t="n">
        <x:v>46239</x:v>
      </x:c>
      <x:c r="F44" s="28"/>
      <x:c r="G44" s="14" t="str">
        <x:v>Kế toán tổng hợp</x:v>
      </x:c>
      <x:c r="H44" s="14" t="str">
        <x:v>KTT</x:v>
      </x:c>
      <x:c r="I44" s="14" t="str">
        <x:v>Quá hạn</x:v>
      </x:c>
      <x:c r="J44" s="14" t="n">
        <x:f>IF(I44="Hoàn thành",MAX(0,F44-E44),MAX(0,DATE(2026,8,13)-E44))</x:f>
        <x:v>8</x:v>
      </x:c>
      <x:c r="K44" s="14" t="str">
        <x:v>Hợp nhất</x:v>
      </x:c>
      <x:c r="L44" s="14" t="str">
        <x:v>Không</x:v>
      </x:c>
      <x:c r="M44" s="14" t="str"/>
      <x:c r="N44" s="14" t="str">
        <x:v>Escalate trong daily close</x:v>
      </x:c>
      <x:c r="O44" s="14" t="str">
        <x:v>ERP/Bank/PMIS</x:v>
      </x:c>
      <x:c r="P44" s="14" t="str"/>
      <x:c r="Q44" s="14" t="str"/>
      <x:c r="R44" s="14"/>
    </x:row>
    <x:row r="45">
      <x:c r="A45" s="134" t="n">
        <x:v>46234</x:v>
      </x:c>
      <x:c r="B45" s="14" t="str">
        <x:v>SPV05</x:v>
      </x:c>
      <x:c r="C45" s="14" t="str">
        <x:v>Consolidation</x:v>
      </x:c>
      <x:c r="D45" s="14" t="str">
        <x:v>Khóa BCTC riêng &amp; package hợp nhất</x:v>
      </x:c>
      <x:c r="E45" s="28" t="n">
        <x:v>46241</x:v>
      </x:c>
      <x:c r="F45" s="28"/>
      <x:c r="G45" s="14" t="str">
        <x:v>KTT</x:v>
      </x:c>
      <x:c r="H45" s="14" t="str">
        <x:v>CFO</x:v>
      </x:c>
      <x:c r="I45" s="14" t="str">
        <x:v>Quá hạn</x:v>
      </x:c>
      <x:c r="J45" s="14" t="n">
        <x:f>IF(I45="Hoàn thành",MAX(0,F45-E45),MAX(0,DATE(2026,8,13)-E45))</x:f>
        <x:v>6</x:v>
      </x:c>
      <x:c r="K45" s="14" t="str">
        <x:v>BCTC HN</x:v>
      </x:c>
      <x:c r="L45" s="14" t="str">
        <x:v>Có</x:v>
      </x:c>
      <x:c r="M45" s="14" t="str"/>
      <x:c r="N45" s="14" t="str">
        <x:v>Escalate trong daily close</x:v>
      </x:c>
      <x:c r="O45" s="14" t="str">
        <x:v>ERP/Bank/PMIS</x:v>
      </x:c>
      <x:c r="P45" s="14" t="str"/>
      <x:c r="Q45" s="14" t="str"/>
      <x:c r="R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</x:row>
  </x:sheetData>
  <x:mergeCells>
    <x:mergeCell ref="A1:Q1"/>
  </x:mergeCells>
  <x:conditionalFormatting sqref="I4:I45">
    <x:cfRule type="expression" dxfId="14" priority="1">
      <x:formula>I4="Quá hạn"</x:formula>
    </x:cfRule>
  </x:conditionalFormatting>
  <x:dataValidations count="1">
    <x:dataValidation type="list" sqref="I4:I45">
      <x:formula1>"Chưa bắt đầu,Đang thực hiện,Chờ dữ liệu,Quá hạn,Hoàn thành"</x:formula1>
    </x:dataValidation>
  </x:dataValidation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8" hidden="0" customWidth="1"/>
    <x:col min="18" max="18" width="28" hidden="0" customWidth="1"/>
  </x:cols>
  <x:sheetData>
    <x:row r="1">
      <x:c r="A1" s="133" t="str">
        <x:v>50_Latest_Estimate – Actual YTD + Forecast còn lại = LE FY2026</x:v>
      </x:c>
      <x:c r="B1" s="133"/>
      <x:c r="C1" s="133"/>
      <x:c r="D1" s="133"/>
      <x:c r="E1" s="133"/>
      <x:c r="F1" s="133"/>
      <x:c r="G1" s="133"/>
      <x:c r="H1" s="133"/>
      <x:c r="I1" s="133"/>
      <x:c r="J1" s="133"/>
      <x:c r="K1" s="133"/>
      <x:c r="L1" s="133"/>
      <x:c r="M1" s="133"/>
      <x:c r="N1" s="133"/>
      <x:c r="O1" s="133"/>
      <x:c r="P1" s="133"/>
      <x:c r="Q1" s="133"/>
      <x:c r="R1" s="13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</x:row>
    <x:row r="3">
      <x:c r="A3" s="125" t="str">
        <x:v>Mã dự án</x:v>
      </x:c>
      <x:c r="B3" s="125" t="str">
        <x:v>Doanh thu ngân sách năm</x:v>
      </x:c>
      <x:c r="C3" s="125" t="str">
        <x:v>Doanh thu thực tế lũy kế</x:v>
      </x:c>
      <x:c r="D3" s="125" t="str">
        <x:v>Dự báo doanh thu còn lại</x:v>
      </x:c>
      <x:c r="E3" s="125" t="str">
        <x:v>Doanh thu ước tính mới nhất năm</x:v>
      </x:c>
      <x:c r="F3" s="125" t="str">
        <x:v>Chênh lệch DT so ngân sách</x:v>
      </x:c>
      <x:c r="G3" s="125" t="str">
        <x:v>Chênh lệch DT (%)</x:v>
      </x:c>
      <x:c r="H3" s="125" t="str">
        <x:v>CAPEX ngân sách năm</x:v>
      </x:c>
      <x:c r="I3" s="125" t="str">
        <x:v>CAPEX thực tế lũy kế</x:v>
      </x:c>
      <x:c r="J3" s="125" t="str">
        <x:v>Dự báo CAPEX còn lại</x:v>
      </x:c>
      <x:c r="K3" s="125" t="str">
        <x:v>CAPEX ước tính mới nhất năm</x:v>
      </x:c>
      <x:c r="L3" s="125" t="str">
        <x:v>Chênh lệch CAPEX</x:v>
      </x:c>
      <x:c r="M3" s="125" t="str">
        <x:v>Chênh lệch CAPEX (%)</x:v>
      </x:c>
      <x:c r="N3" s="125" t="str">
        <x:v>LNST ước tính</x:v>
      </x:c>
      <x:c r="O3" s="125" t="str">
        <x:v>Khoảng thiếu vốn 12T</x:v>
      </x:c>
      <x:c r="P3" s="125" t="str">
        <x:v>Trạng thái ước tính</x:v>
      </x:c>
      <x:c r="Q3" s="125" t="str">
        <x:v>Phiên bản</x:v>
      </x:c>
      <x:c r="R3" s="125" t="str">
        <x:v>Hành động</x:v>
      </x:c>
    </x:row>
    <x:row r="4">
      <x:c r="A4" s="14" t="str">
        <x:v>DA01</x:v>
      </x:c>
      <x:c r="B4" s="100" t="n">
        <x:f>IFERROR(INDEX('01_Danh_muc_du_an'!$G$4:$G$9,MATCH(A4,'01_Danh_muc_du_an'!$A$4:$A$9,0))*12/60,0)</x:f>
        <x:v>1960</x:v>
      </x:c>
      <x:c r="C4" s="100" t="n">
        <x:f>IFERROR(INDEX('42_Budget_vs_Actual'!$C$4:$C$9,MATCH(A4,'42_Budget_vs_Actual'!$A$4:$A$9,0)),0)</x:f>
        <x:v>0</x:v>
      </x:c>
      <x:c r="D4" s="100" t="n">
        <x:f>IFERROR(INDEX('43_Rolling_Forecast'!$H$4:$H$9,MATCH(A4,'43_Rolling_Forecast'!$A$4:$A$9,0))*5/24,0)</x:f>
        <x:v>816.6666666666666</x:v>
      </x:c>
      <x:c r="E4" s="100" t="n">
        <x:f>C4+D4</x:f>
        <x:v>816.6666666666666</x:v>
      </x:c>
      <x:c r="F4" s="100" t="n">
        <x:f>E4-B4</x:f>
        <x:v>-1143.3333333333335</x:v>
      </x:c>
      <x:c r="G4" s="103" t="n">
        <x:f>IFERROR(F4/B4,0)</x:f>
        <x:v>-0.5833333333333334</x:v>
      </x:c>
      <x:c r="H4" s="100" t="n">
        <x:f>IFERROR(INDEX('01_Danh_muc_du_an'!$F$4:$F$9,MATCH(A4,'01_Danh_muc_du_an'!$A$4:$A$9,0))*12/60,0)</x:f>
        <x:v>1300</x:v>
      </x:c>
      <x:c r="I4" s="100" t="n">
        <x:f>IFERROR(INDEX('42_Budget_vs_Actual'!$G$4:$G$9,MATCH(A4,'42_Budget_vs_Actual'!$A$4:$A$9,0)),0)</x:f>
        <x:v>784</x:v>
      </x:c>
      <x:c r="J4" s="100" t="n">
        <x:f>IFERROR(INDEX('43_Rolling_Forecast'!$I$4:$I$9,MATCH(A4,'43_Rolling_Forecast'!$A$4:$A$9,0))*5/24,0)</x:f>
        <x:v>541.6666666666666</x:v>
      </x:c>
      <x:c r="K4" s="100" t="n">
        <x:f>I4+J4</x:f>
        <x:v>1325.6666666666665</x:v>
      </x:c>
      <x:c r="L4" s="100" t="n">
        <x:f>K4-H4</x:f>
        <x:v>25.666666666666515</x:v>
      </x:c>
      <x:c r="M4" s="103" t="n">
        <x:f>IFERROR(L4/H4,0)</x:f>
        <x:v>0.019743589743589626</x:v>
      </x:c>
      <x:c r="N4" s="100" t="n">
        <x:f>E4*0.22-K4*0.03</x:f>
        <x:v>139.89666666666665</x:v>
      </x:c>
      <x:c r="O4" s="100" t="n">
        <x:f>IFERROR(INDEX('32_Treasury_Cash_Pool'!$F$5:$F$10,MATCH(A4,'32_Treasury_Cash_Pool'!$B$5:$B$10,0)),0)</x:f>
        <x:v>435.4</x:v>
      </x:c>
      <x:c r="P4" s="14" t="str">
        <x:f>IF(OR(ABS(G4)&gt;10%,M4&gt;10%,O4&gt;0),"CẦN HÀNH ĐỘNG","TRONG NGƯỠNG")</x:f>
        <x:v>CẦN HÀNH ĐỘNG</x:v>
      </x:c>
      <x:c r="Q4" s="14" t="str">
        <x:f>"LE_2026_08"</x:f>
        <x:v>LE_2026_08</x:v>
      </x:c>
      <x:c r="R4" s="14" t="str">
        <x:f>IF(P4="CẦN HÀNH ĐỘNG","Rà nguyên nhân variance và cập nhật action owner","Duy trì forecast")</x:f>
        <x:v>Rà nguyên nhân variance và cập nhật action owner</x:v>
      </x:c>
    </x:row>
    <x:row r="5">
      <x:c r="A5" s="14" t="str">
        <x:v>DA02</x:v>
      </x:c>
      <x:c r="B5" s="100" t="n">
        <x:f>IFERROR(INDEX('01_Danh_muc_du_an'!$G$4:$G$9,MATCH(A5,'01_Danh_muc_du_an'!$A$4:$A$9,0))*12/60,0)</x:f>
        <x:v>2240</x:v>
      </x:c>
      <x:c r="C5" s="100" t="n">
        <x:f>IFERROR(INDEX('42_Budget_vs_Actual'!$C$4:$C$9,MATCH(A5,'42_Budget_vs_Actual'!$A$4:$A$9,0)),0)</x:f>
        <x:v>0</x:v>
      </x:c>
      <x:c r="D5" s="100" t="n">
        <x:f>IFERROR(INDEX('43_Rolling_Forecast'!$H$4:$H$9,MATCH(A5,'43_Rolling_Forecast'!$A$4:$A$9,0))*5/24,0)</x:f>
        <x:v>933.3333333333334</x:v>
      </x:c>
      <x:c r="E5" s="100" t="n">
        <x:f>C5+D5</x:f>
        <x:v>933.3333333333334</x:v>
      </x:c>
      <x:c r="F5" s="100" t="n">
        <x:f>E5-B5</x:f>
        <x:v>-1306.6666666666665</x:v>
      </x:c>
      <x:c r="G5" s="103" t="n">
        <x:f>IFERROR(F5/B5,0)</x:f>
        <x:v>-0.5833333333333333</x:v>
      </x:c>
      <x:c r="H5" s="100" t="n">
        <x:f>IFERROR(INDEX('01_Danh_muc_du_an'!$F$4:$F$9,MATCH(A5,'01_Danh_muc_du_an'!$A$4:$A$9,0))*12/60,0)</x:f>
        <x:v>1440</x:v>
      </x:c>
      <x:c r="I5" s="100" t="n">
        <x:f>IFERROR(INDEX('42_Budget_vs_Actual'!$G$4:$G$9,MATCH(A5,'42_Budget_vs_Actual'!$A$4:$A$9,0)),0)</x:f>
        <x:v>868</x:v>
      </x:c>
      <x:c r="J5" s="100" t="n">
        <x:f>IFERROR(INDEX('43_Rolling_Forecast'!$I$4:$I$9,MATCH(A5,'43_Rolling_Forecast'!$A$4:$A$9,0))*5/24,0)</x:f>
        <x:v>600</x:v>
      </x:c>
      <x:c r="K5" s="100" t="n">
        <x:f>I5+J5</x:f>
        <x:v>1468</x:v>
      </x:c>
      <x:c r="L5" s="100" t="n">
        <x:f>K5-H5</x:f>
        <x:v>28</x:v>
      </x:c>
      <x:c r="M5" s="103" t="n">
        <x:f>IFERROR(L5/H5,0)</x:f>
        <x:v>0.019444444444444445</x:v>
      </x:c>
      <x:c r="N5" s="100" t="n">
        <x:f>E5*0.22-K5*0.03</x:f>
        <x:v>161.29333333333335</x:v>
      </x:c>
      <x:c r="O5" s="100" t="n">
        <x:f>IFERROR(INDEX('32_Treasury_Cash_Pool'!$F$5:$F$10,MATCH(A5,'32_Treasury_Cash_Pool'!$B$5:$B$10,0)),0)</x:f>
        <x:v>269.6</x:v>
      </x:c>
      <x:c r="P5" s="14" t="str">
        <x:f>IF(OR(ABS(G5)&gt;10%,M5&gt;10%,O5&gt;0),"CẦN HÀNH ĐỘNG","TRONG NGƯỠNG")</x:f>
        <x:v>CẦN HÀNH ĐỘNG</x:v>
      </x:c>
      <x:c r="Q5" s="14" t="str">
        <x:f>"LE_2026_08"</x:f>
        <x:v>LE_2026_08</x:v>
      </x:c>
      <x:c r="R5" s="14" t="str">
        <x:f>IF(P5="CẦN HÀNH ĐỘNG","Rà nguyên nhân variance và cập nhật action owner","Duy trì forecast")</x:f>
        <x:v>Rà nguyên nhân variance và cập nhật action owner</x:v>
      </x:c>
    </x:row>
    <x:row r="6">
      <x:c r="A6" s="14" t="str">
        <x:v>DA03</x:v>
      </x:c>
      <x:c r="B6" s="100" t="n">
        <x:f>IFERROR(INDEX('01_Danh_muc_du_an'!$G$4:$G$9,MATCH(A6,'01_Danh_muc_du_an'!$A$4:$A$9,0))*12/60,0)</x:f>
        <x:v>2960</x:v>
      </x:c>
      <x:c r="C6" s="100" t="n">
        <x:f>IFERROR(INDEX('42_Budget_vs_Actual'!$C$4:$C$9,MATCH(A6,'42_Budget_vs_Actual'!$A$4:$A$9,0)),0)</x:f>
        <x:v>1575</x:v>
      </x:c>
      <x:c r="D6" s="100" t="n">
        <x:f>IFERROR(INDEX('43_Rolling_Forecast'!$H$4:$H$9,MATCH(A6,'43_Rolling_Forecast'!$A$4:$A$9,0))*5/24,0)</x:f>
        <x:v>1233.3333333333333</x:v>
      </x:c>
      <x:c r="E6" s="100" t="n">
        <x:f>C6+D6</x:f>
        <x:v>2808.333333333333</x:v>
      </x:c>
      <x:c r="F6" s="100" t="n">
        <x:f>E6-B6</x:f>
        <x:v>-151.66666666666697</x:v>
      </x:c>
      <x:c r="G6" s="103" t="n">
        <x:f>IFERROR(F6/B6,0)</x:f>
        <x:v>-0.05123873873873884</x:v>
      </x:c>
      <x:c r="H6" s="100" t="n">
        <x:f>IFERROR(INDEX('01_Danh_muc_du_an'!$F$4:$F$9,MATCH(A6,'01_Danh_muc_du_an'!$A$4:$A$9,0))*12/60,0)</x:f>
        <x:v>1960</x:v>
      </x:c>
      <x:c r="I6" s="100" t="n">
        <x:f>IFERROR(INDEX('42_Budget_vs_Actual'!$G$4:$G$9,MATCH(A6,'42_Budget_vs_Actual'!$A$4:$A$9,0)),0)</x:f>
        <x:v>952</x:v>
      </x:c>
      <x:c r="J6" s="100" t="n">
        <x:f>IFERROR(INDEX('43_Rolling_Forecast'!$I$4:$I$9,MATCH(A6,'43_Rolling_Forecast'!$A$4:$A$9,0))*5/24,0)</x:f>
        <x:v>816.6666666666666</x:v>
      </x:c>
      <x:c r="K6" s="100" t="n">
        <x:f>I6+J6</x:f>
        <x:v>1768.6666666666665</x:v>
      </x:c>
      <x:c r="L6" s="100" t="n">
        <x:f>K6-H6</x:f>
        <x:v>-191.33333333333348</x:v>
      </x:c>
      <x:c r="M6" s="103" t="n">
        <x:f>IFERROR(L6/H6,0)</x:f>
        <x:v>-0.0976190476190477</x:v>
      </x:c>
      <x:c r="N6" s="100" t="n">
        <x:f>E6*0.22-K6*0.03</x:f>
        <x:v>564.7733333333333</x:v>
      </x:c>
      <x:c r="O6" s="100" t="n">
        <x:f>IFERROR(INDEX('32_Treasury_Cash_Pool'!$F$5:$F$10,MATCH(A6,'32_Treasury_Cash_Pool'!$B$5:$B$10,0)),0)</x:f>
        <x:v>124.6</x:v>
      </x:c>
      <x:c r="P6" s="14" t="str">
        <x:f>IF(OR(ABS(G6)&gt;10%,M6&gt;10%,O6&gt;0),"CẦN HÀNH ĐỘNG","TRONG NGƯỠNG")</x:f>
        <x:v>CẦN HÀNH ĐỘNG</x:v>
      </x:c>
      <x:c r="Q6" s="14" t="str">
        <x:f>"LE_2026_08"</x:f>
        <x:v>LE_2026_08</x:v>
      </x:c>
      <x:c r="R6" s="14" t="str">
        <x:f>IF(P6="CẦN HÀNH ĐỘNG","Rà nguyên nhân variance và cập nhật action owner","Duy trì forecast")</x:f>
        <x:v>Rà nguyên nhân variance và cập nhật action owner</x:v>
      </x:c>
    </x:row>
    <x:row r="7">
      <x:c r="A7" s="14" t="str">
        <x:v>DA04</x:v>
      </x:c>
      <x:c r="B7" s="100" t="n">
        <x:f>IFERROR(INDEX('01_Danh_muc_du_an'!$G$4:$G$9,MATCH(A7,'01_Danh_muc_du_an'!$A$4:$A$9,0))*12/60,0)</x:f>
        <x:v>2640</x:v>
      </x:c>
      <x:c r="C7" s="100" t="n">
        <x:f>IFERROR(INDEX('42_Budget_vs_Actual'!$C$4:$C$9,MATCH(A7,'42_Budget_vs_Actual'!$A$4:$A$9,0)),0)</x:f>
        <x:v>2100</x:v>
      </x:c>
      <x:c r="D7" s="100" t="n">
        <x:f>IFERROR(INDEX('43_Rolling_Forecast'!$H$4:$H$9,MATCH(A7,'43_Rolling_Forecast'!$A$4:$A$9,0))*5/24,0)</x:f>
        <x:v>1100</x:v>
      </x:c>
      <x:c r="E7" s="100" t="n">
        <x:f>C7+D7</x:f>
        <x:v>3200</x:v>
      </x:c>
      <x:c r="F7" s="100" t="n">
        <x:f>E7-B7</x:f>
        <x:v>560</x:v>
      </x:c>
      <x:c r="G7" s="103" t="n">
        <x:f>IFERROR(F7/B7,0)</x:f>
        <x:v>0.21212121212121213</x:v>
      </x:c>
      <x:c r="H7" s="100" t="n">
        <x:f>IFERROR(INDEX('01_Danh_muc_du_an'!$F$4:$F$9,MATCH(A7,'01_Danh_muc_du_an'!$A$4:$A$9,0))*12/60,0)</x:f>
        <x:v>1680</x:v>
      </x:c>
      <x:c r="I7" s="100" t="n">
        <x:f>IFERROR(INDEX('42_Budget_vs_Actual'!$G$4:$G$9,MATCH(A7,'42_Budget_vs_Actual'!$A$4:$A$9,0)),0)</x:f>
        <x:v>1036</x:v>
      </x:c>
      <x:c r="J7" s="100" t="n">
        <x:f>IFERROR(INDEX('43_Rolling_Forecast'!$I$4:$I$9,MATCH(A7,'43_Rolling_Forecast'!$A$4:$A$9,0))*5/24,0)</x:f>
        <x:v>700</x:v>
      </x:c>
      <x:c r="K7" s="100" t="n">
        <x:f>I7+J7</x:f>
        <x:v>1736</x:v>
      </x:c>
      <x:c r="L7" s="100" t="n">
        <x:f>K7-H7</x:f>
        <x:v>56</x:v>
      </x:c>
      <x:c r="M7" s="103" t="n">
        <x:f>IFERROR(L7/H7,0)</x:f>
        <x:v>0.03333333333333333</x:v>
      </x:c>
      <x:c r="N7" s="100" t="n">
        <x:f>E7*0.22-K7*0.03</x:f>
        <x:v>651.92</x:v>
      </x:c>
      <x:c r="O7" s="100" t="n">
        <x:f>IFERROR(INDEX('32_Treasury_Cash_Pool'!$F$5:$F$10,MATCH(A7,'32_Treasury_Cash_Pool'!$B$5:$B$10,0)),0)</x:f>
        <x:v>0</x:v>
      </x:c>
      <x:c r="P7" s="14" t="str">
        <x:f>IF(OR(ABS(G7)&gt;10%,M7&gt;10%,O7&gt;0),"CẦN HÀNH ĐỘNG","TRONG NGƯỠNG")</x:f>
        <x:v>CẦN HÀNH ĐỘNG</x:v>
      </x:c>
      <x:c r="Q7" s="14" t="str">
        <x:f>"LE_2026_08"</x:f>
        <x:v>LE_2026_08</x:v>
      </x:c>
      <x:c r="R7" s="14" t="str">
        <x:f>IF(P7="CẦN HÀNH ĐỘNG","Rà nguyên nhân variance và cập nhật action owner","Duy trì forecast")</x:f>
        <x:v>Rà nguyên nhân variance và cập nhật action owner</x:v>
      </x:c>
    </x:row>
    <x:row r="8">
      <x:c r="A8" s="14" t="str">
        <x:v>DA05</x:v>
      </x:c>
      <x:c r="B8" s="100" t="n">
        <x:f>IFERROR(INDEX('01_Danh_muc_du_an'!$G$4:$G$9,MATCH(A8,'01_Danh_muc_du_an'!$A$4:$A$9,0))*12/60,0)</x:f>
        <x:v>1880</x:v>
      </x:c>
      <x:c r="C8" s="100" t="n">
        <x:f>IFERROR(INDEX('42_Budget_vs_Actual'!$C$4:$C$9,MATCH(A8,'42_Budget_vs_Actual'!$A$4:$A$9,0)),0)</x:f>
        <x:v>2625</x:v>
      </x:c>
      <x:c r="D8" s="100" t="n">
        <x:f>IFERROR(INDEX('43_Rolling_Forecast'!$H$4:$H$9,MATCH(A8,'43_Rolling_Forecast'!$A$4:$A$9,0))*5/24,0)</x:f>
        <x:v>783.3333333333334</x:v>
      </x:c>
      <x:c r="E8" s="100" t="n">
        <x:f>C8+D8</x:f>
        <x:v>3408.3333333333335</x:v>
      </x:c>
      <x:c r="F8" s="100" t="n">
        <x:f>E8-B8</x:f>
        <x:v>1528.3333333333335</x:v>
      </x:c>
      <x:c r="G8" s="103" t="n">
        <x:f>IFERROR(F8/B8,0)</x:f>
        <x:v>0.8129432624113476</x:v>
      </x:c>
      <x:c r="H8" s="100" t="n">
        <x:f>IFERROR(INDEX('01_Danh_muc_du_an'!$F$4:$F$9,MATCH(A8,'01_Danh_muc_du_an'!$A$4:$A$9,0))*12/60,0)</x:f>
        <x:v>1240</x:v>
      </x:c>
      <x:c r="I8" s="100" t="n">
        <x:f>IFERROR(INDEX('42_Budget_vs_Actual'!$G$4:$G$9,MATCH(A8,'42_Budget_vs_Actual'!$A$4:$A$9,0)),0)</x:f>
        <x:v>1120</x:v>
      </x:c>
      <x:c r="J8" s="100" t="n">
        <x:f>IFERROR(INDEX('43_Rolling_Forecast'!$I$4:$I$9,MATCH(A8,'43_Rolling_Forecast'!$A$4:$A$9,0))*5/24,0)</x:f>
        <x:v>516.6666666666666</x:v>
      </x:c>
      <x:c r="K8" s="100" t="n">
        <x:f>I8+J8</x:f>
        <x:v>1636.6666666666665</x:v>
      </x:c>
      <x:c r="L8" s="100" t="n">
        <x:f>K8-H8</x:f>
        <x:v>396.6666666666665</x:v>
      </x:c>
      <x:c r="M8" s="103" t="n">
        <x:f>IFERROR(L8/H8,0)</x:f>
        <x:v>0.31989247311827945</x:v>
      </x:c>
      <x:c r="N8" s="100" t="n">
        <x:f>E8*0.22-K8*0.03</x:f>
        <x:v>700.7333333333333</x:v>
      </x:c>
      <x:c r="O8" s="100" t="n">
        <x:f>IFERROR(INDEX('32_Treasury_Cash_Pool'!$F$5:$F$10,MATCH(A8,'32_Treasury_Cash_Pool'!$B$5:$B$10,0)),0)</x:f>
        <x:v>0</x:v>
      </x:c>
      <x:c r="P8" s="14" t="str">
        <x:f>IF(OR(ABS(G8)&gt;10%,M8&gt;10%,O8&gt;0),"CẦN HÀNH ĐỘNG","TRONG NGƯỠNG")</x:f>
        <x:v>CẦN HÀNH ĐỘNG</x:v>
      </x:c>
      <x:c r="Q8" s="14" t="str">
        <x:f>"LE_2026_08"</x:f>
        <x:v>LE_2026_08</x:v>
      </x:c>
      <x:c r="R8" s="14" t="str">
        <x:f>IF(P8="CẦN HÀNH ĐỘNG","Rà nguyên nhân variance và cập nhật action owner","Duy trì forecast")</x:f>
        <x:v>Rà nguyên nhân variance và cập nhật action owner</x:v>
      </x:c>
    </x:row>
    <x:row r="9">
      <x:c r="A9" s="14" t="str">
        <x:v>DA06</x:v>
      </x:c>
      <x:c r="B9" s="100" t="n">
        <x:f>IFERROR(INDEX('01_Danh_muc_du_an'!$G$4:$G$9,MATCH(A9,'01_Danh_muc_du_an'!$A$4:$A$9,0))*12/60,0)</x:f>
        <x:v>1440</x:v>
      </x:c>
      <x:c r="C9" s="100" t="n">
        <x:f>IFERROR(INDEX('42_Budget_vs_Actual'!$C$4:$C$9,MATCH(A9,'42_Budget_vs_Actual'!$A$4:$A$9,0)),0)</x:f>
        <x:v>0</x:v>
      </x:c>
      <x:c r="D9" s="100" t="n">
        <x:f>IFERROR(INDEX('43_Rolling_Forecast'!$H$4:$H$9,MATCH(A9,'43_Rolling_Forecast'!$A$4:$A$9,0))*5/24,0)</x:f>
        <x:v>600</x:v>
      </x:c>
      <x:c r="E9" s="100" t="n">
        <x:f>C9+D9</x:f>
        <x:v>600</x:v>
      </x:c>
      <x:c r="F9" s="100" t="n">
        <x:f>E9-B9</x:f>
        <x:v>-840</x:v>
      </x:c>
      <x:c r="G9" s="103" t="n">
        <x:f>IFERROR(F9/B9,0)</x:f>
        <x:v>-0.5833333333333334</x:v>
      </x:c>
      <x:c r="H9" s="100" t="n">
        <x:f>IFERROR(INDEX('01_Danh_muc_du_an'!$F$4:$F$9,MATCH(A9,'01_Danh_muc_du_an'!$A$4:$A$9,0))*12/60,0)</x:f>
        <x:v>900</x:v>
      </x:c>
      <x:c r="I9" s="100" t="n">
        <x:f>IFERROR(INDEX('42_Budget_vs_Actual'!$G$4:$G$9,MATCH(A9,'42_Budget_vs_Actual'!$A$4:$A$9,0)),0)</x:f>
        <x:v>0</x:v>
      </x:c>
      <x:c r="J9" s="100" t="n">
        <x:f>IFERROR(INDEX('43_Rolling_Forecast'!$I$4:$I$9,MATCH(A9,'43_Rolling_Forecast'!$A$4:$A$9,0))*5/24,0)</x:f>
        <x:v>375</x:v>
      </x:c>
      <x:c r="K9" s="100" t="n">
        <x:f>I9+J9</x:f>
        <x:v>375</x:v>
      </x:c>
      <x:c r="L9" s="100" t="n">
        <x:f>K9-H9</x:f>
        <x:v>-525</x:v>
      </x:c>
      <x:c r="M9" s="103" t="n">
        <x:f>IFERROR(L9/H9,0)</x:f>
        <x:v>-0.5833333333333334</x:v>
      </x:c>
      <x:c r="N9" s="100" t="n">
        <x:f>E9*0.22-K9*0.03</x:f>
        <x:v>120.75</x:v>
      </x:c>
      <x:c r="O9" s="100" t="n">
        <x:f>IFERROR(INDEX('32_Treasury_Cash_Pool'!$F$5:$F$10,MATCH(A9,'32_Treasury_Cash_Pool'!$B$5:$B$10,0)),0)</x:f>
        <x:v>467.7</x:v>
      </x:c>
      <x:c r="P9" s="14" t="str">
        <x:f>IF(OR(ABS(G9)&gt;10%,M9&gt;10%,O9&gt;0),"CẦN HÀNH ĐỘNG","TRONG NGƯỠNG")</x:f>
        <x:v>CẦN HÀNH ĐỘNG</x:v>
      </x:c>
      <x:c r="Q9" s="14" t="str">
        <x:f>"LE_2026_08"</x:f>
        <x:v>LE_2026_08</x:v>
      </x:c>
      <x:c r="R9" s="14" t="str">
        <x:f>IF(P9="CẦN HÀNH ĐỘNG","Rà nguyên nhân variance và cập nhật action owner","Duy trì forecast")</x:f>
        <x:v>Rà nguyên nhân variance và cập nhật action owner</x:v>
      </x:c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</x:row>
  </x:sheetData>
  <x:mergeCells>
    <x:mergeCell ref="A1:R1"/>
  </x:mergeCells>
  <x:conditionalFormatting sqref="P4:P9">
    <x:cfRule type="expression" dxfId="15" priority="1">
      <x:formula>P4="CẦN HÀNH ĐỘNG"</x:formula>
    </x:cfRule>
  </x:conditionalFormatting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8" hidden="0" customWidth="1"/>
    <x:col min="18" max="18" width="28" hidden="0" customWidth="1"/>
  </x:cols>
  <x:sheetData>
    <x:row r="1">
      <x:c r="A1" s="133" t="str">
        <x:v>51_Working_Capital – Vốn lưu động &amp; tiền khách hàng theo dự án</x:v>
      </x:c>
      <x:c r="B1" s="133"/>
      <x:c r="C1" s="133"/>
      <x:c r="D1" s="133"/>
      <x:c r="E1" s="133"/>
      <x:c r="F1" s="133"/>
      <x:c r="G1" s="133"/>
      <x:c r="H1" s="133"/>
      <x:c r="I1" s="133"/>
      <x:c r="J1" s="133"/>
      <x:c r="K1" s="133"/>
      <x:c r="L1" s="133"/>
      <x:c r="M1" s="133"/>
      <x:c r="N1" s="133"/>
      <x:c r="O1" s="133"/>
      <x:c r="P1" s="133"/>
      <x:c r="Q1" s="133"/>
      <x:c r="R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</x:row>
    <x:row r="3">
      <x:c r="A3" s="125" t="str">
        <x:v>Mã dự án</x:v>
      </x:c>
      <x:c r="B3" s="125" t="str">
        <x:v>Doanh thu lũy kế</x:v>
      </x:c>
      <x:c r="C3" s="125" t="str">
        <x:v>Thu tiền lũy kế</x:v>
      </x:c>
      <x:c r="D3" s="125" t="str">
        <x:v>CAPEX lũy kế</x:v>
      </x:c>
      <x:c r="E3" s="125" t="str">
        <x:v>Biên LN gộp</x:v>
      </x:c>
      <x:c r="F3" s="125" t="str">
        <x:v>DSO giả định</x:v>
      </x:c>
      <x:c r="G3" s="125" t="str">
        <x:v>DPO giả định</x:v>
      </x:c>
      <x:c r="H3" s="125" t="str">
        <x:v>Phải thu KH ước tính</x:v>
      </x:c>
      <x:c r="I3" s="125" t="str">
        <x:v>Tăng HTK/BĐS dở dang lũy kế</x:v>
      </x:c>
      <x:c r="J3" s="125" t="str">
        <x:v>Phải trả NCC ước tính</x:v>
      </x:c>
      <x:c r="K3" s="125" t="str">
        <x:v>Người mua trả tiền trước ước tính</x:v>
      </x:c>
      <x:c r="L3" s="125" t="str">
        <x:v>Vốn lưu động ròng</x:v>
      </x:c>
      <x:c r="M3" s="125" t="str">
        <x:v>Vốn lưu động/Doanh thu</x:v>
      </x:c>
      <x:c r="N3" s="125" t="str">
        <x:v>Tiền cuối kỳ</x:v>
      </x:c>
      <x:c r="O3" s="125" t="str">
        <x:v>Dư nợ</x:v>
      </x:c>
      <x:c r="P3" s="125" t="str">
        <x:v>Cảnh báo</x:v>
      </x:c>
      <x:c r="Q3" s="125" t="str">
        <x:v>Hành động</x:v>
      </x:c>
      <x:c r="R3" s="14"/>
    </x:row>
    <x:row r="4">
      <x:c r="A4" s="14" t="str">
        <x:v>DA01</x:v>
      </x:c>
      <x:c r="B4" s="100" t="n">
        <x:f>IFERROR(INDEX('42_Budget_vs_Actual'!$C$4:$C$9,MATCH(A4,'42_Budget_vs_Actual'!$A$4:$A$9,0)),0)</x:f>
        <x:v>0</x:v>
      </x:c>
      <x:c r="C4" s="100" t="n">
        <x:f>IFERROR(INDEX('42_Budget_vs_Actual'!$J$4:$J$9,MATCH(A4,'42_Budget_vs_Actual'!$A$4:$A$9,0)),0)</x:f>
        <x:v>0</x:v>
      </x:c>
      <x:c r="D4" s="100" t="n">
        <x:f>IFERROR(INDEX('42_Budget_vs_Actual'!$G$4:$G$9,MATCH(A4,'42_Budget_vs_Actual'!$A$4:$A$9,0)),0)</x:f>
        <x:v>784</x:v>
      </x:c>
      <x:c r="E4" s="103" t="n">
        <x:f>'17_Gia_dinh_mo_hinh'!N4</x:f>
        <x:v>0.32</x:v>
      </x:c>
      <x:c r="F4" s="135" t="n">
        <x:f>'17_Gia_dinh_mo_hinh'!W4</x:f>
        <x:v>45</x:v>
      </x:c>
      <x:c r="G4" s="135" t="n">
        <x:f>'17_Gia_dinh_mo_hinh'!X4</x:f>
        <x:v>60</x:v>
      </x:c>
      <x:c r="H4" s="100" t="n">
        <x:f>B4*F4/365</x:f>
        <x:v>0</x:v>
      </x:c>
      <x:c r="I4" s="100" t="n">
        <x:f>MAX(0,D4-B4*(1-E4))</x:f>
        <x:v>784</x:v>
      </x:c>
      <x:c r="J4" s="100" t="n">
        <x:f>D4*G4/365</x:f>
        <x:v>128.87671232876713</x:v>
      </x:c>
      <x:c r="K4" s="100" t="n">
        <x:f>MAX(0,C4-B4)</x:f>
        <x:v>0</x:v>
      </x:c>
      <x:c r="L4" s="100" t="n">
        <x:f>H4+I4-J4-K4</x:f>
        <x:v>655.1232876712329</x:v>
      </x:c>
      <x:c r="M4" s="103" t="n">
        <x:f>IFERROR(L4/B4,0)</x:f>
        <x:v>0</x:v>
      </x:c>
      <x:c r="N4" s="100" t="n">
        <x:f>IFERROR(INDEX('17_Gia_dinh_mo_hinh'!$T$4:$T$9,MATCH(A4,'17_Gia_dinh_mo_hinh'!$A$4:$A$9,0)),0)</x:f>
        <x:v>120</x:v>
      </x:c>
      <x:c r="O4" s="100" t="n">
        <x:f>IFERROR(INDEX('42_Budget_vs_Actual'!$K$4:$K$9,MATCH(A4,'42_Budget_vs_Actual'!$A$4:$A$9,0)),0)</x:f>
        <x:v>914.1</x:v>
      </x:c>
      <x:c r="P4" s="14" t="str">
        <x:f>IF(OR(M4&gt;30%,H4&gt;B4*20%),"CẢNH BÁO","OK")</x:f>
        <x:v>OK</x:v>
      </x:c>
      <x:c r="Q4" s="14" t="str">
        <x:f>IF(P4="CẢNH BÁO","Đẩy thu tiền/kiểm soát tồn kho &amp; điều khoản NCC","Theo dõi")</x:f>
        <x:v>Theo dõi</x:v>
      </x:c>
      <x:c r="R4" s="14"/>
    </x:row>
    <x:row r="5">
      <x:c r="A5" s="14" t="str">
        <x:v>DA02</x:v>
      </x:c>
      <x:c r="B5" s="100" t="n">
        <x:f>IFERROR(INDEX('42_Budget_vs_Actual'!$C$4:$C$9,MATCH(A5,'42_Budget_vs_Actual'!$A$4:$A$9,0)),0)</x:f>
        <x:v>0</x:v>
      </x:c>
      <x:c r="C5" s="100" t="n">
        <x:f>IFERROR(INDEX('42_Budget_vs_Actual'!$J$4:$J$9,MATCH(A5,'42_Budget_vs_Actual'!$A$4:$A$9,0)),0)</x:f>
        <x:v>0</x:v>
      </x:c>
      <x:c r="D5" s="100" t="n">
        <x:f>IFERROR(INDEX('42_Budget_vs_Actual'!$G$4:$G$9,MATCH(A5,'42_Budget_vs_Actual'!$A$4:$A$9,0)),0)</x:f>
        <x:v>868</x:v>
      </x:c>
      <x:c r="E5" s="103" t="n">
        <x:f>'17_Gia_dinh_mo_hinh'!N5</x:f>
        <x:v>0.34</x:v>
      </x:c>
      <x:c r="F5" s="135" t="n">
        <x:f>'17_Gia_dinh_mo_hinh'!W5</x:f>
        <x:v>45</x:v>
      </x:c>
      <x:c r="G5" s="135" t="n">
        <x:f>'17_Gia_dinh_mo_hinh'!X5</x:f>
        <x:v>60</x:v>
      </x:c>
      <x:c r="H5" s="100" t="n">
        <x:f>B5*F5/365</x:f>
        <x:v>0</x:v>
      </x:c>
      <x:c r="I5" s="100" t="n">
        <x:f>MAX(0,D5-B5*(1-E5))</x:f>
        <x:v>868</x:v>
      </x:c>
      <x:c r="J5" s="100" t="n">
        <x:f>D5*G5/365</x:f>
        <x:v>142.68493150684932</x:v>
      </x:c>
      <x:c r="K5" s="100" t="n">
        <x:f>MAX(0,C5-B5)</x:f>
        <x:v>0</x:v>
      </x:c>
      <x:c r="L5" s="100" t="n">
        <x:f>H5+I5-J5-K5</x:f>
        <x:v>725.3150684931506</x:v>
      </x:c>
      <x:c r="M5" s="103" t="n">
        <x:f>IFERROR(L5/B5,0)</x:f>
        <x:v>0</x:v>
      </x:c>
      <x:c r="N5" s="100" t="n">
        <x:f>IFERROR(INDEX('17_Gia_dinh_mo_hinh'!$T$4:$T$9,MATCH(A5,'17_Gia_dinh_mo_hinh'!$A$4:$A$9,0)),0)</x:f>
        <x:v>140</x:v>
      </x:c>
      <x:c r="O5" s="100" t="n">
        <x:f>IFERROR(INDEX('42_Budget_vs_Actual'!$K$4:$K$9,MATCH(A5,'42_Budget_vs_Actual'!$A$4:$A$9,0)),0)</x:f>
        <x:v>1918.1</x:v>
      </x:c>
      <x:c r="P5" s="14" t="str">
        <x:f>IF(OR(M5&gt;30%,H5&gt;B5*20%),"CẢNH BÁO","OK")</x:f>
        <x:v>OK</x:v>
      </x:c>
      <x:c r="Q5" s="14" t="str">
        <x:f>IF(P5="CẢNH BÁO","Đẩy thu tiền/kiểm soát tồn kho &amp; điều khoản NCC","Theo dõi")</x:f>
        <x:v>Theo dõi</x:v>
      </x:c>
      <x:c r="R5" s="14"/>
    </x:row>
    <x:row r="6">
      <x:c r="A6" s="14" t="str">
        <x:v>DA03</x:v>
      </x:c>
      <x:c r="B6" s="100" t="n">
        <x:f>IFERROR(INDEX('42_Budget_vs_Actual'!$C$4:$C$9,MATCH(A6,'42_Budget_vs_Actual'!$A$4:$A$9,0)),0)</x:f>
        <x:v>1575</x:v>
      </x:c>
      <x:c r="C6" s="100" t="n">
        <x:f>IFERROR(INDEX('42_Budget_vs_Actual'!$J$4:$J$9,MATCH(A6,'42_Budget_vs_Actual'!$A$4:$A$9,0)),0)</x:f>
        <x:v>1291.5</x:v>
      </x:c>
      <x:c r="D6" s="100" t="n">
        <x:f>IFERROR(INDEX('42_Budget_vs_Actual'!$G$4:$G$9,MATCH(A6,'42_Budget_vs_Actual'!$A$4:$A$9,0)),0)</x:f>
        <x:v>952</x:v>
      </x:c>
      <x:c r="E6" s="103" t="n">
        <x:f>'17_Gia_dinh_mo_hinh'!N6</x:f>
        <x:v>0.3</x:v>
      </x:c>
      <x:c r="F6" s="135" t="n">
        <x:f>'17_Gia_dinh_mo_hinh'!W6</x:f>
        <x:v>40</x:v>
      </x:c>
      <x:c r="G6" s="135" t="n">
        <x:f>'17_Gia_dinh_mo_hinh'!X6</x:f>
        <x:v>55</x:v>
      </x:c>
      <x:c r="H6" s="100" t="n">
        <x:f>B6*F6/365</x:f>
        <x:v>172.6027397260274</x:v>
      </x:c>
      <x:c r="I6" s="100" t="n">
        <x:f>MAX(0,D6-B6*(1-E6))</x:f>
        <x:v>0</x:v>
      </x:c>
      <x:c r="J6" s="100" t="n">
        <x:f>D6*G6/365</x:f>
        <x:v>143.45205479452054</x:v>
      </x:c>
      <x:c r="K6" s="100" t="n">
        <x:f>MAX(0,C6-B6)</x:f>
        <x:v>0</x:v>
      </x:c>
      <x:c r="L6" s="100" t="n">
        <x:f>H6+I6-J6-K6</x:f>
        <x:v>29.150684931506873</x:v>
      </x:c>
      <x:c r="M6" s="103" t="n">
        <x:f>IFERROR(L6/B6,0)</x:f>
        <x:v>0.018508371385083728</x:v>
      </x:c>
      <x:c r="N6" s="100" t="n">
        <x:f>IFERROR(INDEX('17_Gia_dinh_mo_hinh'!$T$4:$T$9,MATCH(A6,'17_Gia_dinh_mo_hinh'!$A$4:$A$9,0)),0)</x:f>
        <x:v>180</x:v>
      </x:c>
      <x:c r="O6" s="100" t="n">
        <x:f>IFERROR(INDEX('42_Budget_vs_Actual'!$K$4:$K$9,MATCH(A6,'42_Budget_vs_Actual'!$A$4:$A$9,0)),0)</x:f>
        <x:v>3270</x:v>
      </x:c>
      <x:c r="P6" s="14" t="str">
        <x:f>IF(OR(M6&gt;30%,H6&gt;B6*20%),"CẢNH BÁO","OK")</x:f>
        <x:v>OK</x:v>
      </x:c>
      <x:c r="Q6" s="14" t="str">
        <x:f>IF(P6="CẢNH BÁO","Đẩy thu tiền/kiểm soát tồn kho &amp; điều khoản NCC","Theo dõi")</x:f>
        <x:v>Theo dõi</x:v>
      </x:c>
      <x:c r="R6" s="14"/>
    </x:row>
    <x:row r="7">
      <x:c r="A7" s="14" t="str">
        <x:v>DA04</x:v>
      </x:c>
      <x:c r="B7" s="100" t="n">
        <x:f>IFERROR(INDEX('42_Budget_vs_Actual'!$C$4:$C$9,MATCH(A7,'42_Budget_vs_Actual'!$A$4:$A$9,0)),0)</x:f>
        <x:v>2100</x:v>
      </x:c>
      <x:c r="C7" s="100" t="n">
        <x:f>IFERROR(INDEX('42_Budget_vs_Actual'!$J$4:$J$9,MATCH(A7,'42_Budget_vs_Actual'!$A$4:$A$9,0)),0)</x:f>
        <x:v>1722</x:v>
      </x:c>
      <x:c r="D7" s="100" t="n">
        <x:f>IFERROR(INDEX('42_Budget_vs_Actual'!$G$4:$G$9,MATCH(A7,'42_Budget_vs_Actual'!$A$4:$A$9,0)),0)</x:f>
        <x:v>1036</x:v>
      </x:c>
      <x:c r="E7" s="103" t="n">
        <x:f>'17_Gia_dinh_mo_hinh'!N7</x:f>
        <x:v>0.31</x:v>
      </x:c>
      <x:c r="F7" s="135" t="n">
        <x:f>'17_Gia_dinh_mo_hinh'!W7</x:f>
        <x:v>35</x:v>
      </x:c>
      <x:c r="G7" s="135" t="n">
        <x:f>'17_Gia_dinh_mo_hinh'!X7</x:f>
        <x:v>50</x:v>
      </x:c>
      <x:c r="H7" s="100" t="n">
        <x:f>B7*F7/365</x:f>
        <x:v>201.36986301369862</x:v>
      </x:c>
      <x:c r="I7" s="100" t="n">
        <x:f>MAX(0,D7-B7*(1-E7))</x:f>
        <x:v>0</x:v>
      </x:c>
      <x:c r="J7" s="100" t="n">
        <x:f>D7*G7/365</x:f>
        <x:v>141.91780821917808</x:v>
      </x:c>
      <x:c r="K7" s="100" t="n">
        <x:f>MAX(0,C7-B7)</x:f>
        <x:v>0</x:v>
      </x:c>
      <x:c r="L7" s="100" t="n">
        <x:f>H7+I7-J7-K7</x:f>
        <x:v>59.452054794520535</x:v>
      </x:c>
      <x:c r="M7" s="103" t="n">
        <x:f>IFERROR(L7/B7,0)</x:f>
        <x:v>0.028310502283105016</x:v>
      </x:c>
      <x:c r="N7" s="100" t="n">
        <x:f>IFERROR(INDEX('17_Gia_dinh_mo_hinh'!$T$4:$T$9,MATCH(A7,'17_Gia_dinh_mo_hinh'!$A$4:$A$9,0)),0)</x:f>
        <x:v>220</x:v>
      </x:c>
      <x:c r="O7" s="100" t="n">
        <x:f>IFERROR(INDEX('42_Budget_vs_Actual'!$K$4:$K$9,MATCH(A7,'42_Budget_vs_Actual'!$A$4:$A$9,0)),0)</x:f>
        <x:v>3024</x:v>
      </x:c>
      <x:c r="P7" s="14" t="str">
        <x:f>IF(OR(M7&gt;30%,H7&gt;B7*20%),"CẢNH BÁO","OK")</x:f>
        <x:v>OK</x:v>
      </x:c>
      <x:c r="Q7" s="14" t="str">
        <x:f>IF(P7="CẢNH BÁO","Đẩy thu tiền/kiểm soát tồn kho &amp; điều khoản NCC","Theo dõi")</x:f>
        <x:v>Theo dõi</x:v>
      </x:c>
      <x:c r="R7" s="14"/>
    </x:row>
    <x:row r="8">
      <x:c r="A8" s="14" t="str">
        <x:v>DA05</x:v>
      </x:c>
      <x:c r="B8" s="100" t="n">
        <x:f>IFERROR(INDEX('42_Budget_vs_Actual'!$C$4:$C$9,MATCH(A8,'42_Budget_vs_Actual'!$A$4:$A$9,0)),0)</x:f>
        <x:v>2625</x:v>
      </x:c>
      <x:c r="C8" s="100" t="n">
        <x:f>IFERROR(INDEX('42_Budget_vs_Actual'!$J$4:$J$9,MATCH(A8,'42_Budget_vs_Actual'!$A$4:$A$9,0)),0)</x:f>
        <x:v>2152.5</x:v>
      </x:c>
      <x:c r="D8" s="100" t="n">
        <x:f>IFERROR(INDEX('42_Budget_vs_Actual'!$G$4:$G$9,MATCH(A8,'42_Budget_vs_Actual'!$A$4:$A$9,0)),0)</x:f>
        <x:v>1120</x:v>
      </x:c>
      <x:c r="E8" s="103" t="n">
        <x:f>'17_Gia_dinh_mo_hinh'!N8</x:f>
        <x:v>0.29</x:v>
      </x:c>
      <x:c r="F8" s="135" t="n">
        <x:f>'17_Gia_dinh_mo_hinh'!W8</x:f>
        <x:v>30</x:v>
      </x:c>
      <x:c r="G8" s="135" t="n">
        <x:f>'17_Gia_dinh_mo_hinh'!X8</x:f>
        <x:v>45</x:v>
      </x:c>
      <x:c r="H8" s="100" t="n">
        <x:f>B8*F8/365</x:f>
        <x:v>215.75342465753425</x:v>
      </x:c>
      <x:c r="I8" s="100" t="n">
        <x:f>MAX(0,D8-B8*(1-E8))</x:f>
        <x:v>0</x:v>
      </x:c>
      <x:c r="J8" s="100" t="n">
        <x:f>D8*G8/365</x:f>
        <x:v>138.08219178082192</x:v>
      </x:c>
      <x:c r="K8" s="100" t="n">
        <x:f>MAX(0,C8-B8)</x:f>
        <x:v>0</x:v>
      </x:c>
      <x:c r="L8" s="100" t="n">
        <x:f>H8+I8-J8-K8</x:f>
        <x:v>77.67123287671234</x:v>
      </x:c>
      <x:c r="M8" s="103" t="n">
        <x:f>IFERROR(L8/B8,0)</x:f>
        <x:v>0.029589041095890414</x:v>
      </x:c>
      <x:c r="N8" s="100" t="n">
        <x:f>IFERROR(INDEX('17_Gia_dinh_mo_hinh'!$T$4:$T$9,MATCH(A8,'17_Gia_dinh_mo_hinh'!$A$4:$A$9,0)),0)</x:f>
        <x:v>260</x:v>
      </x:c>
      <x:c r="O8" s="100" t="n">
        <x:f>IFERROR(INDEX('42_Budget_vs_Actual'!$K$4:$K$9,MATCH(A8,'42_Budget_vs_Actual'!$A$4:$A$9,0)),0)</x:f>
        <x:v>2232</x:v>
      </x:c>
      <x:c r="P8" s="14" t="str">
        <x:f>IF(OR(M8&gt;30%,H8&gt;B8*20%),"CẢNH BÁO","OK")</x:f>
        <x:v>OK</x:v>
      </x:c>
      <x:c r="Q8" s="14" t="str">
        <x:f>IF(P8="CẢNH BÁO","Đẩy thu tiền/kiểm soát tồn kho &amp; điều khoản NCC","Theo dõi")</x:f>
        <x:v>Theo dõi</x:v>
      </x:c>
      <x:c r="R8" s="14"/>
    </x:row>
    <x:row r="9">
      <x:c r="A9" s="14" t="str">
        <x:v>DA06</x:v>
      </x:c>
      <x:c r="B9" s="100" t="n">
        <x:f>IFERROR(INDEX('42_Budget_vs_Actual'!$C$4:$C$9,MATCH(A9,'42_Budget_vs_Actual'!$A$4:$A$9,0)),0)</x:f>
        <x:v>0</x:v>
      </x:c>
      <x:c r="C9" s="100" t="n">
        <x:f>IFERROR(INDEX('42_Budget_vs_Actual'!$J$4:$J$9,MATCH(A9,'42_Budget_vs_Actual'!$A$4:$A$9,0)),0)</x:f>
        <x:v>0</x:v>
      </x:c>
      <x:c r="D9" s="100" t="n">
        <x:f>IFERROR(INDEX('42_Budget_vs_Actual'!$G$4:$G$9,MATCH(A9,'42_Budget_vs_Actual'!$A$4:$A$9,0)),0)</x:f>
        <x:v>0</x:v>
      </x:c>
      <x:c r="E9" s="103" t="n">
        <x:f>'17_Gia_dinh_mo_hinh'!N9</x:f>
        <x:v>0.33</x:v>
      </x:c>
      <x:c r="F9" s="135" t="n">
        <x:f>'17_Gia_dinh_mo_hinh'!W9</x:f>
        <x:v>50</x:v>
      </x:c>
      <x:c r="G9" s="135" t="n">
        <x:f>'17_Gia_dinh_mo_hinh'!X9</x:f>
        <x:v>65</x:v>
      </x:c>
      <x:c r="H9" s="100" t="n">
        <x:f>B9*F9/365</x:f>
        <x:v>0</x:v>
      </x:c>
      <x:c r="I9" s="100" t="n">
        <x:f>MAX(0,D9-B9*(1-E9))</x:f>
        <x:v>0</x:v>
      </x:c>
      <x:c r="J9" s="100" t="n">
        <x:f>D9*G9/365</x:f>
        <x:v>0</x:v>
      </x:c>
      <x:c r="K9" s="100" t="n">
        <x:f>MAX(0,C9-B9)</x:f>
        <x:v>0</x:v>
      </x:c>
      <x:c r="L9" s="100" t="n">
        <x:f>H9+I9-J9-K9</x:f>
        <x:v>0</x:v>
      </x:c>
      <x:c r="M9" s="103" t="n">
        <x:f>IFERROR(L9/B9,0)</x:f>
        <x:v>0</x:v>
      </x:c>
      <x:c r="N9" s="100" t="n">
        <x:f>IFERROR(INDEX('17_Gia_dinh_mo_hinh'!$T$4:$T$9,MATCH(A9,'17_Gia_dinh_mo_hinh'!$A$4:$A$9,0)),0)</x:f>
        <x:v>100</x:v>
      </x:c>
      <x:c r="O9" s="100" t="n">
        <x:f>IFERROR(INDEX('42_Budget_vs_Actual'!$K$4:$K$9,MATCH(A9,'42_Budget_vs_Actual'!$A$4:$A$9,0)),0)</x:f>
        <x:v>501.2</x:v>
      </x:c>
      <x:c r="P9" s="14" t="str">
        <x:f>IF(OR(M9&gt;30%,H9&gt;B9*20%),"CẢNH BÁO","OK")</x:f>
        <x:v>OK</x:v>
      </x:c>
      <x:c r="Q9" s="14" t="str">
        <x:f>IF(P9="CẢNH BÁO","Đẩy thu tiền/kiểm soát tồn kho &amp; điều khoản NCC","Theo dõi")</x:f>
        <x:v>Theo dõi</x:v>
      </x:c>
      <x:c r="R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</x:row>
  </x:sheetData>
  <x:mergeCells>
    <x:mergeCell ref="A1:Q1"/>
  </x:mergeCells>
  <x:conditionalFormatting sqref="P4:P9">
    <x:cfRule type="expression" dxfId="16" priority="1">
      <x:formula>P4="CẢNH BÁO"</x:formula>
    </x:cfRule>
  </x:conditionalFormatting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8" hidden="0" customWidth="1"/>
    <x:col min="18" max="18" width="28" hidden="0" customWidth="1"/>
  </x:cols>
  <x:sheetData>
    <x:row r="1">
      <x:c r="A1" s="133" t="str">
        <x:v>52_Ke_hoach_Thue – Kế hoạch dòng tiền thuế &amp; nghĩa vụ tài chính (quản trị)</x:v>
      </x:c>
      <x:c r="B1" s="133"/>
      <x:c r="C1" s="133"/>
      <x:c r="D1" s="133"/>
      <x:c r="E1" s="133"/>
      <x:c r="F1" s="133"/>
      <x:c r="G1" s="133"/>
      <x:c r="H1" s="133"/>
      <x:c r="I1" s="133"/>
      <x:c r="J1" s="133"/>
      <x:c r="K1" s="133"/>
      <x:c r="L1" s="133"/>
      <x:c r="M1" s="133"/>
      <x:c r="N1" s="133"/>
      <x:c r="O1" s="133"/>
      <x:c r="P1" s="133"/>
      <x:c r="Q1" s="133"/>
      <x:c r="R1" s="13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</x:row>
    <x:row r="3">
      <x:c r="A3" s="125" t="str">
        <x:v>Mã dự án</x:v>
      </x:c>
      <x:c r="B3" s="125" t="str">
        <x:v>Doanh thu ước tính năm</x:v>
      </x:c>
      <x:c r="C3" s="125" t="str">
        <x:v>LNST ước tính</x:v>
      </x:c>
      <x:c r="D3" s="125" t="str">
        <x:v>Thuế suất TNDN giả định</x:v>
      </x:c>
      <x:c r="E3" s="125" t="str">
        <x:v>Thuế GTGT hiệu dụng giả định</x:v>
      </x:c>
      <x:c r="F3" s="125" t="str">
        <x:v>Thuế TNDN tiền mặt ước tính</x:v>
      </x:c>
      <x:c r="G3" s="125" t="str">
        <x:v>Thuế GTGT tiền mặt ước tính</x:v>
      </x:c>
      <x:c r="H3" s="125" t="str">
        <x:v>Nghĩa vụ đất/khác dự kiến (tỷ)</x:v>
      </x:c>
      <x:c r="I3" s="125" t="str">
        <x:v>Tổng thuế/nghĩa vụ tiền mặt</x:v>
      </x:c>
      <x:c r="J3" s="125" t="str">
        <x:v>Đã nộp lũy kế</x:v>
      </x:c>
      <x:c r="K3" s="125" t="str">
        <x:v>Còn phải thu xếp</x:v>
      </x:c>
      <x:c r="L3" s="125" t="str">
        <x:v>Đến hạn 30 ngày</x:v>
      </x:c>
      <x:c r="M3" s="125" t="str">
        <x:v>Đến hạn 90 ngày</x:v>
      </x:c>
      <x:c r="N3" s="125" t="str">
        <x:v>Nguồn tiền</x:v>
      </x:c>
      <x:c r="O3" s="125" t="str">
        <x:v>Mức độ</x:v>
      </x:c>
      <x:c r="P3" s="125" t="str">
        <x:v>Phụ trách</x:v>
      </x:c>
      <x:c r="Q3" s="125" t="str">
        <x:v>Lưu ý pháp lý/thuế</x:v>
      </x:c>
      <x:c r="R3" s="125" t="str">
        <x:v>Ghi chú</x:v>
      </x:c>
    </x:row>
    <x:row r="4">
      <x:c r="A4" s="14" t="str">
        <x:v>DA01</x:v>
      </x:c>
      <x:c r="B4" s="100" t="n">
        <x:f>IFERROR(INDEX('50_Latest_Estimate'!$E$4:$E$9,MATCH(A4,'50_Latest_Estimate'!$A$4:$A$9,0)),0)</x:f>
        <x:v>816.6666666666666</x:v>
      </x:c>
      <x:c r="C4" s="100" t="n">
        <x:f>IFERROR(INDEX('50_Latest_Estimate'!$N$4:$N$9,MATCH(A4,'50_Latest_Estimate'!$A$4:$A$9,0)),0)</x:f>
        <x:v>139.89666666666665</x:v>
      </x:c>
      <x:c r="D4" s="136" t="n">
        <x:f>'17_Gia_dinh_mo_hinh'!S4</x:f>
        <x:v>0.2</x:v>
      </x:c>
      <x:c r="E4" s="136" t="n">
        <x:f>10%</x:f>
        <x:v>0.1</x:v>
      </x:c>
      <x:c r="F4" s="100" t="n">
        <x:f>MAX(0,C4/(1-D4)*D4)</x:f>
        <x:v>34.97416666666666</x:v>
      </x:c>
      <x:c r="G4" s="100" t="n">
        <x:f>MAX(0,B4*E4)</x:f>
        <x:v>81.66666666666667</x:v>
      </x:c>
      <x:c r="H4" s="137" t="n">
        <x:f>120</x:f>
        <x:v>120</x:v>
      </x:c>
      <x:c r="I4" s="100" t="n">
        <x:f>SUM(F4:H4)</x:f>
        <x:v>236.64083333333332</x:v>
      </x:c>
      <x:c r="J4" s="100" t="n">
        <x:f>I4*0.35</x:f>
        <x:v>82.82429166666665</x:v>
      </x:c>
      <x:c r="K4" s="100" t="n">
        <x:f>MAX(0,I4-J4)</x:f>
        <x:v>153.81654166666667</x:v>
      </x:c>
      <x:c r="L4" s="100" t="n">
        <x:f>K4*0.25</x:f>
        <x:v>38.45413541666667</x:v>
      </x:c>
      <x:c r="M4" s="100" t="n">
        <x:f>K4*0.65</x:f>
        <x:v>99.98075208333334</x:v>
      </x:c>
      <x:c r="N4" s="14" t="str">
        <x:f>IF(M4&gt;300,"Treasury + Bank facility",IF(M4&gt;100,"Project cash + CTM","Project cash"))</x:f>
        <x:v>Project cash</x:v>
      </x:c>
      <x:c r="O4" s="14" t="str">
        <x:f>IF(M4&gt;300,"Rất cao",IF(M4&gt;100,"Cao","Trung bình"))</x:f>
        <x:v>Trung bình</x:v>
      </x:c>
      <x:c r="P4" s="14" t="str">
        <x:v>Tax/CFO</x:v>
      </x:c>
      <x:c r="Q4" s="14" t="str">
        <x:f>"Giả định quản trị; phải cập nhật theo giao dịch, hồ sơ dự án và quy định thuế/đất đai thực tế"</x:f>
        <x:v>Giả định quản trị; phải cập nhật theo giao dịch, hồ sơ dự án và quy định thuế/đất đai thực tế</x:v>
      </x:c>
      <x:c r="R4" s="14" t="str">
        <x:f>IF(H4&gt;0,"Theo dõi milestone nghĩa vụ đất/khác","Rà soát định kỳ")</x:f>
        <x:v>Theo dõi milestone nghĩa vụ đất/khác</x:v>
      </x:c>
    </x:row>
    <x:row r="5">
      <x:c r="A5" s="14" t="str">
        <x:v>DA02</x:v>
      </x:c>
      <x:c r="B5" s="100" t="n">
        <x:f>IFERROR(INDEX('50_Latest_Estimate'!$E$4:$E$9,MATCH(A5,'50_Latest_Estimate'!$A$4:$A$9,0)),0)</x:f>
        <x:v>933.3333333333334</x:v>
      </x:c>
      <x:c r="C5" s="100" t="n">
        <x:f>IFERROR(INDEX('50_Latest_Estimate'!$N$4:$N$9,MATCH(A5,'50_Latest_Estimate'!$A$4:$A$9,0)),0)</x:f>
        <x:v>161.29333333333335</x:v>
      </x:c>
      <x:c r="D5" s="136" t="n">
        <x:f>'17_Gia_dinh_mo_hinh'!S5</x:f>
        <x:v>0.2</x:v>
      </x:c>
      <x:c r="E5" s="136" t="n">
        <x:f>10%</x:f>
        <x:v>0.1</x:v>
      </x:c>
      <x:c r="F5" s="100" t="n">
        <x:f>MAX(0,C5/(1-D5)*D5)</x:f>
        <x:v>40.32333333333334</x:v>
      </x:c>
      <x:c r="G5" s="100" t="n">
        <x:f>MAX(0,B5*E5)</x:f>
        <x:v>93.33333333333334</x:v>
      </x:c>
      <x:c r="H5" s="137" t="n">
        <x:f>450</x:f>
        <x:v>450</x:v>
      </x:c>
      <x:c r="I5" s="100" t="n">
        <x:f>SUM(F5:H5)</x:f>
        <x:v>583.6566666666668</x:v>
      </x:c>
      <x:c r="J5" s="100" t="n">
        <x:f>I5*0.35</x:f>
        <x:v>204.27983333333336</x:v>
      </x:c>
      <x:c r="K5" s="100" t="n">
        <x:f>MAX(0,I5-J5)</x:f>
        <x:v>379.37683333333337</x:v>
      </x:c>
      <x:c r="L5" s="100" t="n">
        <x:f>K5*0.25</x:f>
        <x:v>94.84420833333334</x:v>
      </x:c>
      <x:c r="M5" s="100" t="n">
        <x:f>K5*0.65</x:f>
        <x:v>246.5949416666667</x:v>
      </x:c>
      <x:c r="N5" s="14" t="str">
        <x:f>IF(M5&gt;300,"Treasury + Bank facility",IF(M5&gt;100,"Project cash + CTM","Project cash"))</x:f>
        <x:v>Project cash + CTM</x:v>
      </x:c>
      <x:c r="O5" s="14" t="str">
        <x:f>IF(M5&gt;300,"Rất cao",IF(M5&gt;100,"Cao","Trung bình"))</x:f>
        <x:v>Cao</x:v>
      </x:c>
      <x:c r="P5" s="14" t="str">
        <x:v>Tax/CFO</x:v>
      </x:c>
      <x:c r="Q5" s="14" t="str">
        <x:f>"Giả định quản trị; phải cập nhật theo giao dịch, hồ sơ dự án và quy định thuế/đất đai thực tế"</x:f>
        <x:v>Giả định quản trị; phải cập nhật theo giao dịch, hồ sơ dự án và quy định thuế/đất đai thực tế</x:v>
      </x:c>
      <x:c r="R5" s="14" t="str">
        <x:f>IF(H5&gt;0,"Theo dõi milestone nghĩa vụ đất/khác","Rà soát định kỳ")</x:f>
        <x:v>Theo dõi milestone nghĩa vụ đất/khác</x:v>
      </x:c>
    </x:row>
    <x:row r="6">
      <x:c r="A6" s="14" t="str">
        <x:v>DA03</x:v>
      </x:c>
      <x:c r="B6" s="100" t="n">
        <x:f>IFERROR(INDEX('50_Latest_Estimate'!$E$4:$E$9,MATCH(A6,'50_Latest_Estimate'!$A$4:$A$9,0)),0)</x:f>
        <x:v>2808.333333333333</x:v>
      </x:c>
      <x:c r="C6" s="100" t="n">
        <x:f>IFERROR(INDEX('50_Latest_Estimate'!$N$4:$N$9,MATCH(A6,'50_Latest_Estimate'!$A$4:$A$9,0)),0)</x:f>
        <x:v>564.7733333333333</x:v>
      </x:c>
      <x:c r="D6" s="136" t="n">
        <x:f>'17_Gia_dinh_mo_hinh'!S6</x:f>
        <x:v>0.2</x:v>
      </x:c>
      <x:c r="E6" s="136" t="n">
        <x:f>10%</x:f>
        <x:v>0.1</x:v>
      </x:c>
      <x:c r="F6" s="100" t="n">
        <x:f>MAX(0,C6/(1-D6)*D6)</x:f>
        <x:v>141.19333333333333</x:v>
      </x:c>
      <x:c r="G6" s="100" t="n">
        <x:f>MAX(0,B6*E6)</x:f>
        <x:v>280.8333333333333</x:v>
      </x:c>
      <x:c r="H6" s="137" t="n">
        <x:f>60</x:f>
        <x:v>60</x:v>
      </x:c>
      <x:c r="I6" s="100" t="n">
        <x:f>SUM(F6:H6)</x:f>
        <x:v>482.02666666666664</x:v>
      </x:c>
      <x:c r="J6" s="100" t="n">
        <x:f>I6*0.35</x:f>
        <x:v>168.70933333333332</x:v>
      </x:c>
      <x:c r="K6" s="100" t="n">
        <x:f>MAX(0,I6-J6)</x:f>
        <x:v>313.3173333333333</x:v>
      </x:c>
      <x:c r="L6" s="100" t="n">
        <x:f>K6*0.25</x:f>
        <x:v>78.32933333333332</x:v>
      </x:c>
      <x:c r="M6" s="100" t="n">
        <x:f>K6*0.65</x:f>
        <x:v>203.65626666666665</x:v>
      </x:c>
      <x:c r="N6" s="14" t="str">
        <x:f>IF(M6&gt;300,"Treasury + Bank facility",IF(M6&gt;100,"Project cash + CTM","Project cash"))</x:f>
        <x:v>Project cash + CTM</x:v>
      </x:c>
      <x:c r="O6" s="14" t="str">
        <x:f>IF(M6&gt;300,"Rất cao",IF(M6&gt;100,"Cao","Trung bình"))</x:f>
        <x:v>Cao</x:v>
      </x:c>
      <x:c r="P6" s="14" t="str">
        <x:v>Tax/CFO</x:v>
      </x:c>
      <x:c r="Q6" s="14" t="str">
        <x:f>"Giả định quản trị; phải cập nhật theo giao dịch, hồ sơ dự án và quy định thuế/đất đai thực tế"</x:f>
        <x:v>Giả định quản trị; phải cập nhật theo giao dịch, hồ sơ dự án và quy định thuế/đất đai thực tế</x:v>
      </x:c>
      <x:c r="R6" s="14" t="str">
        <x:f>IF(H6&gt;0,"Theo dõi milestone nghĩa vụ đất/khác","Rà soát định kỳ")</x:f>
        <x:v>Theo dõi milestone nghĩa vụ đất/khác</x:v>
      </x:c>
    </x:row>
    <x:row r="7">
      <x:c r="A7" s="14" t="str">
        <x:v>DA04</x:v>
      </x:c>
      <x:c r="B7" s="100" t="n">
        <x:f>IFERROR(INDEX('50_Latest_Estimate'!$E$4:$E$9,MATCH(A7,'50_Latest_Estimate'!$A$4:$A$9,0)),0)</x:f>
        <x:v>3200</x:v>
      </x:c>
      <x:c r="C7" s="100" t="n">
        <x:f>IFERROR(INDEX('50_Latest_Estimate'!$N$4:$N$9,MATCH(A7,'50_Latest_Estimate'!$A$4:$A$9,0)),0)</x:f>
        <x:v>651.92</x:v>
      </x:c>
      <x:c r="D7" s="136" t="n">
        <x:f>'17_Gia_dinh_mo_hinh'!S7</x:f>
        <x:v>0.2</x:v>
      </x:c>
      <x:c r="E7" s="136" t="n">
        <x:f>10%</x:f>
        <x:v>0.1</x:v>
      </x:c>
      <x:c r="F7" s="100" t="n">
        <x:f>MAX(0,C7/(1-D7)*D7)</x:f>
        <x:v>162.98</x:v>
      </x:c>
      <x:c r="G7" s="100" t="n">
        <x:f>MAX(0,B7*E7)</x:f>
        <x:v>320</x:v>
      </x:c>
      <x:c r="H7" s="137" t="n">
        <x:f>25</x:f>
        <x:v>25</x:v>
      </x:c>
      <x:c r="I7" s="100" t="n">
        <x:f>SUM(F7:H7)</x:f>
        <x:v>507.98</x:v>
      </x:c>
      <x:c r="J7" s="100" t="n">
        <x:f>I7*0.35</x:f>
        <x:v>177.793</x:v>
      </x:c>
      <x:c r="K7" s="100" t="n">
        <x:f>MAX(0,I7-J7)</x:f>
        <x:v>330.187</x:v>
      </x:c>
      <x:c r="L7" s="100" t="n">
        <x:f>K7*0.25</x:f>
        <x:v>82.54675</x:v>
      </x:c>
      <x:c r="M7" s="100" t="n">
        <x:f>K7*0.65</x:f>
        <x:v>214.62155</x:v>
      </x:c>
      <x:c r="N7" s="14" t="str">
        <x:f>IF(M7&gt;300,"Treasury + Bank facility",IF(M7&gt;100,"Project cash + CTM","Project cash"))</x:f>
        <x:v>Project cash + CTM</x:v>
      </x:c>
      <x:c r="O7" s="14" t="str">
        <x:f>IF(M7&gt;300,"Rất cao",IF(M7&gt;100,"Cao","Trung bình"))</x:f>
        <x:v>Cao</x:v>
      </x:c>
      <x:c r="P7" s="14" t="str">
        <x:v>Tax/CFO</x:v>
      </x:c>
      <x:c r="Q7" s="14" t="str">
        <x:f>"Giả định quản trị; phải cập nhật theo giao dịch, hồ sơ dự án và quy định thuế/đất đai thực tế"</x:f>
        <x:v>Giả định quản trị; phải cập nhật theo giao dịch, hồ sơ dự án và quy định thuế/đất đai thực tế</x:v>
      </x:c>
      <x:c r="R7" s="14" t="str">
        <x:f>IF(H7&gt;0,"Theo dõi milestone nghĩa vụ đất/khác","Rà soát định kỳ")</x:f>
        <x:v>Theo dõi milestone nghĩa vụ đất/khác</x:v>
      </x:c>
    </x:row>
    <x:row r="8">
      <x:c r="A8" s="14" t="str">
        <x:v>DA05</x:v>
      </x:c>
      <x:c r="B8" s="100" t="n">
        <x:f>IFERROR(INDEX('50_Latest_Estimate'!$E$4:$E$9,MATCH(A8,'50_Latest_Estimate'!$A$4:$A$9,0)),0)</x:f>
        <x:v>3408.3333333333335</x:v>
      </x:c>
      <x:c r="C8" s="100" t="n">
        <x:f>IFERROR(INDEX('50_Latest_Estimate'!$N$4:$N$9,MATCH(A8,'50_Latest_Estimate'!$A$4:$A$9,0)),0)</x:f>
        <x:v>700.7333333333333</x:v>
      </x:c>
      <x:c r="D8" s="136" t="n">
        <x:f>'17_Gia_dinh_mo_hinh'!S8</x:f>
        <x:v>0.2</x:v>
      </x:c>
      <x:c r="E8" s="136" t="n">
        <x:f>10%</x:f>
        <x:v>0.1</x:v>
      </x:c>
      <x:c r="F8" s="100" t="n">
        <x:f>MAX(0,C8/(1-D8)*D8)</x:f>
        <x:v>175.18333333333334</x:v>
      </x:c>
      <x:c r="G8" s="100" t="n">
        <x:f>MAX(0,B8*E8)</x:f>
        <x:v>340.83333333333337</x:v>
      </x:c>
      <x:c r="H8" s="137" t="n">
        <x:f>15</x:f>
        <x:v>15</x:v>
      </x:c>
      <x:c r="I8" s="100" t="n">
        <x:f>SUM(F8:H8)</x:f>
        <x:v>531.0166666666667</x:v>
      </x:c>
      <x:c r="J8" s="100" t="n">
        <x:f>I8*0.35</x:f>
        <x:v>185.85583333333332</x:v>
      </x:c>
      <x:c r="K8" s="100" t="n">
        <x:f>MAX(0,I8-J8)</x:f>
        <x:v>345.16083333333336</x:v>
      </x:c>
      <x:c r="L8" s="100" t="n">
        <x:f>K8*0.25</x:f>
        <x:v>86.29020833333334</x:v>
      </x:c>
      <x:c r="M8" s="100" t="n">
        <x:f>K8*0.65</x:f>
        <x:v>224.35454166666668</x:v>
      </x:c>
      <x:c r="N8" s="14" t="str">
        <x:f>IF(M8&gt;300,"Treasury + Bank facility",IF(M8&gt;100,"Project cash + CTM","Project cash"))</x:f>
        <x:v>Project cash + CTM</x:v>
      </x:c>
      <x:c r="O8" s="14" t="str">
        <x:f>IF(M8&gt;300,"Rất cao",IF(M8&gt;100,"Cao","Trung bình"))</x:f>
        <x:v>Cao</x:v>
      </x:c>
      <x:c r="P8" s="14" t="str">
        <x:v>Tax/CFO</x:v>
      </x:c>
      <x:c r="Q8" s="14" t="str">
        <x:f>"Giả định quản trị; phải cập nhật theo giao dịch, hồ sơ dự án và quy định thuế/đất đai thực tế"</x:f>
        <x:v>Giả định quản trị; phải cập nhật theo giao dịch, hồ sơ dự án và quy định thuế/đất đai thực tế</x:v>
      </x:c>
      <x:c r="R8" s="14" t="str">
        <x:f>IF(H8&gt;0,"Theo dõi milestone nghĩa vụ đất/khác","Rà soát định kỳ")</x:f>
        <x:v>Theo dõi milestone nghĩa vụ đất/khác</x:v>
      </x:c>
    </x:row>
    <x:row r="9">
      <x:c r="A9" s="14" t="str">
        <x:v>DA06</x:v>
      </x:c>
      <x:c r="B9" s="100" t="n">
        <x:f>IFERROR(INDEX('50_Latest_Estimate'!$E$4:$E$9,MATCH(A9,'50_Latest_Estimate'!$A$4:$A$9,0)),0)</x:f>
        <x:v>600</x:v>
      </x:c>
      <x:c r="C9" s="100" t="n">
        <x:f>IFERROR(INDEX('50_Latest_Estimate'!$N$4:$N$9,MATCH(A9,'50_Latest_Estimate'!$A$4:$A$9,0)),0)</x:f>
        <x:v>120.75</x:v>
      </x:c>
      <x:c r="D9" s="136" t="n">
        <x:f>'17_Gia_dinh_mo_hinh'!S9</x:f>
        <x:v>0.2</x:v>
      </x:c>
      <x:c r="E9" s="136" t="n">
        <x:f>10%</x:f>
        <x:v>0.1</x:v>
      </x:c>
      <x:c r="F9" s="100" t="n">
        <x:f>MAX(0,C9/(1-D9)*D9)</x:f>
        <x:v>30.1875</x:v>
      </x:c>
      <x:c r="G9" s="100" t="n">
        <x:f>MAX(0,B9*E9)</x:f>
        <x:v>60</x:v>
      </x:c>
      <x:c r="H9" s="137" t="n">
        <x:f>0</x:f>
        <x:v>0</x:v>
      </x:c>
      <x:c r="I9" s="100" t="n">
        <x:f>SUM(F9:H9)</x:f>
        <x:v>90.1875</x:v>
      </x:c>
      <x:c r="J9" s="100" t="n">
        <x:f>I9*0.35</x:f>
        <x:v>31.565624999999997</x:v>
      </x:c>
      <x:c r="K9" s="100" t="n">
        <x:f>MAX(0,I9-J9)</x:f>
        <x:v>58.621875</x:v>
      </x:c>
      <x:c r="L9" s="100" t="n">
        <x:f>K9*0.25</x:f>
        <x:v>14.65546875</x:v>
      </x:c>
      <x:c r="M9" s="100" t="n">
        <x:f>K9*0.65</x:f>
        <x:v>38.10421875</x:v>
      </x:c>
      <x:c r="N9" s="14" t="str">
        <x:f>IF(M9&gt;300,"Treasury + Bank facility",IF(M9&gt;100,"Project cash + CTM","Project cash"))</x:f>
        <x:v>Project cash</x:v>
      </x:c>
      <x:c r="O9" s="14" t="str">
        <x:f>IF(M9&gt;300,"Rất cao",IF(M9&gt;100,"Cao","Trung bình"))</x:f>
        <x:v>Trung bình</x:v>
      </x:c>
      <x:c r="P9" s="14" t="str">
        <x:v>Tax/CFO</x:v>
      </x:c>
      <x:c r="Q9" s="14" t="str">
        <x:f>"Giả định quản trị; phải cập nhật theo giao dịch, hồ sơ dự án và quy định thuế/đất đai thực tế"</x:f>
        <x:v>Giả định quản trị; phải cập nhật theo giao dịch, hồ sơ dự án và quy định thuế/đất đai thực tế</x:v>
      </x:c>
      <x:c r="R9" s="14" t="str">
        <x:f>IF(H9&gt;0,"Theo dõi milestone nghĩa vụ đất/khác","Rà soát định kỳ")</x:f>
        <x:v>Rà soát định kỳ</x:v>
      </x:c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</x:row>
  </x:sheetData>
  <x:mergeCells>
    <x:mergeCell ref="A1:R1"/>
  </x:mergeCells>
  <x:conditionalFormatting sqref="O4:O9">
    <x:cfRule type="expression" dxfId="17" priority="1">
      <x:formula>O4="Rất cao"</x:formula>
    </x:cfRule>
  </x:conditionalFormatting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8" hidden="0" customWidth="1"/>
    <x:col min="18" max="18" width="28" hidden="0" customWidth="1"/>
  </x:cols>
  <x:sheetData>
    <x:row r="1">
      <x:c r="A1" s="133" t="str">
        <x:v>53_Variance_Bridge – Cầu nối Budget → Latest Estimate theo driver</x:v>
      </x:c>
      <x:c r="B1" s="133"/>
      <x:c r="C1" s="133"/>
      <x:c r="D1" s="133"/>
      <x:c r="E1" s="133"/>
      <x:c r="F1" s="133"/>
      <x:c r="G1" s="133"/>
      <x:c r="H1" s="133"/>
      <x:c r="I1" s="133"/>
      <x:c r="J1" s="133"/>
      <x:c r="K1" s="133"/>
      <x:c r="L1" s="133"/>
      <x:c r="M1" s="133"/>
      <x:c r="N1" s="133"/>
      <x:c r="O1" s="133"/>
      <x:c r="P1" s="133"/>
      <x:c r="Q1" s="133"/>
      <x:c r="R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</x:row>
    <x:row r="3">
      <x:c r="A3" s="125" t="str">
        <x:v>Mã dự án</x:v>
      </x:c>
      <x:c r="B3" s="125" t="str">
        <x:v>Doanh thu ngân sách năm</x:v>
      </x:c>
      <x:c r="C3" s="125" t="str">
        <x:v>Doanh thu ước tính mới nhất</x:v>
      </x:c>
      <x:c r="D3" s="125" t="str">
        <x:v>Chênh lệch doanh thu</x:v>
      </x:c>
      <x:c r="E3" s="125" t="str">
        <x:v>Tác động giá bán</x:v>
      </x:c>
      <x:c r="F3" s="125" t="str">
        <x:v>Tác động hấp thụ/tiến độ</x:v>
      </x:c>
      <x:c r="G3" s="125" t="str">
        <x:v>Tác động chậm pháp lý</x:v>
      </x:c>
      <x:c r="H3" s="125" t="str">
        <x:v>Phần còn lại do triển khai</x:v>
      </x:c>
      <x:c r="I3" s="125" t="str">
        <x:v>CAPEX ngân sách</x:v>
      </x:c>
      <x:c r="J3" s="125" t="str">
        <x:v>CAPEX ước tính mới nhất</x:v>
      </x:c>
      <x:c r="K3" s="125" t="str">
        <x:v>Tác động chi phí</x:v>
      </x:c>
      <x:c r="L3" s="125" t="str">
        <x:v>Tác động lãi vay ước tính</x:v>
      </x:c>
      <x:c r="M3" s="125" t="str">
        <x:v>Cầu nối lợi nhuận ròng ước tính</x:v>
      </x:c>
      <x:c r="N3" s="125" t="str">
        <x:v>Yếu tố tác động lớn nhất</x:v>
      </x:c>
      <x:c r="O3" s="125" t="str">
        <x:v>Mức độ</x:v>
      </x:c>
      <x:c r="P3" s="125" t="str">
        <x:v>Phụ trách</x:v>
      </x:c>
      <x:c r="Q3" s="125" t="str">
        <x:v>Hành động</x:v>
      </x:c>
      <x:c r="R3" s="14"/>
    </x:row>
    <x:row r="4">
      <x:c r="A4" s="14" t="str">
        <x:v>DA01</x:v>
      </x:c>
      <x:c r="B4" s="100" t="n">
        <x:f>IFERROR(INDEX('50_Latest_Estimate'!$B$4:$B$9,MATCH(A4,'50_Latest_Estimate'!$A$4:$A$9,0)),0)</x:f>
        <x:v>1960</x:v>
      </x:c>
      <x:c r="C4" s="100" t="n">
        <x:f>IFERROR(INDEX('50_Latest_Estimate'!$E$4:$E$9,MATCH(A4,'50_Latest_Estimate'!$A$4:$A$9,0)),0)</x:f>
        <x:v>816.6666666666666</x:v>
      </x:c>
      <x:c r="D4" s="100" t="n">
        <x:f>C4-B4</x:f>
        <x:v>-1143.3333333333335</x:v>
      </x:c>
      <x:c r="E4" s="100" t="n">
        <x:f>B4*IFERROR(INDEX('43_Rolling_Forecast'!$B$4:$B$9,MATCH(A4,'43_Rolling_Forecast'!$A$4:$A$9,0)),0)</x:f>
        <x:v>0</x:v>
      </x:c>
      <x:c r="F4" s="100" t="n">
        <x:f>B4*IFERROR(INDEX('43_Rolling_Forecast'!$C$4:$C$9,MATCH(A4,'43_Rolling_Forecast'!$A$4:$A$9,0)),0)</x:f>
        <x:v>0</x:v>
      </x:c>
      <x:c r="G4" s="100" t="n">
        <x:f>-B4*MIN(1,IFERROR(INDEX('43_Rolling_Forecast'!$F$4:$F$9,MATCH(A4,'43_Rolling_Forecast'!$A$4:$A$9,0)),0)/365)</x:f>
        <x:v>0</x:v>
      </x:c>
      <x:c r="H4" s="100" t="n">
        <x:f>D4-SUM(E4:G4)</x:f>
        <x:v>-1143.3333333333335</x:v>
      </x:c>
      <x:c r="I4" s="100" t="n">
        <x:f>IFERROR(INDEX('50_Latest_Estimate'!$H$4:$H$9,MATCH(A4,'50_Latest_Estimate'!$A$4:$A$9,0)),0)</x:f>
        <x:v>1300</x:v>
      </x:c>
      <x:c r="J4" s="100" t="n">
        <x:f>IFERROR(INDEX('50_Latest_Estimate'!$K$4:$K$9,MATCH(A4,'50_Latest_Estimate'!$A$4:$A$9,0)),0)</x:f>
        <x:v>1325.6666666666665</x:v>
      </x:c>
      <x:c r="K4" s="100" t="n">
        <x:f>J4-I4</x:f>
        <x:v>25.666666666666515</x:v>
      </x:c>
      <x:c r="L4" s="100" t="n">
        <x:f>IFERROR(INDEX('42_Budget_vs_Actual'!$K$4:$K$9,MATCH(A4,'42_Budget_vs_Actual'!$A$4:$A$9,0)),0)*IFERROR(INDEX('43_Rolling_Forecast'!$E$4:$E$9,MATCH(A4,'43_Rolling_Forecast'!$A$4:$A$9,0)),0)</x:f>
        <x:v>0</x:v>
      </x:c>
      <x:c r="M4" s="100" t="n">
        <x:f>D4-K4-L4</x:f>
        <x:v>-1169</x:v>
      </x:c>
      <x:c r="N4" s="14" t="str">
        <x:f>IF(MAX(ABS(E4),ABS(F4),ABS(G4),ABS(H4),ABS(K4),ABS(L4))=ABS(H4),"Execution",IF(MAX(ABS(E4),ABS(F4),ABS(G4),ABS(H4),ABS(K4),ABS(L4))=ABS(K4),"Cost",IF(MAX(ABS(E4),ABS(F4),ABS(G4),ABS(H4),ABS(K4),ABS(L4))=ABS(G4),"Legal",IF(MAX(ABS(E4),ABS(F4),ABS(G4),ABS(H4),ABS(K4),ABS(L4))=ABS(E4),"Price","Timing/Other"))))</x:f>
        <x:v>Execution</x:v>
      </x:c>
      <x:c r="O4" s="14" t="str">
        <x:f>IF(ABS(M4)&gt;300,"Rất cao",IF(ABS(M4)&gt;100,"Cao","Trung bình"))</x:f>
        <x:v>Rất cao</x:v>
      </x:c>
      <x:c r="P4" s="14" t="str">
        <x:v>FP&amp;A</x:v>
      </x:c>
      <x:c r="Q4" s="14" t="str">
        <x:f>IF(O4="Rất cao","Yêu cầu action plan có owner/deadline","Theo dõi trong monthly review")</x:f>
        <x:v>Yêu cầu action plan có owner/deadline</x:v>
      </x:c>
      <x:c r="R4" s="14"/>
    </x:row>
    <x:row r="5">
      <x:c r="A5" s="14" t="str">
        <x:v>DA02</x:v>
      </x:c>
      <x:c r="B5" s="100" t="n">
        <x:f>IFERROR(INDEX('50_Latest_Estimate'!$B$4:$B$9,MATCH(A5,'50_Latest_Estimate'!$A$4:$A$9,0)),0)</x:f>
        <x:v>2240</x:v>
      </x:c>
      <x:c r="C5" s="100" t="n">
        <x:f>IFERROR(INDEX('50_Latest_Estimate'!$E$4:$E$9,MATCH(A5,'50_Latest_Estimate'!$A$4:$A$9,0)),0)</x:f>
        <x:v>933.3333333333334</x:v>
      </x:c>
      <x:c r="D5" s="100" t="n">
        <x:f>C5-B5</x:f>
        <x:v>-1306.6666666666665</x:v>
      </x:c>
      <x:c r="E5" s="100" t="n">
        <x:f>B5*IFERROR(INDEX('43_Rolling_Forecast'!$B$4:$B$9,MATCH(A5,'43_Rolling_Forecast'!$A$4:$A$9,0)),0)</x:f>
        <x:v>0</x:v>
      </x:c>
      <x:c r="F5" s="100" t="n">
        <x:f>B5*IFERROR(INDEX('43_Rolling_Forecast'!$C$4:$C$9,MATCH(A5,'43_Rolling_Forecast'!$A$4:$A$9,0)),0)</x:f>
        <x:v>0</x:v>
      </x:c>
      <x:c r="G5" s="100" t="n">
        <x:f>-B5*MIN(1,IFERROR(INDEX('43_Rolling_Forecast'!$F$4:$F$9,MATCH(A5,'43_Rolling_Forecast'!$A$4:$A$9,0)),0)/365)</x:f>
        <x:v>0</x:v>
      </x:c>
      <x:c r="H5" s="100" t="n">
        <x:f>D5-SUM(E5:G5)</x:f>
        <x:v>-1306.6666666666665</x:v>
      </x:c>
      <x:c r="I5" s="100" t="n">
        <x:f>IFERROR(INDEX('50_Latest_Estimate'!$H$4:$H$9,MATCH(A5,'50_Latest_Estimate'!$A$4:$A$9,0)),0)</x:f>
        <x:v>1440</x:v>
      </x:c>
      <x:c r="J5" s="100" t="n">
        <x:f>IFERROR(INDEX('50_Latest_Estimate'!$K$4:$K$9,MATCH(A5,'50_Latest_Estimate'!$A$4:$A$9,0)),0)</x:f>
        <x:v>1468</x:v>
      </x:c>
      <x:c r="K5" s="100" t="n">
        <x:f>J5-I5</x:f>
        <x:v>28</x:v>
      </x:c>
      <x:c r="L5" s="100" t="n">
        <x:f>IFERROR(INDEX('42_Budget_vs_Actual'!$K$4:$K$9,MATCH(A5,'42_Budget_vs_Actual'!$A$4:$A$9,0)),0)*IFERROR(INDEX('43_Rolling_Forecast'!$E$4:$E$9,MATCH(A5,'43_Rolling_Forecast'!$A$4:$A$9,0)),0)</x:f>
        <x:v>0</x:v>
      </x:c>
      <x:c r="M5" s="100" t="n">
        <x:f>D5-K5-L5</x:f>
        <x:v>-1334.6666666666665</x:v>
      </x:c>
      <x:c r="N5" s="14" t="str">
        <x:f>IF(MAX(ABS(E5),ABS(F5),ABS(G5),ABS(H5),ABS(K5),ABS(L5))=ABS(H5),"Execution",IF(MAX(ABS(E5),ABS(F5),ABS(G5),ABS(H5),ABS(K5),ABS(L5))=ABS(K5),"Cost",IF(MAX(ABS(E5),ABS(F5),ABS(G5),ABS(H5),ABS(K5),ABS(L5))=ABS(G5),"Legal",IF(MAX(ABS(E5),ABS(F5),ABS(G5),ABS(H5),ABS(K5),ABS(L5))=ABS(E5),"Price","Timing/Other"))))</x:f>
        <x:v>Execution</x:v>
      </x:c>
      <x:c r="O5" s="14" t="str">
        <x:f>IF(ABS(M5)&gt;300,"Rất cao",IF(ABS(M5)&gt;100,"Cao","Trung bình"))</x:f>
        <x:v>Rất cao</x:v>
      </x:c>
      <x:c r="P5" s="14" t="str">
        <x:v>FP&amp;A</x:v>
      </x:c>
      <x:c r="Q5" s="14" t="str">
        <x:f>IF(O5="Rất cao","Yêu cầu action plan có owner/deadline","Theo dõi trong monthly review")</x:f>
        <x:v>Yêu cầu action plan có owner/deadline</x:v>
      </x:c>
      <x:c r="R5" s="14"/>
    </x:row>
    <x:row r="6">
      <x:c r="A6" s="14" t="str">
        <x:v>DA03</x:v>
      </x:c>
      <x:c r="B6" s="100" t="n">
        <x:f>IFERROR(INDEX('50_Latest_Estimate'!$B$4:$B$9,MATCH(A6,'50_Latest_Estimate'!$A$4:$A$9,0)),0)</x:f>
        <x:v>2960</x:v>
      </x:c>
      <x:c r="C6" s="100" t="n">
        <x:f>IFERROR(INDEX('50_Latest_Estimate'!$E$4:$E$9,MATCH(A6,'50_Latest_Estimate'!$A$4:$A$9,0)),0)</x:f>
        <x:v>2808.333333333333</x:v>
      </x:c>
      <x:c r="D6" s="100" t="n">
        <x:f>C6-B6</x:f>
        <x:v>-151.66666666666697</x:v>
      </x:c>
      <x:c r="E6" s="100" t="n">
        <x:f>B6*IFERROR(INDEX('43_Rolling_Forecast'!$B$4:$B$9,MATCH(A6,'43_Rolling_Forecast'!$A$4:$A$9,0)),0)</x:f>
        <x:v>0</x:v>
      </x:c>
      <x:c r="F6" s="100" t="n">
        <x:f>B6*IFERROR(INDEX('43_Rolling_Forecast'!$C$4:$C$9,MATCH(A6,'43_Rolling_Forecast'!$A$4:$A$9,0)),0)</x:f>
        <x:v>0</x:v>
      </x:c>
      <x:c r="G6" s="100" t="n">
        <x:f>-B6*MIN(1,IFERROR(INDEX('43_Rolling_Forecast'!$F$4:$F$9,MATCH(A6,'43_Rolling_Forecast'!$A$4:$A$9,0)),0)/365)</x:f>
        <x:v>0</x:v>
      </x:c>
      <x:c r="H6" s="100" t="n">
        <x:f>D6-SUM(E6:G6)</x:f>
        <x:v>-151.66666666666697</x:v>
      </x:c>
      <x:c r="I6" s="100" t="n">
        <x:f>IFERROR(INDEX('50_Latest_Estimate'!$H$4:$H$9,MATCH(A6,'50_Latest_Estimate'!$A$4:$A$9,0)),0)</x:f>
        <x:v>1960</x:v>
      </x:c>
      <x:c r="J6" s="100" t="n">
        <x:f>IFERROR(INDEX('50_Latest_Estimate'!$K$4:$K$9,MATCH(A6,'50_Latest_Estimate'!$A$4:$A$9,0)),0)</x:f>
        <x:v>1768.6666666666665</x:v>
      </x:c>
      <x:c r="K6" s="100" t="n">
        <x:f>J6-I6</x:f>
        <x:v>-191.33333333333348</x:v>
      </x:c>
      <x:c r="L6" s="100" t="n">
        <x:f>IFERROR(INDEX('42_Budget_vs_Actual'!$K$4:$K$9,MATCH(A6,'42_Budget_vs_Actual'!$A$4:$A$9,0)),0)*IFERROR(INDEX('43_Rolling_Forecast'!$E$4:$E$9,MATCH(A6,'43_Rolling_Forecast'!$A$4:$A$9,0)),0)</x:f>
        <x:v>0</x:v>
      </x:c>
      <x:c r="M6" s="100" t="n">
        <x:f>D6-K6-L6</x:f>
        <x:v>39.666666666666515</x:v>
      </x:c>
      <x:c r="N6" s="14" t="str">
        <x:f>IF(MAX(ABS(E6),ABS(F6),ABS(G6),ABS(H6),ABS(K6),ABS(L6))=ABS(H6),"Execution",IF(MAX(ABS(E6),ABS(F6),ABS(G6),ABS(H6),ABS(K6),ABS(L6))=ABS(K6),"Cost",IF(MAX(ABS(E6),ABS(F6),ABS(G6),ABS(H6),ABS(K6),ABS(L6))=ABS(G6),"Legal",IF(MAX(ABS(E6),ABS(F6),ABS(G6),ABS(H6),ABS(K6),ABS(L6))=ABS(E6),"Price","Timing/Other"))))</x:f>
        <x:v>Cost</x:v>
      </x:c>
      <x:c r="O6" s="14" t="str">
        <x:f>IF(ABS(M6)&gt;300,"Rất cao",IF(ABS(M6)&gt;100,"Cao","Trung bình"))</x:f>
        <x:v>Trung bình</x:v>
      </x:c>
      <x:c r="P6" s="14" t="str">
        <x:v>FP&amp;A</x:v>
      </x:c>
      <x:c r="Q6" s="14" t="str">
        <x:f>IF(O6="Rất cao","Yêu cầu action plan có owner/deadline","Theo dõi trong monthly review")</x:f>
        <x:v>Theo dõi trong monthly review</x:v>
      </x:c>
      <x:c r="R6" s="14"/>
    </x:row>
    <x:row r="7">
      <x:c r="A7" s="14" t="str">
        <x:v>DA04</x:v>
      </x:c>
      <x:c r="B7" s="100" t="n">
        <x:f>IFERROR(INDEX('50_Latest_Estimate'!$B$4:$B$9,MATCH(A7,'50_Latest_Estimate'!$A$4:$A$9,0)),0)</x:f>
        <x:v>2640</x:v>
      </x:c>
      <x:c r="C7" s="100" t="n">
        <x:f>IFERROR(INDEX('50_Latest_Estimate'!$E$4:$E$9,MATCH(A7,'50_Latest_Estimate'!$A$4:$A$9,0)),0)</x:f>
        <x:v>3200</x:v>
      </x:c>
      <x:c r="D7" s="100" t="n">
        <x:f>C7-B7</x:f>
        <x:v>560</x:v>
      </x:c>
      <x:c r="E7" s="100" t="n">
        <x:f>B7*IFERROR(INDEX('43_Rolling_Forecast'!$B$4:$B$9,MATCH(A7,'43_Rolling_Forecast'!$A$4:$A$9,0)),0)</x:f>
        <x:v>0</x:v>
      </x:c>
      <x:c r="F7" s="100" t="n">
        <x:f>B7*IFERROR(INDEX('43_Rolling_Forecast'!$C$4:$C$9,MATCH(A7,'43_Rolling_Forecast'!$A$4:$A$9,0)),0)</x:f>
        <x:v>0</x:v>
      </x:c>
      <x:c r="G7" s="100" t="n">
        <x:f>-B7*MIN(1,IFERROR(INDEX('43_Rolling_Forecast'!$F$4:$F$9,MATCH(A7,'43_Rolling_Forecast'!$A$4:$A$9,0)),0)/365)</x:f>
        <x:v>0</x:v>
      </x:c>
      <x:c r="H7" s="100" t="n">
        <x:f>D7-SUM(E7:G7)</x:f>
        <x:v>560</x:v>
      </x:c>
      <x:c r="I7" s="100" t="n">
        <x:f>IFERROR(INDEX('50_Latest_Estimate'!$H$4:$H$9,MATCH(A7,'50_Latest_Estimate'!$A$4:$A$9,0)),0)</x:f>
        <x:v>1680</x:v>
      </x:c>
      <x:c r="J7" s="100" t="n">
        <x:f>IFERROR(INDEX('50_Latest_Estimate'!$K$4:$K$9,MATCH(A7,'50_Latest_Estimate'!$A$4:$A$9,0)),0)</x:f>
        <x:v>1736</x:v>
      </x:c>
      <x:c r="K7" s="100" t="n">
        <x:f>J7-I7</x:f>
        <x:v>56</x:v>
      </x:c>
      <x:c r="L7" s="100" t="n">
        <x:f>IFERROR(INDEX('42_Budget_vs_Actual'!$K$4:$K$9,MATCH(A7,'42_Budget_vs_Actual'!$A$4:$A$9,0)),0)*IFERROR(INDEX('43_Rolling_Forecast'!$E$4:$E$9,MATCH(A7,'43_Rolling_Forecast'!$A$4:$A$9,0)),0)</x:f>
        <x:v>0</x:v>
      </x:c>
      <x:c r="M7" s="100" t="n">
        <x:f>D7-K7-L7</x:f>
        <x:v>504</x:v>
      </x:c>
      <x:c r="N7" s="14" t="str">
        <x:f>IF(MAX(ABS(E7),ABS(F7),ABS(G7),ABS(H7),ABS(K7),ABS(L7))=ABS(H7),"Execution",IF(MAX(ABS(E7),ABS(F7),ABS(G7),ABS(H7),ABS(K7),ABS(L7))=ABS(K7),"Cost",IF(MAX(ABS(E7),ABS(F7),ABS(G7),ABS(H7),ABS(K7),ABS(L7))=ABS(G7),"Legal",IF(MAX(ABS(E7),ABS(F7),ABS(G7),ABS(H7),ABS(K7),ABS(L7))=ABS(E7),"Price","Timing/Other"))))</x:f>
        <x:v>Execution</x:v>
      </x:c>
      <x:c r="O7" s="14" t="str">
        <x:f>IF(ABS(M7)&gt;300,"Rất cao",IF(ABS(M7)&gt;100,"Cao","Trung bình"))</x:f>
        <x:v>Rất cao</x:v>
      </x:c>
      <x:c r="P7" s="14" t="str">
        <x:v>FP&amp;A</x:v>
      </x:c>
      <x:c r="Q7" s="14" t="str">
        <x:f>IF(O7="Rất cao","Yêu cầu action plan có owner/deadline","Theo dõi trong monthly review")</x:f>
        <x:v>Yêu cầu action plan có owner/deadline</x:v>
      </x:c>
      <x:c r="R7" s="14"/>
    </x:row>
    <x:row r="8">
      <x:c r="A8" s="14" t="str">
        <x:v>DA05</x:v>
      </x:c>
      <x:c r="B8" s="100" t="n">
        <x:f>IFERROR(INDEX('50_Latest_Estimate'!$B$4:$B$9,MATCH(A8,'50_Latest_Estimate'!$A$4:$A$9,0)),0)</x:f>
        <x:v>1880</x:v>
      </x:c>
      <x:c r="C8" s="100" t="n">
        <x:f>IFERROR(INDEX('50_Latest_Estimate'!$E$4:$E$9,MATCH(A8,'50_Latest_Estimate'!$A$4:$A$9,0)),0)</x:f>
        <x:v>3408.3333333333335</x:v>
      </x:c>
      <x:c r="D8" s="100" t="n">
        <x:f>C8-B8</x:f>
        <x:v>1528.3333333333335</x:v>
      </x:c>
      <x:c r="E8" s="100" t="n">
        <x:f>B8*IFERROR(INDEX('43_Rolling_Forecast'!$B$4:$B$9,MATCH(A8,'43_Rolling_Forecast'!$A$4:$A$9,0)),0)</x:f>
        <x:v>0</x:v>
      </x:c>
      <x:c r="F8" s="100" t="n">
        <x:f>B8*IFERROR(INDEX('43_Rolling_Forecast'!$C$4:$C$9,MATCH(A8,'43_Rolling_Forecast'!$A$4:$A$9,0)),0)</x:f>
        <x:v>0</x:v>
      </x:c>
      <x:c r="G8" s="100" t="n">
        <x:f>-B8*MIN(1,IFERROR(INDEX('43_Rolling_Forecast'!$F$4:$F$9,MATCH(A8,'43_Rolling_Forecast'!$A$4:$A$9,0)),0)/365)</x:f>
        <x:v>0</x:v>
      </x:c>
      <x:c r="H8" s="100" t="n">
        <x:f>D8-SUM(E8:G8)</x:f>
        <x:v>1528.3333333333335</x:v>
      </x:c>
      <x:c r="I8" s="100" t="n">
        <x:f>IFERROR(INDEX('50_Latest_Estimate'!$H$4:$H$9,MATCH(A8,'50_Latest_Estimate'!$A$4:$A$9,0)),0)</x:f>
        <x:v>1240</x:v>
      </x:c>
      <x:c r="J8" s="100" t="n">
        <x:f>IFERROR(INDEX('50_Latest_Estimate'!$K$4:$K$9,MATCH(A8,'50_Latest_Estimate'!$A$4:$A$9,0)),0)</x:f>
        <x:v>1636.6666666666665</x:v>
      </x:c>
      <x:c r="K8" s="100" t="n">
        <x:f>J8-I8</x:f>
        <x:v>396.6666666666665</x:v>
      </x:c>
      <x:c r="L8" s="100" t="n">
        <x:f>IFERROR(INDEX('42_Budget_vs_Actual'!$K$4:$K$9,MATCH(A8,'42_Budget_vs_Actual'!$A$4:$A$9,0)),0)*IFERROR(INDEX('43_Rolling_Forecast'!$E$4:$E$9,MATCH(A8,'43_Rolling_Forecast'!$A$4:$A$9,0)),0)</x:f>
        <x:v>0</x:v>
      </x:c>
      <x:c r="M8" s="100" t="n">
        <x:f>D8-K8-L8</x:f>
        <x:v>1131.666666666667</x:v>
      </x:c>
      <x:c r="N8" s="14" t="str">
        <x:f>IF(MAX(ABS(E8),ABS(F8),ABS(G8),ABS(H8),ABS(K8),ABS(L8))=ABS(H8),"Execution",IF(MAX(ABS(E8),ABS(F8),ABS(G8),ABS(H8),ABS(K8),ABS(L8))=ABS(K8),"Cost",IF(MAX(ABS(E8),ABS(F8),ABS(G8),ABS(H8),ABS(K8),ABS(L8))=ABS(G8),"Legal",IF(MAX(ABS(E8),ABS(F8),ABS(G8),ABS(H8),ABS(K8),ABS(L8))=ABS(E8),"Price","Timing/Other"))))</x:f>
        <x:v>Execution</x:v>
      </x:c>
      <x:c r="O8" s="14" t="str">
        <x:f>IF(ABS(M8)&gt;300,"Rất cao",IF(ABS(M8)&gt;100,"Cao","Trung bình"))</x:f>
        <x:v>Rất cao</x:v>
      </x:c>
      <x:c r="P8" s="14" t="str">
        <x:v>FP&amp;A</x:v>
      </x:c>
      <x:c r="Q8" s="14" t="str">
        <x:f>IF(O8="Rất cao","Yêu cầu action plan có owner/deadline","Theo dõi trong monthly review")</x:f>
        <x:v>Yêu cầu action plan có owner/deadline</x:v>
      </x:c>
      <x:c r="R8" s="14"/>
    </x:row>
    <x:row r="9">
      <x:c r="A9" s="14" t="str">
        <x:v>DA06</x:v>
      </x:c>
      <x:c r="B9" s="100" t="n">
        <x:f>IFERROR(INDEX('50_Latest_Estimate'!$B$4:$B$9,MATCH(A9,'50_Latest_Estimate'!$A$4:$A$9,0)),0)</x:f>
        <x:v>1440</x:v>
      </x:c>
      <x:c r="C9" s="100" t="n">
        <x:f>IFERROR(INDEX('50_Latest_Estimate'!$E$4:$E$9,MATCH(A9,'50_Latest_Estimate'!$A$4:$A$9,0)),0)</x:f>
        <x:v>600</x:v>
      </x:c>
      <x:c r="D9" s="100" t="n">
        <x:f>C9-B9</x:f>
        <x:v>-840</x:v>
      </x:c>
      <x:c r="E9" s="100" t="n">
        <x:f>B9*IFERROR(INDEX('43_Rolling_Forecast'!$B$4:$B$9,MATCH(A9,'43_Rolling_Forecast'!$A$4:$A$9,0)),0)</x:f>
        <x:v>0</x:v>
      </x:c>
      <x:c r="F9" s="100" t="n">
        <x:f>B9*IFERROR(INDEX('43_Rolling_Forecast'!$C$4:$C$9,MATCH(A9,'43_Rolling_Forecast'!$A$4:$A$9,0)),0)</x:f>
        <x:v>0</x:v>
      </x:c>
      <x:c r="G9" s="100" t="n">
        <x:f>-B9*MIN(1,IFERROR(INDEX('43_Rolling_Forecast'!$F$4:$F$9,MATCH(A9,'43_Rolling_Forecast'!$A$4:$A$9,0)),0)/365)</x:f>
        <x:v>0</x:v>
      </x:c>
      <x:c r="H9" s="100" t="n">
        <x:f>D9-SUM(E9:G9)</x:f>
        <x:v>-840</x:v>
      </x:c>
      <x:c r="I9" s="100" t="n">
        <x:f>IFERROR(INDEX('50_Latest_Estimate'!$H$4:$H$9,MATCH(A9,'50_Latest_Estimate'!$A$4:$A$9,0)),0)</x:f>
        <x:v>900</x:v>
      </x:c>
      <x:c r="J9" s="100" t="n">
        <x:f>IFERROR(INDEX('50_Latest_Estimate'!$K$4:$K$9,MATCH(A9,'50_Latest_Estimate'!$A$4:$A$9,0)),0)</x:f>
        <x:v>375</x:v>
      </x:c>
      <x:c r="K9" s="100" t="n">
        <x:f>J9-I9</x:f>
        <x:v>-525</x:v>
      </x:c>
      <x:c r="L9" s="100" t="n">
        <x:f>IFERROR(INDEX('42_Budget_vs_Actual'!$K$4:$K$9,MATCH(A9,'42_Budget_vs_Actual'!$A$4:$A$9,0)),0)*IFERROR(INDEX('43_Rolling_Forecast'!$E$4:$E$9,MATCH(A9,'43_Rolling_Forecast'!$A$4:$A$9,0)),0)</x:f>
        <x:v>0</x:v>
      </x:c>
      <x:c r="M9" s="100" t="n">
        <x:f>D9-K9-L9</x:f>
        <x:v>-315</x:v>
      </x:c>
      <x:c r="N9" s="14" t="str">
        <x:f>IF(MAX(ABS(E9),ABS(F9),ABS(G9),ABS(H9),ABS(K9),ABS(L9))=ABS(H9),"Execution",IF(MAX(ABS(E9),ABS(F9),ABS(G9),ABS(H9),ABS(K9),ABS(L9))=ABS(K9),"Cost",IF(MAX(ABS(E9),ABS(F9),ABS(G9),ABS(H9),ABS(K9),ABS(L9))=ABS(G9),"Legal",IF(MAX(ABS(E9),ABS(F9),ABS(G9),ABS(H9),ABS(K9),ABS(L9))=ABS(E9),"Price","Timing/Other"))))</x:f>
        <x:v>Execution</x:v>
      </x:c>
      <x:c r="O9" s="14" t="str">
        <x:f>IF(ABS(M9)&gt;300,"Rất cao",IF(ABS(M9)&gt;100,"Cao","Trung bình"))</x:f>
        <x:v>Rất cao</x:v>
      </x:c>
      <x:c r="P9" s="14" t="str">
        <x:v>FP&amp;A</x:v>
      </x:c>
      <x:c r="Q9" s="14" t="str">
        <x:f>IF(O9="Rất cao","Yêu cầu action plan có owner/deadline","Theo dõi trong monthly review")</x:f>
        <x:v>Yêu cầu action plan có owner/deadline</x:v>
      </x:c>
      <x:c r="R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</x:row>
  </x:sheetData>
  <x:mergeCells>
    <x:mergeCell ref="A1:Q1"/>
  </x:mergeCells>
  <x:conditionalFormatting sqref="O4:O9">
    <x:cfRule type="expression" dxfId="18" priority="1">
      <x:formula>O4="Rất cao"</x:formula>
    </x:cfRule>
  </x:conditionalFormatting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8" hidden="0" customWidth="1"/>
    <x:col min="18" max="18" width="28" hidden="0" customWidth="1"/>
  </x:cols>
  <x:sheetData>
    <x:row r="1">
      <x:c r="A1" s="133" t="str">
        <x:v>54_Quan_tri_Du_lieu – Data Governance / Single Source of Truth</x:v>
      </x:c>
      <x:c r="B1" s="133"/>
      <x:c r="C1" s="133"/>
      <x:c r="D1" s="133"/>
      <x:c r="E1" s="133"/>
      <x:c r="F1" s="133"/>
      <x:c r="G1" s="133"/>
      <x:c r="H1" s="133"/>
      <x:c r="I1" s="133"/>
      <x:c r="J1" s="133"/>
      <x:c r="K1" s="133"/>
      <x:c r="L1" s="133"/>
      <x:c r="M1" s="133"/>
      <x:c r="N1" s="133"/>
      <x:c r="O1" s="133"/>
      <x:c r="P1" s="133"/>
      <x:c r="Q1" s="14"/>
      <x:c r="R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</x:row>
    <x:row r="3">
      <x:c r="A3" s="125" t="str">
        <x:v>Miền dữ liệu</x:v>
      </x:c>
      <x:c r="B3" s="125" t="str">
        <x:v>Sheet Master</x:v>
      </x:c>
      <x:c r="C3" s="125" t="str">
        <x:v>Nguồn hệ thống</x:v>
      </x:c>
      <x:c r="D3" s="125" t="str">
        <x:v>Chủ dữ liệu</x:v>
      </x:c>
      <x:c r="E3" s="125" t="str">
        <x:v>Chủ nghiệp vụ</x:v>
      </x:c>
      <x:c r="F3" s="125" t="str">
        <x:v>Tần suất cập nhật</x:v>
      </x:c>
      <x:c r="G3" s="125" t="str">
        <x:v>Quy tắc chốt/khóa</x:v>
      </x:c>
      <x:c r="H3" s="125" t="str">
        <x:v>Khóa chính</x:v>
      </x:c>
      <x:c r="I3" s="125" t="str">
        <x:v>Kiểm tra chất lượng</x:v>
      </x:c>
      <x:c r="J3" s="125" t="str">
        <x:v>Ngưỡng lỗi</x:v>
      </x:c>
      <x:c r="K3" s="125" t="str">
        <x:v>Trạng thái chất lượng dữ liệu</x:v>
      </x:c>
      <x:c r="L3" s="125" t="str">
        <x:v>Phiên bản đang dùng</x:v>
      </x:c>
      <x:c r="M3" s="125" t="str">
        <x:v>Ngày cập nhật cuối</x:v>
      </x:c>
      <x:c r="N3" s="125" t="str">
        <x:v>Phụ thuộc đầu ra</x:v>
      </x:c>
      <x:c r="O3" s="125" t="str">
        <x:v>Quyền sửa</x:v>
      </x:c>
      <x:c r="P3" s="125" t="str">
        <x:v>Ghi chú</x:v>
      </x:c>
      <x:c r="Q3" s="14"/>
      <x:c r="R3" s="14"/>
    </x:row>
    <x:row r="4">
      <x:c r="A4" s="97" t="str">
        <x:v>Danh mục dự án</x:v>
      </x:c>
      <x:c r="B4" s="97" t="str">
        <x:v>01_Danh_muc_du_an</x:v>
      </x:c>
      <x:c r="C4" s="97" t="str">
        <x:v>PMO/Investment</x:v>
      </x:c>
      <x:c r="D4" s="97" t="str">
        <x:v>PMO</x:v>
      </x:c>
      <x:c r="E4" s="97" t="str">
        <x:v>GĐ Phát triển</x:v>
      </x:c>
      <x:c r="F4" s="97" t="str">
        <x:v>Khi thay đổi</x:v>
      </x:c>
      <x:c r="G4" s="97" t="str">
        <x:v>Theo phê duyệt đầu tư</x:v>
      </x:c>
      <x:c r="H4" s="97" t="str">
        <x:v>Mã dự án</x:v>
      </x:c>
      <x:c r="I4" s="97" t="str">
        <x:v>Không trùng mã; stage hợp lệ</x:v>
      </x:c>
      <x:c r="J4" s="97" t="str">
        <x:v>0 lỗi</x:v>
      </x:c>
      <x:c r="K4" s="97" t="str">
        <x:v>OK</x:v>
      </x:c>
      <x:c r="L4" s="97" t="str">
        <x:v>Master hiện hành</x:v>
      </x:c>
      <x:c r="M4" s="101" t="n">
        <x:v>46247</x:v>
      </x:c>
      <x:c r="N4" s="97" t="str">
        <x:v>Toàn platform</x:v>
      </x:c>
      <x:c r="O4" s="97" t="str">
        <x:v>PMO</x:v>
      </x:c>
      <x:c r="P4" s="97" t="str"/>
      <x:c r="Q4" s="14"/>
      <x:c r="R4" s="14"/>
    </x:row>
    <x:row r="5">
      <x:c r="A5" s="97" t="str">
        <x:v>Pháp lý</x:v>
      </x:c>
      <x:c r="B5" s="97" t="str">
        <x:v>13_Checklist_phap_ly / 14_Duong_gang_PL</x:v>
      </x:c>
      <x:c r="C5" s="97" t="str">
        <x:v>Legal tracker</x:v>
      </x:c>
      <x:c r="D5" s="97" t="str">
        <x:v>Pháp chế</x:v>
      </x:c>
      <x:c r="E5" s="97" t="str">
        <x:v>GĐ Phát triển</x:v>
      </x:c>
      <x:c r="F5" s="97" t="str">
        <x:v>Hàng tuần</x:v>
      </x:c>
      <x:c r="G5" s="97" t="str">
        <x:v>Snapshot thứ Sáu</x:v>
      </x:c>
      <x:c r="H5" s="97" t="str">
        <x:v>Mã dự án + Mã thủ tục</x:v>
      </x:c>
      <x:c r="I5" s="97" t="str">
        <x:v>Legal Gate &amp; dependency đầy đủ</x:v>
      </x:c>
      <x:c r="J5" s="97" t="str">
        <x:v>0 gate thiếu owner</x:v>
      </x:c>
      <x:c r="K5" s="97" t="str">
        <x:v>OK</x:v>
      </x:c>
      <x:c r="L5" s="97" t="str">
        <x:v>Master hiện hành</x:v>
      </x:c>
      <x:c r="M5" s="101" t="n">
        <x:v>46247</x:v>
      </x:c>
      <x:c r="N5" s="97" t="str">
        <x:v>Forecast/Action</x:v>
      </x:c>
      <x:c r="O5" s="97" t="str">
        <x:v>Pháp chế</x:v>
      </x:c>
      <x:c r="P5" s="97" t="str"/>
      <x:c r="Q5" s="14"/>
      <x:c r="R5" s="14"/>
    </x:row>
    <x:row r="6">
      <x:c r="A6" s="97" t="str">
        <x:v>Actual tài chính</x:v>
      </x:c>
      <x:c r="B6" s="97" t="str">
        <x:v>41_Actual_Theo_thang</x:v>
      </x:c>
      <x:c r="C6" s="97" t="str">
        <x:v>ERP/Bank/PMIS</x:v>
      </x:c>
      <x:c r="D6" s="97" t="str">
        <x:v>Kế toán</x:v>
      </x:c>
      <x:c r="E6" s="97" t="str">
        <x:v>CFO</x:v>
      </x:c>
      <x:c r="F6" s="97" t="str">
        <x:v>Hàng tháng</x:v>
      </x:c>
      <x:c r="G6" s="97" t="str">
        <x:v>D+7 sau tháng</x:v>
      </x:c>
      <x:c r="H6" s="97" t="str">
        <x:v>Kỳ + Pháp nhân + Dự án</x:v>
      </x:c>
      <x:c r="I6" s="97" t="str">
        <x:v>Bank/debt/revenue/CAPEX reconcile</x:v>
      </x:c>
      <x:c r="J6" s="97" t="str">
        <x:v>Chênh &lt;0,1 tỷ</x:v>
      </x:c>
      <x:c r="K6" s="97" t="str">
        <x:v>CẢNH BÁO</x:v>
      </x:c>
      <x:c r="L6" s="97" t="str">
        <x:v>ACT_2026_07</x:v>
      </x:c>
      <x:c r="M6" s="101" t="n">
        <x:v>46242</x:v>
      </x:c>
      <x:c r="N6" s="97" t="str">
        <x:v>BvA/LE/BCTC</x:v>
      </x:c>
      <x:c r="O6" s="97" t="str">
        <x:v>Kế toán</x:v>
      </x:c>
      <x:c r="P6" s="97" t="str">
        <x:v>Dữ liệu mẫu cần thay bằng actual thật</x:v>
      </x:c>
      <x:c r="Q6" s="14"/>
      <x:c r="R6" s="14"/>
    </x:row>
    <x:row r="7">
      <x:c r="A7" s="97" t="str">
        <x:v>Forecast</x:v>
      </x:c>
      <x:c r="B7" s="97" t="str">
        <x:v>43_Rolling_Forecast</x:v>
      </x:c>
      <x:c r="C7" s="97" t="str">
        <x:v>FP&amp;A model</x:v>
      </x:c>
      <x:c r="D7" s="97" t="str">
        <x:v>FP&amp;A</x:v>
      </x:c>
      <x:c r="E7" s="97" t="str">
        <x:v>CFO</x:v>
      </x:c>
      <x:c r="F7" s="97" t="str">
        <x:v>Hàng tháng</x:v>
      </x:c>
      <x:c r="G7" s="97" t="str">
        <x:v>Sau Actual close</x:v>
      </x:c>
      <x:c r="H7" s="97" t="str">
        <x:v>Mã dự án + Phiên bản</x:v>
      </x:c>
      <x:c r="I7" s="97" t="str">
        <x:v>Assumption owner + trigger</x:v>
      </x:c>
      <x:c r="J7" s="97" t="str">
        <x:v>100% assumption có owner</x:v>
      </x:c>
      <x:c r="K7" s="97" t="str">
        <x:v>OK</x:v>
      </x:c>
      <x:c r="L7" s="97" t="str">
        <x:v>LE_2026_08</x:v>
      </x:c>
      <x:c r="M7" s="101" t="n">
        <x:v>46247</x:v>
      </x:c>
      <x:c r="N7" s="97" t="str">
        <x:v>LE/Treasury/Covenant</x:v>
      </x:c>
      <x:c r="O7" s="97" t="str">
        <x:v>FP&amp;A</x:v>
      </x:c>
      <x:c r="P7" s="97" t="str"/>
      <x:c r="Q7" s="14"/>
      <x:c r="R7" s="14"/>
    </x:row>
    <x:row r="8">
      <x:c r="A8" s="97" t="str">
        <x:v>Nợ &amp; Covenant</x:v>
      </x:c>
      <x:c r="B8" s="97" t="str">
        <x:v>33_No_vay_Covenant</x:v>
      </x:c>
      <x:c r="C8" s="97" t="str">
        <x:v>Loan register/Bank</x:v>
      </x:c>
      <x:c r="D8" s="97" t="str">
        <x:v>Treasury</x:v>
      </x:c>
      <x:c r="E8" s="97" t="str">
        <x:v>CFO</x:v>
      </x:c>
      <x:c r="F8" s="97" t="str">
        <x:v>Hàng tuần</x:v>
      </x:c>
      <x:c r="G8" s="97" t="str">
        <x:v>Theo statement ngân hàng</x:v>
      </x:c>
      <x:c r="H8" s="97" t="str">
        <x:v>Mã khoản vay</x:v>
      </x:c>
      <x:c r="I8" s="97" t="str">
        <x:v>Dư nợ + covenant + maturity</x:v>
      </x:c>
      <x:c r="J8" s="97" t="str">
        <x:v>0 khoản vay thiếu maturity</x:v>
      </x:c>
      <x:c r="K8" s="97" t="str">
        <x:v>OK</x:v>
      </x:c>
      <x:c r="L8" s="97" t="str">
        <x:v>LoanBook Aug-26</x:v>
      </x:c>
      <x:c r="M8" s="101" t="n">
        <x:v>46247</x:v>
      </x:c>
      <x:c r="N8" s="97" t="str">
        <x:v>Treasury/Board Pack</x:v>
      </x:c>
      <x:c r="O8" s="97" t="str">
        <x:v>Treasury</x:v>
      </x:c>
      <x:c r="P8" s="97" t="str"/>
      <x:c r="Q8" s="14"/>
      <x:c r="R8" s="14"/>
    </x:row>
    <x:row r="9">
      <x:c r="A9" s="97" t="str">
        <x:v>Giao dịch nội bộ</x:v>
      </x:c>
      <x:c r="B9" s="97" t="str">
        <x:v>30_Giao_dich_noi_bo</x:v>
      </x:c>
      <x:c r="C9" s="97" t="str">
        <x:v>ERP/IC register</x:v>
      </x:c>
      <x:c r="D9" s="97" t="str">
        <x:v>Kế toán tổng hợp</x:v>
      </x:c>
      <x:c r="E9" s="97" t="str">
        <x:v>KTT</x:v>
      </x:c>
      <x:c r="F9" s="97" t="str">
        <x:v>Hàng tháng</x:v>
      </x:c>
      <x:c r="G9" s="97" t="str">
        <x:v>Trước consolidation</x:v>
      </x:c>
      <x:c r="H9" s="97" t="str">
        <x:v>Mã GD + kỳ</x:v>
      </x:c>
      <x:c r="I9" s="97" t="str">
        <x:v>Bên cho = bên nhận; số dư khớp</x:v>
      </x:c>
      <x:c r="J9" s="97" t="str">
        <x:v>0 chênh &gt;0,1 tỷ</x:v>
      </x:c>
      <x:c r="K9" s="97" t="str">
        <x:v>OK</x:v>
      </x:c>
      <x:c r="L9" s="97" t="str">
        <x:v>ACT_2026_07</x:v>
      </x:c>
      <x:c r="M9" s="101" t="n">
        <x:v>46242</x:v>
      </x:c>
      <x:c r="N9" s="97" t="str">
        <x:v>BCTC hợp nhất</x:v>
      </x:c>
      <x:c r="O9" s="97" t="str">
        <x:v>Kế toán</x:v>
      </x:c>
      <x:c r="P9" s="97" t="str"/>
      <x:c r="Q9" s="14"/>
      <x:c r="R9" s="14"/>
    </x:row>
    <x:row r="10">
      <x:c r="A10" s="97" t="str">
        <x:v>BCTC hợp nhất</x:v>
      </x:c>
      <x:c r="B10" s="97" t="str">
        <x:v>35-38</x:v>
      </x:c>
      <x:c r="C10" s="97" t="str">
        <x:v>Consolidation model</x:v>
      </x:c>
      <x:c r="D10" s="97" t="str">
        <x:v>Kế toán tổng hợp</x:v>
      </x:c>
      <x:c r="E10" s="97" t="str">
        <x:v>CFO</x:v>
      </x:c>
      <x:c r="F10" s="97" t="str">
        <x:v>Hàng tháng</x:v>
      </x:c>
      <x:c r="G10" s="97" t="str">
        <x:v>Sau close + IC reconcile</x:v>
      </x:c>
      <x:c r="H10" s="97" t="str">
        <x:v>Kỳ + version</x:v>
      </x:c>
      <x:c r="I10" s="97" t="str">
        <x:v>Assets=Liab+Equity; cash reconcile</x:v>
      </x:c>
      <x:c r="J10" s="97" t="str">
        <x:v>0 lỗi</x:v>
      </x:c>
      <x:c r="K10" s="97" t="str">
        <x:v>OK</x:v>
      </x:c>
      <x:c r="L10" s="97" t="str">
        <x:v>LE_2026_08</x:v>
      </x:c>
      <x:c r="M10" s="101" t="n">
        <x:v>46247</x:v>
      </x:c>
      <x:c r="N10" s="97" t="str">
        <x:v>Board/CFO Pack</x:v>
      </x:c>
      <x:c r="O10" s="97" t="str">
        <x:v>Kế toán/CFO</x:v>
      </x:c>
      <x:c r="P10" s="97" t="str"/>
      <x:c r="Q10" s="14"/>
      <x:c r="R10" s="14"/>
    </x:row>
    <x:row r="11">
      <x:c r="A11" s="97" t="str">
        <x:v>Thuế &amp; nghĩa vụ</x:v>
      </x:c>
      <x:c r="B11" s="97" t="str">
        <x:v>52_Ke_hoach_Thue</x:v>
      </x:c>
      <x:c r="C11" s="97" t="str">
        <x:v>Tax tracker/Legal</x:v>
      </x:c>
      <x:c r="D11" s="97" t="str">
        <x:v>Tax</x:v>
      </x:c>
      <x:c r="E11" s="97" t="str">
        <x:v>CFO</x:v>
      </x:c>
      <x:c r="F11" s="97" t="str">
        <x:v>Hàng tháng</x:v>
      </x:c>
      <x:c r="G11" s="97" t="str">
        <x:v>Theo hồ sơ &amp; lịch nghĩa vụ</x:v>
      </x:c>
      <x:c r="H11" s="97" t="str">
        <x:v>Dự án + nghĩa vụ</x:v>
      </x:c>
      <x:c r="I11" s="97" t="str">
        <x:v>Rate/milestone/source phải cập nhật</x:v>
      </x:c>
      <x:c r="J11" s="97" t="str">
        <x:v>0 nghĩa vụ quá hạn không action</x:v>
      </x:c>
      <x:c r="K11" s="97" t="str">
        <x:v>CẢNH BÁO</x:v>
      </x:c>
      <x:c r="L11" s="97" t="str">
        <x:v>LE_2026_08</x:v>
      </x:c>
      <x:c r="M11" s="101" t="n">
        <x:v>46247</x:v>
      </x:c>
      <x:c r="N11" s="97" t="str">
        <x:v>Treasury/LE</x:v>
      </x:c>
      <x:c r="O11" s="97" t="str">
        <x:v>Tax</x:v>
      </x:c>
      <x:c r="P11" s="97" t="str">
        <x:v>Giả định quản trị, không thay hồ sơ thuế</x:v>
      </x:c>
      <x:c r="Q11" s="14"/>
      <x:c r="R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</x:row>
  </x:sheetData>
  <x:mergeCells>
    <x:mergeCell ref="A1:P1"/>
  </x:mergeCells>
  <x:conditionalFormatting sqref="K4:K11">
    <x:cfRule type="expression" dxfId="19" priority="1">
      <x:formula>K4="CẢNH BÁO"</x:formula>
    </x:cfRule>
  </x:conditionalFormatting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8" hidden="0" customWidth="1"/>
    <x:col min="18" max="18" width="28" hidden="0" customWidth="1"/>
  </x:cols>
  <x:sheetData>
    <x:row r="1">
      <x:c r="A1" s="133" t="str">
        <x:v>55_Management_Report – Monthly Performance, Forecast &amp; Control Pack</x:v>
      </x:c>
      <x:c r="B1" s="133"/>
      <x:c r="C1" s="133"/>
      <x:c r="D1" s="133"/>
      <x:c r="E1" s="133"/>
      <x:c r="F1" s="133"/>
      <x:c r="G1" s="133"/>
      <x:c r="H1" s="133"/>
      <x:c r="I1" s="133"/>
      <x:c r="J1" s="133"/>
      <x:c r="K1" s="133"/>
      <x:c r="L1" s="133"/>
      <x:c r="M1" s="14"/>
      <x:c r="N1" s="14"/>
      <x:c r="O1" s="14"/>
      <x:c r="P1" s="14"/>
      <x:c r="Q1" s="14"/>
      <x:c r="R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</x:row>
    <x:row r="3">
      <x:c r="A3" s="125" t="str">
        <x:v>KPI điều hành</x:v>
      </x:c>
      <x:c r="B3" s="125" t="str">
        <x:v>Giá trị</x:v>
      </x:c>
      <x:c r="C3" s="125" t="str">
        <x:v>Trạng thái</x:v>
      </x:c>
      <x:c r="D3" s="14"/>
      <x:c r="E3" s="125" t="str">
        <x:v>Dự án</x:v>
      </x:c>
      <x:c r="F3" s="125" t="str">
        <x:v>Budget DT</x:v>
      </x:c>
      <x:c r="G3" s="125" t="str">
        <x:v>LE DT</x:v>
      </x:c>
      <x:c r="H3" s="125" t="str">
        <x:v>Var DT</x:v>
      </x:c>
      <x:c r="I3" s="125" t="str">
        <x:v>LE CAPEX</x:v>
      </x:c>
      <x:c r="J3" s="125" t="str">
        <x:v>Funding gap</x:v>
      </x:c>
      <x:c r="K3" s="125" t="str">
        <x:v>Driver lớn nhất</x:v>
      </x:c>
      <x:c r="L3" s="125" t="str">
        <x:v>Action</x:v>
      </x:c>
      <x:c r="M3" s="14"/>
      <x:c r="N3" s="14"/>
      <x:c r="O3" s="14"/>
      <x:c r="P3" s="14"/>
      <x:c r="Q3" s="14"/>
      <x:c r="R3" s="14"/>
    </x:row>
    <x:row r="4">
      <x:c r="A4" s="14" t="str">
        <x:v>Phiên bản điều hành</x:v>
      </x:c>
      <x:c r="B4" s="14" t="str">
        <x:v>LE_2026_08</x:v>
      </x:c>
      <x:c r="C4" s="14" t="str">
        <x:v>Đang sử dụng</x:v>
      </x:c>
      <x:c r="D4" s="14"/>
      <x:c r="E4" s="14" t="str">
        <x:f>'50_Latest_Estimate'!A4</x:f>
        <x:v>DA01</x:v>
      </x:c>
      <x:c r="F4" s="100" t="n">
        <x:f>'50_Latest_Estimate'!B4</x:f>
        <x:v>1960</x:v>
      </x:c>
      <x:c r="G4" s="100" t="n">
        <x:f>'50_Latest_Estimate'!E4</x:f>
        <x:v>816.6666666666666</x:v>
      </x:c>
      <x:c r="H4" s="100" t="n">
        <x:f>'50_Latest_Estimate'!F4</x:f>
        <x:v>-1143.3333333333335</x:v>
      </x:c>
      <x:c r="I4" s="100" t="n">
        <x:f>'50_Latest_Estimate'!K4</x:f>
        <x:v>1325.6666666666665</x:v>
      </x:c>
      <x:c r="J4" s="100" t="n">
        <x:f>'50_Latest_Estimate'!O4</x:f>
        <x:v>435.4</x:v>
      </x:c>
      <x:c r="K4" s="14" t="str">
        <x:f>'53_Variance_Bridge'!N4</x:f>
        <x:v>Execution</x:v>
      </x:c>
      <x:c r="L4" s="14" t="str">
        <x:f>'50_Latest_Estimate'!R4</x:f>
        <x:v>Rà nguyên nhân variance và cập nhật action owner</x:v>
      </x:c>
      <x:c r="M4" s="14"/>
      <x:c r="N4" s="14"/>
      <x:c r="O4" s="14"/>
      <x:c r="P4" s="14"/>
      <x:c r="Q4" s="14"/>
      <x:c r="R4" s="14"/>
    </x:row>
    <x:row r="5">
      <x:c r="A5" s="14" t="str">
        <x:v>Monthly Close quá hạn</x:v>
      </x:c>
      <x:c r="B5" s="14" t="n">
        <x:f>COUNTIF('49_Monthly_Close'!I4:I100,"Quá hạn")</x:f>
        <x:v>17</x:v>
      </x:c>
      <x:c r="C5" s="14" t="str">
        <x:f>IF(B5&gt;0,"CẢNH BÁO","OK")</x:f>
        <x:v>CẢNH BÁO</x:v>
      </x:c>
      <x:c r="D5" s="14"/>
      <x:c r="E5" s="14" t="str">
        <x:f>'50_Latest_Estimate'!A5</x:f>
        <x:v>DA02</x:v>
      </x:c>
      <x:c r="F5" s="100" t="n">
        <x:f>'50_Latest_Estimate'!B5</x:f>
        <x:v>2240</x:v>
      </x:c>
      <x:c r="G5" s="100" t="n">
        <x:f>'50_Latest_Estimate'!E5</x:f>
        <x:v>933.3333333333334</x:v>
      </x:c>
      <x:c r="H5" s="100" t="n">
        <x:f>'50_Latest_Estimate'!F5</x:f>
        <x:v>-1306.6666666666665</x:v>
      </x:c>
      <x:c r="I5" s="100" t="n">
        <x:f>'50_Latest_Estimate'!K5</x:f>
        <x:v>1468</x:v>
      </x:c>
      <x:c r="J5" s="100" t="n">
        <x:f>'50_Latest_Estimate'!O5</x:f>
        <x:v>269.6</x:v>
      </x:c>
      <x:c r="K5" s="14" t="str">
        <x:f>'53_Variance_Bridge'!N5</x:f>
        <x:v>Execution</x:v>
      </x:c>
      <x:c r="L5" s="14" t="str">
        <x:f>'50_Latest_Estimate'!R5</x:f>
        <x:v>Rà nguyên nhân variance và cập nhật action owner</x:v>
      </x:c>
      <x:c r="M5" s="14"/>
      <x:c r="N5" s="14"/>
      <x:c r="O5" s="14"/>
      <x:c r="P5" s="14"/>
      <x:c r="Q5" s="14"/>
      <x:c r="R5" s="14"/>
    </x:row>
    <x:row r="6">
      <x:c r="A6" s="14" t="str">
        <x:v>Dự án BvA cảnh báo</x:v>
      </x:c>
      <x:c r="B6" s="14" t="n">
        <x:f>COUNTIF('42_Budget_vs_Actual'!N4:N9,"CẢNH BÁO")</x:f>
        <x:v>5</x:v>
      </x:c>
      <x:c r="C6" s="14" t="str">
        <x:f>IF(B6&gt;2,"CẢNH BÁO","OK")</x:f>
        <x:v>CẢNH BÁO</x:v>
      </x:c>
      <x:c r="D6" s="14"/>
      <x:c r="E6" s="14" t="str">
        <x:f>'50_Latest_Estimate'!A6</x:f>
        <x:v>DA03</x:v>
      </x:c>
      <x:c r="F6" s="100" t="n">
        <x:f>'50_Latest_Estimate'!B6</x:f>
        <x:v>2960</x:v>
      </x:c>
      <x:c r="G6" s="100" t="n">
        <x:f>'50_Latest_Estimate'!E6</x:f>
        <x:v>2808.333333333333</x:v>
      </x:c>
      <x:c r="H6" s="100" t="n">
        <x:f>'50_Latest_Estimate'!F6</x:f>
        <x:v>-151.66666666666697</x:v>
      </x:c>
      <x:c r="I6" s="100" t="n">
        <x:f>'50_Latest_Estimate'!K6</x:f>
        <x:v>1768.6666666666665</x:v>
      </x:c>
      <x:c r="J6" s="100" t="n">
        <x:f>'50_Latest_Estimate'!O6</x:f>
        <x:v>124.6</x:v>
      </x:c>
      <x:c r="K6" s="14" t="str">
        <x:f>'53_Variance_Bridge'!N6</x:f>
        <x:v>Cost</x:v>
      </x:c>
      <x:c r="L6" s="14" t="str">
        <x:f>'50_Latest_Estimate'!R6</x:f>
        <x:v>Rà nguyên nhân variance và cập nhật action owner</x:v>
      </x:c>
      <x:c r="M6" s="14"/>
      <x:c r="N6" s="14"/>
      <x:c r="O6" s="14"/>
      <x:c r="P6" s="14"/>
      <x:c r="Q6" s="14"/>
      <x:c r="R6" s="14"/>
    </x:row>
    <x:row r="7">
      <x:c r="A7" s="14" t="str">
        <x:v>Dự án LE cần hành động</x:v>
      </x:c>
      <x:c r="B7" s="14" t="n">
        <x:f>COUNTIF('50_Latest_Estimate'!P4:P9,"CẦN HÀNH ĐỘNG")</x:f>
        <x:v>6</x:v>
      </x:c>
      <x:c r="C7" s="14" t="str">
        <x:f>IF(B7&gt;0,"CẢNH BÁO","OK")</x:f>
        <x:v>CẢNH BÁO</x:v>
      </x:c>
      <x:c r="D7" s="14"/>
      <x:c r="E7" s="14" t="str">
        <x:f>'50_Latest_Estimate'!A7</x:f>
        <x:v>DA04</x:v>
      </x:c>
      <x:c r="F7" s="100" t="n">
        <x:f>'50_Latest_Estimate'!B7</x:f>
        <x:v>2640</x:v>
      </x:c>
      <x:c r="G7" s="100" t="n">
        <x:f>'50_Latest_Estimate'!E7</x:f>
        <x:v>3200</x:v>
      </x:c>
      <x:c r="H7" s="100" t="n">
        <x:f>'50_Latest_Estimate'!F7</x:f>
        <x:v>560</x:v>
      </x:c>
      <x:c r="I7" s="100" t="n">
        <x:f>'50_Latest_Estimate'!K7</x:f>
        <x:v>1736</x:v>
      </x:c>
      <x:c r="J7" s="100" t="n">
        <x:f>'50_Latest_Estimate'!O7</x:f>
        <x:v>0</x:v>
      </x:c>
      <x:c r="K7" s="14" t="str">
        <x:f>'53_Variance_Bridge'!N7</x:f>
        <x:v>Execution</x:v>
      </x:c>
      <x:c r="L7" s="14" t="str">
        <x:f>'50_Latest_Estimate'!R7</x:f>
        <x:v>Rà nguyên nhân variance và cập nhật action owner</x:v>
      </x:c>
      <x:c r="M7" s="14"/>
      <x:c r="N7" s="14"/>
      <x:c r="O7" s="14"/>
      <x:c r="P7" s="14"/>
      <x:c r="Q7" s="14"/>
      <x:c r="R7" s="14"/>
    </x:row>
    <x:row r="8">
      <x:c r="A8" s="14" t="str">
        <x:v>Covenant rủi ro cao</x:v>
      </x:c>
      <x:c r="B8" s="14" t="n">
        <x:f>COUNTIF('44_Covenant_Forecast'!M4:M9,"Cao")</x:f>
        <x:v>5</x:v>
      </x:c>
      <x:c r="C8" s="14" t="str">
        <x:f>IF(B8&gt;0,"CẢNH BÁO","OK")</x:f>
        <x:v>CẢNH BÁO</x:v>
      </x:c>
      <x:c r="D8" s="14"/>
      <x:c r="E8" s="14" t="str">
        <x:f>'50_Latest_Estimate'!A8</x:f>
        <x:v>DA05</x:v>
      </x:c>
      <x:c r="F8" s="100" t="n">
        <x:f>'50_Latest_Estimate'!B8</x:f>
        <x:v>1880</x:v>
      </x:c>
      <x:c r="G8" s="100" t="n">
        <x:f>'50_Latest_Estimate'!E8</x:f>
        <x:v>3408.3333333333335</x:v>
      </x:c>
      <x:c r="H8" s="100" t="n">
        <x:f>'50_Latest_Estimate'!F8</x:f>
        <x:v>1528.3333333333335</x:v>
      </x:c>
      <x:c r="I8" s="100" t="n">
        <x:f>'50_Latest_Estimate'!K8</x:f>
        <x:v>1636.6666666666665</x:v>
      </x:c>
      <x:c r="J8" s="100" t="n">
        <x:f>'50_Latest_Estimate'!O8</x:f>
        <x:v>0</x:v>
      </x:c>
      <x:c r="K8" s="14" t="str">
        <x:f>'53_Variance_Bridge'!N8</x:f>
        <x:v>Execution</x:v>
      </x:c>
      <x:c r="L8" s="14" t="str">
        <x:f>'50_Latest_Estimate'!R8</x:f>
        <x:v>Rà nguyên nhân variance và cập nhật action owner</x:v>
      </x:c>
      <x:c r="M8" s="14"/>
      <x:c r="N8" s="14"/>
      <x:c r="O8" s="14"/>
      <x:c r="P8" s="14"/>
      <x:c r="Q8" s="14"/>
      <x:c r="R8" s="14"/>
    </x:row>
    <x:row r="9">
      <x:c r="A9" s="14" t="str">
        <x:v>Funding gap 12T (tỷ)</x:v>
      </x:c>
      <x:c r="B9" s="100" t="n">
        <x:f>SUM('32_Treasury_Cash_Pool'!F5:F10)</x:f>
        <x:v>1297.3</x:v>
      </x:c>
      <x:c r="C9" s="14" t="str">
        <x:f>IF(B9&gt;0,"CẢNH BÁO","OK")</x:f>
        <x:v>CẢNH BÁO</x:v>
      </x:c>
      <x:c r="D9" s="14"/>
      <x:c r="E9" s="14" t="str">
        <x:f>'50_Latest_Estimate'!A9</x:f>
        <x:v>DA06</x:v>
      </x:c>
      <x:c r="F9" s="100" t="n">
        <x:f>'50_Latest_Estimate'!B9</x:f>
        <x:v>1440</x:v>
      </x:c>
      <x:c r="G9" s="100" t="n">
        <x:f>'50_Latest_Estimate'!E9</x:f>
        <x:v>600</x:v>
      </x:c>
      <x:c r="H9" s="100" t="n">
        <x:f>'50_Latest_Estimate'!F9</x:f>
        <x:v>-840</x:v>
      </x:c>
      <x:c r="I9" s="100" t="n">
        <x:f>'50_Latest_Estimate'!K9</x:f>
        <x:v>375</x:v>
      </x:c>
      <x:c r="J9" s="100" t="n">
        <x:f>'50_Latest_Estimate'!O9</x:f>
        <x:v>467.7</x:v>
      </x:c>
      <x:c r="K9" s="14" t="str">
        <x:f>'53_Variance_Bridge'!N9</x:f>
        <x:v>Execution</x:v>
      </x:c>
      <x:c r="L9" s="14" t="str">
        <x:f>'50_Latest_Estimate'!R9</x:f>
        <x:v>Rà nguyên nhân variance và cập nhật action owner</x:v>
      </x:c>
      <x:c r="M9" s="14"/>
      <x:c r="N9" s="14"/>
      <x:c r="O9" s="14"/>
      <x:c r="P9" s="14"/>
      <x:c r="Q9" s="14"/>
      <x:c r="R9" s="14"/>
    </x:row>
    <x:row r="10">
      <x:c r="A10" s="14" t="str">
        <x:v>Thuế/nghĩa vụ đến hạn 90d (tỷ)</x:v>
      </x:c>
      <x:c r="B10" s="100" t="n">
        <x:f>SUM('52_Ke_hoach_Thue'!M4:M9)</x:f>
        <x:v>1027.3122708333335</x:v>
      </x:c>
      <x:c r="C10" s="14" t="str">
        <x:f>IF(B10&gt;500,"CẢNH BÁO","THEO DÕI")</x:f>
        <x:v>CẢNH BÁO</x:v>
      </x:c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</x:row>
    <x:row r="11">
      <x:c r="A11" s="14" t="str">
        <x:v>Doanh thu LE FY2026 (tỷ)</x:v>
      </x:c>
      <x:c r="B11" s="100" t="n">
        <x:f>SUM('50_Latest_Estimate'!E4:E9)</x:f>
        <x:v>11766.666666666666</x:v>
      </x:c>
      <x:c r="C11" s="14" t="str">
        <x:f>IF(B11&gt;0,"OK","CẢNH BÁO")</x:f>
        <x:v>OK</x:v>
      </x:c>
      <x:c r="D11" s="14"/>
      <x:c r="E11" s="138" t="str">
        <x:v>Quyết định cần TGĐ/CFO xử lý</x:v>
      </x:c>
      <x:c r="F11" s="138"/>
      <x:c r="G11" s="138"/>
      <x:c r="H11" s="138"/>
      <x:c r="I11" s="138"/>
      <x:c r="J11" s="138"/>
      <x:c r="K11" s="138"/>
      <x:c r="L11" s="138"/>
      <x:c r="M11" s="14"/>
      <x:c r="N11" s="14"/>
      <x:c r="O11" s="14"/>
      <x:c r="P11" s="14"/>
      <x:c r="Q11" s="14"/>
      <x:c r="R11" s="14"/>
    </x:row>
    <x:row r="12">
      <x:c r="A12" s="14" t="str">
        <x:v>Variance DT LE vs Budget (tỷ)</x:v>
      </x:c>
      <x:c r="B12" s="100" t="n">
        <x:f>SUM('50_Latest_Estimate'!F4:F9)</x:f>
        <x:v>-1353.3333333333335</x:v>
      </x:c>
      <x:c r="C12" s="14" t="str">
        <x:f>IF(ABS(B12)&gt;500,"CẢNH BÁO","THEO DÕI")</x:f>
        <x:v>CẢNH BÁO</x:v>
      </x:c>
      <x:c r="D12" s="14"/>
      <x:c r="E12" s="125" t="str">
        <x:v>Ưu tiên</x:v>
      </x:c>
      <x:c r="F12" s="125" t="str">
        <x:v>Đối tượng</x:v>
      </x:c>
      <x:c r="G12" s="125" t="str">
        <x:v>Vấn đề</x:v>
      </x:c>
      <x:c r="H12" s="125" t="str">
        <x:v>Mức độ</x:v>
      </x:c>
      <x:c r="I12" s="125" t="str">
        <x:v>Owner</x:v>
      </x:c>
      <x:c r="J12" s="125" t="str">
        <x:v>Deadline</x:v>
      </x:c>
      <x:c r="K12" s="14"/>
      <x:c r="L12" s="14"/>
      <x:c r="M12" s="14"/>
      <x:c r="N12" s="14"/>
      <x:c r="O12" s="14"/>
      <x:c r="P12" s="14"/>
      <x:c r="Q12" s="14"/>
      <x:c r="R12" s="14"/>
    </x:row>
    <x:row r="13">
      <x:c r="A13" s="14" t="str">
        <x:v>CAPEX LE FY2026 (tỷ)</x:v>
      </x:c>
      <x:c r="B13" s="100" t="n">
        <x:f>SUM('50_Latest_Estimate'!K4:K9)</x:f>
        <x:v>8310</x:v>
      </x:c>
      <x:c r="C13" s="14" t="str">
        <x:f>IF(B13&gt;0,"OK","CẢNH BÁO")</x:f>
        <x:v>OK</x:v>
      </x:c>
      <x:c r="D13" s="14"/>
      <x:c r="E13" s="14" t="n">
        <x:v>1</x:v>
      </x:c>
      <x:c r="F13" s="14" t="str">
        <x:v>DA02</x:v>
      </x:c>
      <x:c r="G13" s="14" t="str">
        <x:v>Funding + nghĩa vụ tài chính đất</x:v>
      </x:c>
      <x:c r="H13" s="14" t="str">
        <x:v>Rất cao</x:v>
      </x:c>
      <x:c r="I13" s="14" t="str">
        <x:v>CFO</x:v>
      </x:c>
      <x:c r="J13" s="28" t="n">
        <x:v>46254</x:v>
      </x:c>
      <x:c r="K13" s="14"/>
      <x:c r="L13" s="14"/>
      <x:c r="M13" s="14"/>
      <x:c r="N13" s="14"/>
      <x:c r="O13" s="14"/>
      <x:c r="P13" s="14"/>
      <x:c r="Q13" s="14"/>
      <x:c r="R13" s="14"/>
    </x:row>
    <x:row r="14">
      <x:c r="A14" s="14"/>
      <x:c r="B14" s="14"/>
      <x:c r="C14" s="14"/>
      <x:c r="D14" s="14"/>
      <x:c r="E14" s="14" t="n">
        <x:v>2</x:v>
      </x:c>
      <x:c r="F14" s="14" t="str">
        <x:v>DA01</x:v>
      </x:c>
      <x:c r="G14" s="14" t="str">
        <x:v>Legal critical path</x:v>
      </x:c>
      <x:c r="H14" s="14" t="str">
        <x:v>Rất cao</x:v>
      </x:c>
      <x:c r="I14" s="14" t="str">
        <x:v>GĐ Phát triển</x:v>
      </x:c>
      <x:c r="J14" s="28" t="n">
        <x:v>46261</x:v>
      </x:c>
      <x:c r="K14" s="14"/>
      <x:c r="L14" s="14"/>
      <x:c r="M14" s="14"/>
      <x:c r="N14" s="14"/>
      <x:c r="O14" s="14"/>
      <x:c r="P14" s="14"/>
      <x:c r="Q14" s="14"/>
      <x:c r="R14" s="14"/>
    </x:row>
    <x:row r="15">
      <x:c r="A15" s="14"/>
      <x:c r="B15" s="14"/>
      <x:c r="C15" s="14"/>
      <x:c r="D15" s="14"/>
      <x:c r="E15" s="14" t="n">
        <x:v>3</x:v>
      </x:c>
      <x:c r="F15" s="14" t="str">
        <x:v>DA05</x:v>
      </x:c>
      <x:c r="G15" s="14" t="str">
        <x:v>DSCR / upstream cash restriction</x:v>
      </x:c>
      <x:c r="H15" s="14" t="str">
        <x:v>Cao</x:v>
      </x:c>
      <x:c r="I15" s="14" t="str">
        <x:v>Treasury</x:v>
      </x:c>
      <x:c r="J15" s="28" t="n">
        <x:v>46265</x:v>
      </x:c>
      <x:c r="K15" s="14"/>
      <x:c r="L15" s="14"/>
      <x:c r="M15" s="14"/>
      <x:c r="N15" s="14"/>
      <x:c r="O15" s="14"/>
      <x:c r="P15" s="14"/>
      <x:c r="Q15" s="14"/>
      <x:c r="R15" s="14"/>
    </x:row>
    <x:row r="16">
      <x:c r="A16" s="14"/>
      <x:c r="B16" s="14"/>
      <x:c r="C16" s="14"/>
      <x:c r="D16" s="14"/>
      <x:c r="E16" s="14" t="n">
        <x:v>4</x:v>
      </x:c>
      <x:c r="F16" s="14" t="str">
        <x:v>DA03</x:v>
      </x:c>
      <x:c r="G16" s="14" t="str">
        <x:v>CAPEX / EAC</x:v>
      </x:c>
      <x:c r="H16" s="14" t="str">
        <x:v>Cao</x:v>
      </x:c>
      <x:c r="I16" s="14" t="str">
        <x:v>QLDA</x:v>
      </x:c>
      <x:c r="J16" s="28" t="n">
        <x:v>46259</x:v>
      </x:c>
      <x:c r="K16" s="14"/>
      <x:c r="L16" s="14"/>
      <x:c r="M16" s="14"/>
      <x:c r="N16" s="14"/>
      <x:c r="O16" s="14"/>
      <x:c r="P16" s="14"/>
      <x:c r="Q16" s="14"/>
      <x:c r="R16" s="14"/>
    </x:row>
    <x:row r="17">
      <x:c r="A17" s="14"/>
      <x:c r="B17" s="14"/>
      <x:c r="C17" s="14"/>
      <x:c r="D17" s="14"/>
      <x:c r="E17" s="14" t="n">
        <x:v>5</x:v>
      </x:c>
      <x:c r="F17" s="14" t="str">
        <x:v>BUD_2027</x:v>
      </x:c>
      <x:c r="G17" s="14" t="str">
        <x:v>Khởi động ngân sách 2027</x:v>
      </x:c>
      <x:c r="H17" s="14" t="str">
        <x:v>Trung bình</x:v>
      </x:c>
      <x:c r="I17" s="14" t="str">
        <x:v>FP&amp;A</x:v>
      </x:c>
      <x:c r="J17" s="28" t="n">
        <x:v>46262</x:v>
      </x:c>
      <x:c r="K17" s="14"/>
      <x:c r="L17" s="14"/>
      <x:c r="M17" s="14"/>
      <x:c r="N17" s="14"/>
      <x:c r="O17" s="14"/>
      <x:c r="P17" s="14"/>
      <x:c r="Q17" s="14"/>
      <x:c r="R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</x:row>
  </x:sheetData>
  <x:mergeCells>
    <x:mergeCell ref="A1:L1"/>
    <x:mergeCell ref="E11:L11"/>
  </x:mergeCells>
  <x:conditionalFormatting sqref="C5:C13">
    <x:cfRule type="expression" dxfId="20" priority="1">
      <x:formula>C5="CẢNH BÁO"</x:formula>
    </x:cfRule>
  </x:conditionalFormatting>
  <x:pageMargins left="0.7" right="0.7" top="0.75" bottom="0.75" header="0.3" footer="0.3"/>
  <x:drawing xmlns:r="http://schemas.openxmlformats.org/officeDocument/2006/relationships" r:id="Rae26c58cc65b485c"/>
</x:worksheet>
</file>

<file path=xl/worksheets/sheet57.xml><?xml version="1.0" encoding="utf-8"?>
<x:worksheet xmlns:x="http://schemas.openxmlformats.org/spreadsheetml/2006/main">
  <x:sheetFormatPr defaultRowHeight="15"/>
  <x:sheetData>
    <x:row r="1">
      <x:c r="A1" s="140" t="str">
        <x:v>56_Cau_hinh_Import – Danh mục nguồn dữ liệu &amp; quy tắc nạp</x:v>
      </x:c>
      <x:c r="B1" s="140"/>
      <x:c r="C1" s="140"/>
      <x:c r="D1" s="140"/>
      <x:c r="E1" s="140"/>
      <x:c r="F1" s="140"/>
      <x:c r="G1" s="140"/>
      <x:c r="H1" s="140"/>
      <x:c r="I1" s="140"/>
      <x:c r="J1" s="140"/>
      <x:c r="K1" s="140"/>
      <x:c r="L1" s="140"/>
      <x:c r="M1" s="140"/>
      <x:c r="N1" s="140"/>
      <x:c r="O1" s="140"/>
      <x:c r="P1" s="140"/>
      <x:c r="Q1" s="140"/>
      <x:c r="R1" s="140"/>
    </x:row>
    <x:row r="3">
      <x:c r="A3" s="145" t="str">
        <x:v>Mã nguồn</x:v>
      </x:c>
      <x:c r="B3" s="145" t="str">
        <x:v>Nguồn dữ liệu</x:v>
      </x:c>
      <x:c r="C3" s="145" t="str">
        <x:v>Hệ thống</x:v>
      </x:c>
      <x:c r="D3" s="145" t="str">
        <x:v>Pháp nhân</x:v>
      </x:c>
      <x:c r="E3" s="145" t="str">
        <x:v>Miền dữ liệu</x:v>
      </x:c>
      <x:c r="F3" s="145" t="str">
        <x:v>Định dạng</x:v>
      </x:c>
      <x:c r="G3" s="145" t="str">
        <x:v>Tên file/bảng mẫu</x:v>
      </x:c>
      <x:c r="H3" s="145" t="str">
        <x:v>Tần suất</x:v>
      </x:c>
      <x:c r="I3" s="145" t="str">
        <x:v>Thời điểm chốt</x:v>
      </x:c>
      <x:c r="J3" s="145" t="str">
        <x:v>Khóa chính</x:v>
      </x:c>
      <x:c r="K3" s="145" t="str">
        <x:v>Cột bắt buộc</x:v>
      </x:c>
      <x:c r="L3" s="145" t="str">
        <x:v>Quy tắc trùng lặp</x:v>
      </x:c>
      <x:c r="M3" s="145" t="str">
        <x:v>Quy tắc lỗi</x:v>
      </x:c>
      <x:c r="N3" s="145" t="str">
        <x:v>Phụ trách</x:v>
      </x:c>
      <x:c r="O3" s="145" t="str">
        <x:v>Người rà soát</x:v>
      </x:c>
      <x:c r="P3" s="145" t="str">
        <x:v>Trạng thái kết nối</x:v>
      </x:c>
      <x:c r="Q3" s="145" t="str">
        <x:v>Phiên bản ánh xạ</x:v>
      </x:c>
      <x:c r="R3" s="145" t="str">
        <x:v>Ghi chú</x:v>
      </x:c>
    </x:row>
    <x:row r="4">
      <x:c r="A4" t="str">
        <x:v>SRC01</x:v>
      </x:c>
      <x:c r="B4" t="str">
        <x:v>Sổ cái kế toán</x:v>
      </x:c>
      <x:c r="C4" t="str">
        <x:v>ERP</x:v>
      </x:c>
      <x:c r="D4" t="str">
        <x:v>CTM/SPV</x:v>
      </x:c>
      <x:c r="E4" t="str">
        <x:v>GL/BCTC</x:v>
      </x:c>
      <x:c r="F4" t="str">
        <x:v>XLSX/CSV</x:v>
      </x:c>
      <x:c r="G4" t="str">
        <x:v>GL_YYYYMM_ENTITY.xlsx</x:v>
      </x:c>
      <x:c r="H4" t="str">
        <x:v>Hàng tháng</x:v>
      </x:c>
      <x:c r="I4" t="str">
        <x:v>D+5</x:v>
      </x:c>
      <x:c r="J4" t="str">
        <x:v>Kỳ+Pháp nhân+Tài khoản+Chứng từ</x:v>
      </x:c>
      <x:c r="K4" t="str">
        <x:v>Ngày,TK,Nợ,Có,Đối tượng</x:v>
      </x:c>
      <x:c r="L4" t="str">
        <x:v>Không duplicate key</x:v>
      </x:c>
      <x:c r="M4" t="str">
        <x:v>Reject dòng lỗi</x:v>
      </x:c>
      <x:c r="N4" t="str">
        <x:v>Kế toán</x:v>
      </x:c>
      <x:c r="O4" t="str">
        <x:v>KTT</x:v>
      </x:c>
      <x:c r="P4" t="str">
        <x:v>Sẵn sàng</x:v>
      </x:c>
      <x:c r="Q4" t="str">
        <x:v>MAP_GL_01</x:v>
      </x:c>
      <x:c r="R4" t="str">
        <x:v>Nguồn chính cho BCTC</x:v>
      </x:c>
    </x:row>
    <x:row r="5">
      <x:c r="A5" t="str">
        <x:v>SRC02</x:v>
      </x:c>
      <x:c r="B5" t="str">
        <x:v>Bán hàng &amp; thu tiền</x:v>
      </x:c>
      <x:c r="C5" t="str">
        <x:v>CRM/ERP</x:v>
      </x:c>
      <x:c r="D5" t="str">
        <x:v>SPV</x:v>
      </x:c>
      <x:c r="E5" t="str">
        <x:v>Sales/Collection</x:v>
      </x:c>
      <x:c r="F5" t="str">
        <x:v>XLSX/CSV</x:v>
      </x:c>
      <x:c r="G5" t="str">
        <x:v>SALES_YYYYMM_PROJECT.xlsx</x:v>
      </x:c>
      <x:c r="H5" t="str">
        <x:v>Hàng ngày</x:v>
      </x:c>
      <x:c r="I5" t="str">
        <x:v>T+1</x:v>
      </x:c>
      <x:c r="J5" t="str">
        <x:v>Dự án+Căn+Đợt thu</x:v>
      </x:c>
      <x:c r="K5" t="str">
        <x:v>Ngày,Căn,HĐ,Giá,Thu</x:v>
      </x:c>
      <x:c r="L5" t="str">
        <x:v>Latest timestamp</x:v>
      </x:c>
      <x:c r="M5" t="str">
        <x:v>Quarantine dòng thiếu key</x:v>
      </x:c>
      <x:c r="N5" t="str">
        <x:v>Kinh doanh</x:v>
      </x:c>
      <x:c r="O5" t="str">
        <x:v>FP&amp;A</x:v>
      </x:c>
      <x:c r="P5" t="str">
        <x:v>Sẵn sàng</x:v>
      </x:c>
      <x:c r="Q5" t="str">
        <x:v>MAP_SALES_01</x:v>
      </x:c>
      <x:c r="R5" t="str"/>
    </x:row>
    <x:row r="6">
      <x:c r="A6" t="str">
        <x:v>SRC03</x:v>
      </x:c>
      <x:c r="B6" t="str">
        <x:v>CAPEX / khối lượng</x:v>
      </x:c>
      <x:c r="C6" t="str">
        <x:v>PMIS/QS</x:v>
      </x:c>
      <x:c r="D6" t="str">
        <x:v>SPV</x:v>
      </x:c>
      <x:c r="E6" t="str">
        <x:v>CAPEX/Progress</x:v>
      </x:c>
      <x:c r="F6" t="str">
        <x:v>XLSX/CSV</x:v>
      </x:c>
      <x:c r="G6" t="str">
        <x:v>CAPEX_YYYYMM_PROJECT.xlsx</x:v>
      </x:c>
      <x:c r="H6" t="str">
        <x:v>Hàng tuần</x:v>
      </x:c>
      <x:c r="I6" t="str">
        <x:v>Thứ Sáu</x:v>
      </x:c>
      <x:c r="J6" t="str">
        <x:v>Dự án+HĐ+Hạng mục+Kỳ</x:v>
      </x:c>
      <x:c r="K6" t="str">
        <x:v>Budget,Commitment,Payment,%HT</x:v>
      </x:c>
      <x:c r="L6" t="str">
        <x:v>Không duplicate certified</x:v>
      </x:c>
      <x:c r="M6" t="str">
        <x:v>Reject bất thường</x:v>
      </x:c>
      <x:c r="N6" t="str">
        <x:v>QLDA</x:v>
      </x:c>
      <x:c r="O6" t="str">
        <x:v>CFO/PMO</x:v>
      </x:c>
      <x:c r="P6" t="str">
        <x:v>Sẵn sàng</x:v>
      </x:c>
      <x:c r="Q6" t="str">
        <x:v>MAP_CAPEX_01</x:v>
      </x:c>
      <x:c r="R6" t="str"/>
    </x:row>
    <x:row r="7">
      <x:c r="A7" t="str">
        <x:v>SRC04</x:v>
      </x:c>
      <x:c r="B7" t="str">
        <x:v>Sao kê ngân hàng</x:v>
      </x:c>
      <x:c r="C7" t="str">
        <x:v>Bank</x:v>
      </x:c>
      <x:c r="D7" t="str">
        <x:v>CTM/SPV</x:v>
      </x:c>
      <x:c r="E7" t="str">
        <x:v>Cash/Debt</x:v>
      </x:c>
      <x:c r="F7" t="str">
        <x:v>XLSX/CSV</x:v>
      </x:c>
      <x:c r="G7" t="str">
        <x:v>BANK_YYYYMM_ENTITY.xlsx</x:v>
      </x:c>
      <x:c r="H7" t="str">
        <x:v>Hàng ngày</x:v>
      </x:c>
      <x:c r="I7" t="str">
        <x:v>T+1</x:v>
      </x:c>
      <x:c r="J7" t="str">
        <x:v>TK+Ngày+Ref</x:v>
      </x:c>
      <x:c r="K7" t="str">
        <x:v>Debit,Credit,Balance,Ref</x:v>
      </x:c>
      <x:c r="L7" t="str">
        <x:v>Ref unique</x:v>
      </x:c>
      <x:c r="M7" t="str">
        <x:v>Quarantine nếu balance lỗi</x:v>
      </x:c>
      <x:c r="N7" t="str">
        <x:v>Treasury</x:v>
      </x:c>
      <x:c r="O7" t="str">
        <x:v>CFO</x:v>
      </x:c>
      <x:c r="P7" t="str">
        <x:v>Sẵn sàng</x:v>
      </x:c>
      <x:c r="Q7" t="str">
        <x:v>MAP_BANK_01</x:v>
      </x:c>
      <x:c r="R7" t="str"/>
    </x:row>
    <x:row r="8">
      <x:c r="A8" t="str">
        <x:v>SRC05</x:v>
      </x:c>
      <x:c r="B8" t="str">
        <x:v>Loan register</x:v>
      </x:c>
      <x:c r="C8" t="str">
        <x:v>Treasury</x:v>
      </x:c>
      <x:c r="D8" t="str">
        <x:v>CTM/SPV</x:v>
      </x:c>
      <x:c r="E8" t="str">
        <x:v>Debt/Covenant</x:v>
      </x:c>
      <x:c r="F8" t="str">
        <x:v>XLSX</x:v>
      </x:c>
      <x:c r="G8" t="str">
        <x:v>LOAN_REGISTER.xlsx</x:v>
      </x:c>
      <x:c r="H8" t="str">
        <x:v>Hàng tuần</x:v>
      </x:c>
      <x:c r="I8" t="str">
        <x:v>Thứ Hai</x:v>
      </x:c>
      <x:c r="J8" t="str">
        <x:v>Mã khoản vay</x:v>
      </x:c>
      <x:c r="K8" t="str">
        <x:v>Limit,Outstanding,Rate,Maturity,Covenant</x:v>
      </x:c>
      <x:c r="L8" t="str">
        <x:v>1 active record</x:v>
      </x:c>
      <x:c r="M8" t="str">
        <x:v>Block nếu thiếu maturity</x:v>
      </x:c>
      <x:c r="N8" t="str">
        <x:v>Treasury</x:v>
      </x:c>
      <x:c r="O8" t="str">
        <x:v>CFO</x:v>
      </x:c>
      <x:c r="P8" t="str">
        <x:v>Sẵn sàng</x:v>
      </x:c>
      <x:c r="Q8" t="str">
        <x:v>MAP_LOAN_01</x:v>
      </x:c>
      <x:c r="R8" t="str"/>
    </x:row>
    <x:row r="9">
      <x:c r="A9" t="str">
        <x:v>SRC06</x:v>
      </x:c>
      <x:c r="B9" t="str">
        <x:v>Legal tracker</x:v>
      </x:c>
      <x:c r="C9" t="str">
        <x:v>Legal/PMO</x:v>
      </x:c>
      <x:c r="D9" t="str">
        <x:v>SPV</x:v>
      </x:c>
      <x:c r="E9" t="str">
        <x:v>Legal</x:v>
      </x:c>
      <x:c r="F9" t="str">
        <x:v>XLSX</x:v>
      </x:c>
      <x:c r="G9" t="str">
        <x:v>LEGAL_TRACKER.xlsx</x:v>
      </x:c>
      <x:c r="H9" t="str">
        <x:v>Hàng tuần</x:v>
      </x:c>
      <x:c r="I9" t="str">
        <x:v>Thứ Sáu</x:v>
      </x:c>
      <x:c r="J9" t="str">
        <x:v>Dự án+Mã thủ tục</x:v>
      </x:c>
      <x:c r="K9" t="str">
        <x:v>Status,Deadline,Owner,Gate</x:v>
      </x:c>
      <x:c r="L9" t="str">
        <x:v>1 active record</x:v>
      </x:c>
      <x:c r="M9" t="str">
        <x:v>Block gate nếu thiếu owner/status</x:v>
      </x:c>
      <x:c r="N9" t="str">
        <x:v>Pháp chế</x:v>
      </x:c>
      <x:c r="O9" t="str">
        <x:v>GĐ Phát triển</x:v>
      </x:c>
      <x:c r="P9" t="str">
        <x:v>Sẵn sàng</x:v>
      </x:c>
      <x:c r="Q9" t="str">
        <x:v>MAP_LEGAL_01</x:v>
      </x:c>
      <x:c r="R9" t="str"/>
    </x:row>
  </x:sheetData>
  <x:mergeCells>
    <x:mergeCell ref="A1:R1"/>
  </x:mergeCell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sheetData>
    <x:row r="1">
      <x:c r="A1" s="140" t="str">
        <x:v>57_Tu_dien_Mapping – Mapping nguồn → Master Model / BCTC / KPI</x:v>
      </x:c>
      <x:c r="B1" s="140"/>
      <x:c r="C1" s="140"/>
      <x:c r="D1" s="140"/>
      <x:c r="E1" s="140"/>
      <x:c r="F1" s="140"/>
      <x:c r="G1" s="140"/>
      <x:c r="H1" s="140"/>
      <x:c r="I1" s="140"/>
      <x:c r="J1" s="140"/>
      <x:c r="K1" s="140"/>
      <x:c r="L1" s="140"/>
      <x:c r="M1" s="140"/>
      <x:c r="N1" s="140"/>
      <x:c r="O1" s="140"/>
      <x:c r="P1" s="140"/>
      <x:c r="Q1" s="140"/>
    </x:row>
    <x:row r="3">
      <x:c r="A3" s="145" t="str">
        <x:v>Mã ánh xạ</x:v>
      </x:c>
      <x:c r="B3" s="145" t="str">
        <x:v>Mã nguồn</x:v>
      </x:c>
      <x:c r="C3" s="145" t="str">
        <x:v>Cột nguồn</x:v>
      </x:c>
      <x:c r="D3" s="145" t="str">
        <x:v>Kiểu nguồn</x:v>
      </x:c>
      <x:c r="E3" s="145" t="str">
        <x:v>Quy tắc chuyển đổi</x:v>
      </x:c>
      <x:c r="F3" s="145" t="str">
        <x:v>Cột đích</x:v>
      </x:c>
      <x:c r="G3" s="145" t="str">
        <x:v>Sheet đích</x:v>
      </x:c>
      <x:c r="H3" s="145" t="str">
        <x:v>Kiểu đích</x:v>
      </x:c>
      <x:c r="I3" s="145" t="str">
        <x:v>Bắt buộc?</x:v>
      </x:c>
      <x:c r="J3" s="145" t="str">
        <x:v>Mặc định</x:v>
      </x:c>
      <x:c r="K3" s="145" t="str">
        <x:v>Kiểm tra hợp lệ</x:v>
      </x:c>
      <x:c r="L3" s="145" t="str">
        <x:v>Đơn vị nguồn</x:v>
      </x:c>
      <x:c r="M3" s="145" t="str">
        <x:v>Đơn vị đích</x:v>
      </x:c>
      <x:c r="N3" s="145" t="str">
        <x:v>Hệ số</x:v>
      </x:c>
      <x:c r="O3" s="145" t="str">
        <x:v>Phụ trách</x:v>
      </x:c>
      <x:c r="P3" s="145" t="str">
        <x:v>Ngày hiệu lực</x:v>
      </x:c>
      <x:c r="Q3" s="145" t="str">
        <x:v>Ghi chú</x:v>
      </x:c>
    </x:row>
    <x:row r="4">
      <x:c r="A4" t="str">
        <x:v>M001</x:v>
      </x:c>
      <x:c r="B4" t="str">
        <x:v>SRC01</x:v>
      </x:c>
      <x:c r="C4" t="str">
        <x:v>posting_date</x:v>
      </x:c>
      <x:c r="D4" t="str">
        <x:v>Date</x:v>
      </x:c>
      <x:c r="E4" t="str">
        <x:v>Chuẩn date</x:v>
      </x:c>
      <x:c r="F4" t="str">
        <x:v>Tháng</x:v>
      </x:c>
      <x:c r="G4" t="str">
        <x:v>41_Actual_Theo_thang</x:v>
      </x:c>
      <x:c r="H4" t="str">
        <x:v>Date</x:v>
      </x:c>
      <x:c r="I4" t="str">
        <x:v>Có</x:v>
      </x:c>
      <x:c r="J4" t="str">
        <x:v>-</x:v>
      </x:c>
      <x:c r="K4" t="str">
        <x:v>&lt;= kỳ khóa</x:v>
      </x:c>
      <x:c r="L4" t="str">
        <x:v>date</x:v>
      </x:c>
      <x:c r="M4" t="str">
        <x:v>date</x:v>
      </x:c>
      <x:c r="N4" t="n">
        <x:v>1</x:v>
      </x:c>
      <x:c r="O4" t="str">
        <x:v>Kế toán</x:v>
      </x:c>
      <x:c r="P4" s="29" t="n">
        <x:v>46247</x:v>
      </x:c>
      <x:c r="Q4" t="str"/>
    </x:row>
    <x:row r="5">
      <x:c r="A5" t="str">
        <x:v>M002</x:v>
      </x:c>
      <x:c r="B5" t="str">
        <x:v>SRC01</x:v>
      </x:c>
      <x:c r="C5" t="str">
        <x:v>entity_code</x:v>
      </x:c>
      <x:c r="D5" t="str">
        <x:v>Text</x:v>
      </x:c>
      <x:c r="E5" t="str">
        <x:v>Upper/trim</x:v>
      </x:c>
      <x:c r="F5" t="str">
        <x:v>Mã pháp nhân</x:v>
      </x:c>
      <x:c r="G5" t="str">
        <x:v>41_Actual_Theo_thang</x:v>
      </x:c>
      <x:c r="H5" t="str">
        <x:v>Text</x:v>
      </x:c>
      <x:c r="I5" t="str">
        <x:v>Có</x:v>
      </x:c>
      <x:c r="J5" t="str">
        <x:v>-</x:v>
      </x:c>
      <x:c r="K5" t="str">
        <x:v>Có trong sheet29</x:v>
      </x:c>
      <x:c r="L5" t="str">
        <x:v>-</x:v>
      </x:c>
      <x:c r="M5" t="str">
        <x:v>-</x:v>
      </x:c>
      <x:c r="N5" t="n">
        <x:v>1</x:v>
      </x:c>
      <x:c r="O5" t="str">
        <x:v>Kế toán</x:v>
      </x:c>
      <x:c r="P5" s="29" t="n">
        <x:v>46247</x:v>
      </x:c>
      <x:c r="Q5" t="str"/>
    </x:row>
    <x:row r="6">
      <x:c r="A6" t="str">
        <x:v>M003</x:v>
      </x:c>
      <x:c r="B6" t="str">
        <x:v>SRC01</x:v>
      </x:c>
      <x:c r="C6" t="str">
        <x:v>project_code</x:v>
      </x:c>
      <x:c r="D6" t="str">
        <x:v>Text</x:v>
      </x:c>
      <x:c r="E6" t="str">
        <x:v>Upper/trim</x:v>
      </x:c>
      <x:c r="F6" t="str">
        <x:v>Mã dự án</x:v>
      </x:c>
      <x:c r="G6" t="str">
        <x:v>41_Actual_Theo_thang</x:v>
      </x:c>
      <x:c r="H6" t="str">
        <x:v>Text</x:v>
      </x:c>
      <x:c r="I6" t="str">
        <x:v>Có</x:v>
      </x:c>
      <x:c r="J6" t="str">
        <x:v>-</x:v>
      </x:c>
      <x:c r="K6" t="str">
        <x:v>Có trong sheet01</x:v>
      </x:c>
      <x:c r="L6" t="str">
        <x:v>-</x:v>
      </x:c>
      <x:c r="M6" t="str">
        <x:v>-</x:v>
      </x:c>
      <x:c r="N6" t="n">
        <x:v>1</x:v>
      </x:c>
      <x:c r="O6" t="str">
        <x:v>Kế toán</x:v>
      </x:c>
      <x:c r="P6" s="29" t="n">
        <x:v>46247</x:v>
      </x:c>
      <x:c r="Q6" t="str"/>
    </x:row>
    <x:row r="7">
      <x:c r="A7" t="str">
        <x:v>M004</x:v>
      </x:c>
      <x:c r="B7" t="str">
        <x:v>SRC02</x:v>
      </x:c>
      <x:c r="C7" t="str">
        <x:v>revenue_amount</x:v>
      </x:c>
      <x:c r="D7" t="str">
        <x:v>Number</x:v>
      </x:c>
      <x:c r="E7" t="str">
        <x:v>Loại VAT theo mapping</x:v>
      </x:c>
      <x:c r="F7" t="str">
        <x:v>Doanh thu Actual (tỷ)</x:v>
      </x:c>
      <x:c r="G7" t="str">
        <x:v>41_Actual_Theo_thang</x:v>
      </x:c>
      <x:c r="H7" t="str">
        <x:v>Number</x:v>
      </x:c>
      <x:c r="I7" t="str">
        <x:v>Có</x:v>
      </x:c>
      <x:c r="J7" t="n">
        <x:v>0</x:v>
      </x:c>
      <x:c r="K7" t="str">
        <x:v>&gt;=0</x:v>
      </x:c>
      <x:c r="L7" t="str">
        <x:v>VND</x:v>
      </x:c>
      <x:c r="M7" t="str">
        <x:v>tỷ VND</x:v>
      </x:c>
      <x:c r="N7" t="n">
        <x:v>1e-9</x:v>
      </x:c>
      <x:c r="O7" t="str">
        <x:v>FP&amp;A</x:v>
      </x:c>
      <x:c r="P7" s="29" t="n">
        <x:v>46247</x:v>
      </x:c>
      <x:c r="Q7" t="str"/>
    </x:row>
    <x:row r="8">
      <x:c r="A8" t="str">
        <x:v>M005</x:v>
      </x:c>
      <x:c r="B8" t="str">
        <x:v>SRC03</x:v>
      </x:c>
      <x:c r="C8" t="str">
        <x:v>paid_capex</x:v>
      </x:c>
      <x:c r="D8" t="str">
        <x:v>Number</x:v>
      </x:c>
      <x:c r="E8" t="str">
        <x:v>Chuẩn CAPEX</x:v>
      </x:c>
      <x:c r="F8" t="str">
        <x:v>CAPEX Actual (tỷ)</x:v>
      </x:c>
      <x:c r="G8" t="str">
        <x:v>41_Actual_Theo_thang</x:v>
      </x:c>
      <x:c r="H8" t="str">
        <x:v>Number</x:v>
      </x:c>
      <x:c r="I8" t="str">
        <x:v>Có</x:v>
      </x:c>
      <x:c r="J8" t="n">
        <x:v>0</x:v>
      </x:c>
      <x:c r="K8" t="str">
        <x:v>&gt;=0</x:v>
      </x:c>
      <x:c r="L8" t="str">
        <x:v>VND</x:v>
      </x:c>
      <x:c r="M8" t="str">
        <x:v>tỷ VND</x:v>
      </x:c>
      <x:c r="N8" t="n">
        <x:v>1e-9</x:v>
      </x:c>
      <x:c r="O8" t="str">
        <x:v>QLDA</x:v>
      </x:c>
      <x:c r="P8" s="29" t="n">
        <x:v>46247</x:v>
      </x:c>
      <x:c r="Q8" t="str"/>
    </x:row>
    <x:row r="9">
      <x:c r="A9" t="str">
        <x:v>M006</x:v>
      </x:c>
      <x:c r="B9" t="str">
        <x:v>SRC04</x:v>
      </x:c>
      <x:c r="C9" t="str">
        <x:v>ending_balance</x:v>
      </x:c>
      <x:c r="D9" t="str">
        <x:v>Number</x:v>
      </x:c>
      <x:c r="E9" t="str">
        <x:v>Theo tài khoản tiền</x:v>
      </x:c>
      <x:c r="F9" t="str">
        <x:v>Tiền cuối kỳ (tỷ)</x:v>
      </x:c>
      <x:c r="G9" t="str">
        <x:v>41_Actual_Theo_thang</x:v>
      </x:c>
      <x:c r="H9" t="str">
        <x:v>Number</x:v>
      </x:c>
      <x:c r="I9" t="str">
        <x:v>Có</x:v>
      </x:c>
      <x:c r="J9" t="n">
        <x:v>0</x:v>
      </x:c>
      <x:c r="K9" t="str">
        <x:v>Bank reconcile</x:v>
      </x:c>
      <x:c r="L9" t="str">
        <x:v>VND</x:v>
      </x:c>
      <x:c r="M9" t="str">
        <x:v>tỷ VND</x:v>
      </x:c>
      <x:c r="N9" t="n">
        <x:v>1e-9</x:v>
      </x:c>
      <x:c r="O9" t="str">
        <x:v>Treasury</x:v>
      </x:c>
      <x:c r="P9" s="29" t="n">
        <x:v>46247</x:v>
      </x:c>
      <x:c r="Q9" t="str"/>
    </x:row>
    <x:row r="10">
      <x:c r="A10" t="str">
        <x:v>M007</x:v>
      </x:c>
      <x:c r="B10" t="str">
        <x:v>SRC05</x:v>
      </x:c>
      <x:c r="C10" t="str">
        <x:v>outstanding</x:v>
      </x:c>
      <x:c r="D10" t="str">
        <x:v>Number</x:v>
      </x:c>
      <x:c r="E10" t="str">
        <x:v>Sum active facility</x:v>
      </x:c>
      <x:c r="F10" t="str">
        <x:v>Dư nợ cuối kỳ (tỷ)</x:v>
      </x:c>
      <x:c r="G10" t="str">
        <x:v>41_Actual_Theo_thang</x:v>
      </x:c>
      <x:c r="H10" t="str">
        <x:v>Number</x:v>
      </x:c>
      <x:c r="I10" t="str">
        <x:v>Có</x:v>
      </x:c>
      <x:c r="J10" t="n">
        <x:v>0</x:v>
      </x:c>
      <x:c r="K10" t="str">
        <x:v>Loan register</x:v>
      </x:c>
      <x:c r="L10" t="str">
        <x:v>VND</x:v>
      </x:c>
      <x:c r="M10" t="str">
        <x:v>tỷ VND</x:v>
      </x:c>
      <x:c r="N10" t="n">
        <x:v>1e-9</x:v>
      </x:c>
      <x:c r="O10" t="str">
        <x:v>Treasury</x:v>
      </x:c>
      <x:c r="P10" s="29" t="n">
        <x:v>46247</x:v>
      </x:c>
      <x:c r="Q10" t="str"/>
    </x:row>
  </x:sheetData>
  <x:mergeCells>
    <x:mergeCell ref="A1:Q1"/>
  </x:mergeCell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sheetData>
    <x:row r="1">
      <x:c r="A1" s="140" t="str">
        <x:v>58_Staging_Import – Khu vực nạp dữ liệu trước khi promote vào Master</x:v>
      </x:c>
      <x:c r="B1" s="140"/>
      <x:c r="C1" s="140"/>
      <x:c r="D1" s="140"/>
      <x:c r="E1" s="140"/>
      <x:c r="F1" s="140"/>
      <x:c r="G1" s="140"/>
      <x:c r="H1" s="140"/>
      <x:c r="I1" s="140"/>
      <x:c r="J1" s="140"/>
      <x:c r="K1" s="140"/>
      <x:c r="L1" s="140"/>
      <x:c r="M1" s="140"/>
      <x:c r="N1" s="140"/>
      <x:c r="O1" s="140"/>
      <x:c r="P1" s="140"/>
      <x:c r="Q1" s="140"/>
      <x:c r="R1" s="140"/>
    </x:row>
    <x:row r="3">
      <x:c r="A3" s="145" t="str">
        <x:v>Mã lô</x:v>
      </x:c>
      <x:c r="B3" s="145" t="str">
        <x:v>Mã nguồn</x:v>
      </x:c>
      <x:c r="C3" s="145" t="str">
        <x:v>Ngày nạp</x:v>
      </x:c>
      <x:c r="D3" s="145" t="str">
        <x:v>Kỳ dữ liệu</x:v>
      </x:c>
      <x:c r="E3" s="145" t="str">
        <x:v>Pháp nhân</x:v>
      </x:c>
      <x:c r="F3" s="145" t="str">
        <x:v>Dự án</x:v>
      </x:c>
      <x:c r="G3" s="145" t="str">
        <x:v>Khóa bản ghi</x:v>
      </x:c>
      <x:c r="H3" s="145" t="str">
        <x:v>Miền dữ liệu</x:v>
      </x:c>
      <x:c r="I3" s="145" t="str">
        <x:v>Số bản ghi</x:v>
      </x:c>
      <x:c r="J3" s="145" t="str">
        <x:v>Số hợp lệ</x:v>
      </x:c>
      <x:c r="K3" s="145" t="str">
        <x:v>Số lỗi</x:v>
      </x:c>
      <x:c r="L3" s="145" t="str">
        <x:v>Số trùng</x:v>
      </x:c>
      <x:c r="M3" s="145" t="str">
        <x:v>Tổng kiểm soát nguồn</x:v>
      </x:c>
      <x:c r="N3" s="145" t="str">
        <x:v>Tổng kiểm soát Master</x:v>
      </x:c>
      <x:c r="O3" s="145" t="str">
        <x:v>Chênh lệch</x:v>
      </x:c>
      <x:c r="P3" s="145" t="str">
        <x:v>Điểm chất lượng dữ liệu</x:v>
      </x:c>
      <x:c r="Q3" s="145" t="str">
        <x:v>Trạng thái lô</x:v>
      </x:c>
      <x:c r="R3" s="145" t="str">
        <x:v>Người nạp</x:v>
      </x:c>
    </x:row>
    <x:row r="4">
      <x:c r="A4" t="str">
        <x:v>B20260813_01</x:v>
      </x:c>
      <x:c r="B4" t="str">
        <x:v>SRC01</x:v>
      </x:c>
      <x:c r="C4" s="29" t="n">
        <x:v>46247</x:v>
      </x:c>
      <x:c r="D4" s="29" t="n">
        <x:v>46234</x:v>
      </x:c>
      <x:c r="E4" t="str">
        <x:v>CTM</x:v>
      </x:c>
      <x:c r="F4" t="str">
        <x:v>-</x:v>
      </x:c>
      <x:c r="G4" t="str">
        <x:v>ACT_2026_07_CTM</x:v>
      </x:c>
      <x:c r="H4" t="str">
        <x:v>GL</x:v>
      </x:c>
      <x:c r="I4" t="n">
        <x:v>15620</x:v>
      </x:c>
      <x:c r="J4" t="n">
        <x:v>15618</x:v>
      </x:c>
      <x:c r="K4" t="n">
        <x:v>2</x:v>
      </x:c>
      <x:c r="L4" t="n">
        <x:v>0</x:v>
      </x:c>
      <x:c r="M4" s="59" t="n">
        <x:v>7425.6</x:v>
      </x:c>
      <x:c r="N4" s="59" t="n">
        <x:v>7425.6</x:v>
      </x:c>
      <x:c r="O4" s="59" t="n">
        <x:v>0</x:v>
      </x:c>
      <x:c r="P4" t="n">
        <x:v>99.99</x:v>
      </x:c>
      <x:c r="Q4" t="str">
        <x:v>Đã duyệt</x:v>
      </x:c>
      <x:c r="R4" t="str">
        <x:v>Kế toán A</x:v>
      </x:c>
    </x:row>
    <x:row r="5">
      <x:c r="A5" t="str">
        <x:v>B20260813_02</x:v>
      </x:c>
      <x:c r="B5" t="str">
        <x:v>SRC02</x:v>
      </x:c>
      <x:c r="C5" s="29" t="n">
        <x:v>46247</x:v>
      </x:c>
      <x:c r="D5" s="29" t="n">
        <x:v>46234</x:v>
      </x:c>
      <x:c r="E5" t="str">
        <x:v>SPV04</x:v>
      </x:c>
      <x:c r="F5" t="str">
        <x:v>DA04</x:v>
      </x:c>
      <x:c r="G5" t="str">
        <x:v>SALES_DA04_202607</x:v>
      </x:c>
      <x:c r="H5" t="str">
        <x:v>Sales</x:v>
      </x:c>
      <x:c r="I5" t="n">
        <x:v>2480</x:v>
      </x:c>
      <x:c r="J5" t="n">
        <x:v>2478</x:v>
      </x:c>
      <x:c r="K5" t="n">
        <x:v>2</x:v>
      </x:c>
      <x:c r="L5" t="n">
        <x:v>0</x:v>
      </x:c>
      <x:c r="M5" s="59" t="n">
        <x:v>2100</x:v>
      </x:c>
      <x:c r="N5" s="59" t="n">
        <x:v>2100</x:v>
      </x:c>
      <x:c r="O5" s="59" t="n">
        <x:v>0</x:v>
      </x:c>
      <x:c r="P5" t="n">
        <x:v>99.92</x:v>
      </x:c>
      <x:c r="Q5" t="str">
        <x:v>Đã duyệt</x:v>
      </x:c>
      <x:c r="R5" t="str">
        <x:v>Sales Ops</x:v>
      </x:c>
    </x:row>
    <x:row r="6">
      <x:c r="A6" t="str">
        <x:v>B20260813_03</x:v>
      </x:c>
      <x:c r="B6" t="str">
        <x:v>SRC03</x:v>
      </x:c>
      <x:c r="C6" s="29" t="n">
        <x:v>46247</x:v>
      </x:c>
      <x:c r="D6" s="29" t="n">
        <x:v>46234</x:v>
      </x:c>
      <x:c r="E6" t="str">
        <x:v>SPV03</x:v>
      </x:c>
      <x:c r="F6" t="str">
        <x:v>DA03</x:v>
      </x:c>
      <x:c r="G6" t="str">
        <x:v>CAPEX_DA03_202607</x:v>
      </x:c>
      <x:c r="H6" t="str">
        <x:v>CAPEX</x:v>
      </x:c>
      <x:c r="I6" t="n">
        <x:v>850</x:v>
      </x:c>
      <x:c r="J6" t="n">
        <x:v>842</x:v>
      </x:c>
      <x:c r="K6" t="n">
        <x:v>6</x:v>
      </x:c>
      <x:c r="L6" t="n">
        <x:v>2</x:v>
      </x:c>
      <x:c r="M6" s="59" t="n">
        <x:v>952</x:v>
      </x:c>
      <x:c r="N6" s="59" t="n">
        <x:v>952</x:v>
      </x:c>
      <x:c r="O6" s="59" t="n">
        <x:v>0</x:v>
      </x:c>
      <x:c r="P6" t="n">
        <x:v>98.82</x:v>
      </x:c>
      <x:c r="Q6" t="str">
        <x:v>Chờ duyệt</x:v>
      </x:c>
      <x:c r="R6" t="str">
        <x:v>QS/PMO</x:v>
      </x:c>
    </x:row>
    <x:row r="7">
      <x:c r="A7" t="str">
        <x:v>B20260813_04</x:v>
      </x:c>
      <x:c r="B7" t="str">
        <x:v>SRC04</x:v>
      </x:c>
      <x:c r="C7" s="29" t="n">
        <x:v>46247</x:v>
      </x:c>
      <x:c r="D7" s="29" t="n">
        <x:v>46246</x:v>
      </x:c>
      <x:c r="E7" t="str">
        <x:v>CTM</x:v>
      </x:c>
      <x:c r="F7" t="str">
        <x:v>-</x:v>
      </x:c>
      <x:c r="G7" t="str">
        <x:v>BANK_CTM_20260812</x:v>
      </x:c>
      <x:c r="H7" t="str">
        <x:v>Cash</x:v>
      </x:c>
      <x:c r="I7" t="n">
        <x:v>420</x:v>
      </x:c>
      <x:c r="J7" t="n">
        <x:v>420</x:v>
      </x:c>
      <x:c r="K7" t="n">
        <x:v>0</x:v>
      </x:c>
      <x:c r="L7" t="n">
        <x:v>0</x:v>
      </x:c>
      <x:c r="M7" s="59" t="n">
        <x:v>650</x:v>
      </x:c>
      <x:c r="N7" s="59" t="n">
        <x:v>650</x:v>
      </x:c>
      <x:c r="O7" s="59" t="n">
        <x:v>0</x:v>
      </x:c>
      <x:c r="P7" t="n">
        <x:v>100</x:v>
      </x:c>
      <x:c r="Q7" t="str">
        <x:v>Đã duyệt</x:v>
      </x:c>
      <x:c r="R7" t="str">
        <x:v>Treasury</x:v>
      </x:c>
    </x:row>
    <x:row r="8">
      <x:c r="A8" t="str">
        <x:v>B20260813_05</x:v>
      </x:c>
      <x:c r="B8" t="str">
        <x:v>SRC06</x:v>
      </x:c>
      <x:c r="C8" s="29" t="n">
        <x:v>46247</x:v>
      </x:c>
      <x:c r="D8" s="29" t="n">
        <x:v>46242</x:v>
      </x:c>
      <x:c r="E8" t="str">
        <x:v>SPV02</x:v>
      </x:c>
      <x:c r="F8" t="str">
        <x:v>DA02</x:v>
      </x:c>
      <x:c r="G8" t="str">
        <x:v>LEGAL_DA02_20260808</x:v>
      </x:c>
      <x:c r="H8" t="str">
        <x:v>Legal</x:v>
      </x:c>
      <x:c r="I8" t="n">
        <x:v>48</x:v>
      </x:c>
      <x:c r="J8" t="n">
        <x:v>46</x:v>
      </x:c>
      <x:c r="K8" t="n">
        <x:v>2</x:v>
      </x:c>
      <x:c r="L8" t="n">
        <x:v>0</x:v>
      </x:c>
      <x:c r="M8" s="59" t="n">
        <x:v>46</x:v>
      </x:c>
      <x:c r="N8" s="59" t="n">
        <x:v>48</x:v>
      </x:c>
      <x:c r="O8" s="59" t="n">
        <x:v>-2</x:v>
      </x:c>
      <x:c r="P8" t="n">
        <x:v>95.83</x:v>
      </x:c>
      <x:c r="Q8" t="str">
        <x:v>Bị chặn</x:v>
      </x:c>
      <x:c r="R8" t="str">
        <x:v>Pháp chế</x:v>
      </x:c>
    </x:row>
  </x:sheetData>
  <x:mergeCells>
    <x:mergeCell ref="A1:R1"/>
  </x:mergeCell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sheetData>
    <x:row r="1">
      <x:c r="A1" s="140" t="str">
        <x:v>59_Doi_chieu_Du_lieu – Reconciliation nguồn ↔ Master ↔ BCTC</x:v>
      </x:c>
      <x:c r="B1" s="140"/>
      <x:c r="C1" s="140"/>
      <x:c r="D1" s="140"/>
      <x:c r="E1" s="140"/>
      <x:c r="F1" s="140"/>
      <x:c r="G1" s="140"/>
      <x:c r="H1" s="140"/>
      <x:c r="I1" s="140"/>
      <x:c r="J1" s="140"/>
      <x:c r="K1" s="140"/>
      <x:c r="L1" s="140"/>
      <x:c r="M1" s="140"/>
      <x:c r="N1" s="140"/>
      <x:c r="O1" s="140"/>
      <x:c r="P1" s="140"/>
      <x:c r="Q1" s="140"/>
    </x:row>
    <x:row r="3">
      <x:c r="A3" s="145" t="str">
        <x:v>Mã đối chiếu</x:v>
      </x:c>
      <x:c r="B3" s="145" t="str">
        <x:v>Kỳ</x:v>
      </x:c>
      <x:c r="C3" s="145" t="str">
        <x:v>Pháp nhân/Dự án</x:v>
      </x:c>
      <x:c r="D3" s="145" t="str">
        <x:v>Chỉ tiêu</x:v>
      </x:c>
      <x:c r="E3" s="145" t="str">
        <x:v>Nguồn A</x:v>
      </x:c>
      <x:c r="F3" s="145" t="str">
        <x:v>Giá trị A</x:v>
      </x:c>
      <x:c r="G3" s="145" t="str">
        <x:v>Nguồn B</x:v>
      </x:c>
      <x:c r="H3" s="145" t="str">
        <x:v>Giá trị B</x:v>
      </x:c>
      <x:c r="I3" s="145" t="str">
        <x:v>Chênh lệch</x:v>
      </x:c>
      <x:c r="J3" s="145" t="str">
        <x:v>Ngưỡng</x:v>
      </x:c>
      <x:c r="K3" s="145" t="str">
        <x:v>Trạng thái</x:v>
      </x:c>
      <x:c r="L3" s="145" t="str">
        <x:v>Phụ trách</x:v>
      </x:c>
      <x:c r="M3" s="145" t="str">
        <x:v>Hạn xử lý</x:v>
      </x:c>
      <x:c r="N3" s="145" t="str">
        <x:v>Nguyên nhân</x:v>
      </x:c>
      <x:c r="O3" s="145" t="str">
        <x:v>Hành động</x:v>
      </x:c>
      <x:c r="P3" s="145" t="str">
        <x:v>Bằng chứng</x:v>
      </x:c>
      <x:c r="Q3" s="145" t="str">
        <x:v>Ghi chú</x:v>
      </x:c>
    </x:row>
    <x:row r="4">
      <x:c r="A4" t="str">
        <x:v>REC001</x:v>
      </x:c>
      <x:c r="B4" s="29" t="n">
        <x:v>46234</x:v>
      </x:c>
      <x:c r="C4" t="str">
        <x:v>SPV04 / DA04</x:v>
      </x:c>
      <x:c r="D4" t="str">
        <x:v>Doanh thu</x:v>
      </x:c>
      <x:c r="E4" t="str">
        <x:v>CRM Sales</x:v>
      </x:c>
      <x:c r="F4" s="59" t="n">
        <x:v>2100</x:v>
      </x:c>
      <x:c r="G4" s="59" t="str">
        <x:v>Actual Master</x:v>
      </x:c>
      <x:c r="H4" s="59" t="n">
        <x:v>2100</x:v>
      </x:c>
      <x:c r="I4" s="59" t="n">
        <x:v>0</x:v>
      </x:c>
      <x:c r="J4" s="59" t="n">
        <x:v>0.1</x:v>
      </x:c>
      <x:c r="K4" t="str">
        <x:v>OK</x:v>
      </x:c>
      <x:c r="L4" t="str">
        <x:v>FP&amp;A</x:v>
      </x:c>
      <x:c r="M4" s="29" t="n">
        <x:v>46242</x:v>
      </x:c>
      <x:c r="N4" t="str"/>
      <x:c r="O4" t="str"/>
      <x:c r="P4" t="str"/>
      <x:c r="Q4" t="str"/>
    </x:row>
    <x:row r="5">
      <x:c r="A5" t="str">
        <x:v>REC002</x:v>
      </x:c>
      <x:c r="B5" s="29" t="n">
        <x:v>46234</x:v>
      </x:c>
      <x:c r="C5" t="str">
        <x:v>SPV03 / DA03</x:v>
      </x:c>
      <x:c r="D5" t="str">
        <x:v>CAPEX</x:v>
      </x:c>
      <x:c r="E5" t="str">
        <x:v>PMIS/QS</x:v>
      </x:c>
      <x:c r="F5" s="59" t="n">
        <x:v>952</x:v>
      </x:c>
      <x:c r="G5" s="59" t="str">
        <x:v>Actual Master</x:v>
      </x:c>
      <x:c r="H5" s="59" t="n">
        <x:v>952</x:v>
      </x:c>
      <x:c r="I5" s="59" t="n">
        <x:v>0</x:v>
      </x:c>
      <x:c r="J5" s="59" t="n">
        <x:v>0.1</x:v>
      </x:c>
      <x:c r="K5" t="str">
        <x:v>OK</x:v>
      </x:c>
      <x:c r="L5" t="str">
        <x:v>PMO</x:v>
      </x:c>
      <x:c r="M5" s="29" t="n">
        <x:v>46242</x:v>
      </x:c>
      <x:c r="N5" t="str"/>
      <x:c r="O5" t="str"/>
      <x:c r="P5" t="str"/>
      <x:c r="Q5" t="str"/>
    </x:row>
    <x:row r="6">
      <x:c r="A6" t="str">
        <x:v>REC003</x:v>
      </x:c>
      <x:c r="B6" s="29" t="n">
        <x:v>46234</x:v>
      </x:c>
      <x:c r="C6" t="str">
        <x:v>CTM</x:v>
      </x:c>
      <x:c r="D6" t="str">
        <x:v>Tiền</x:v>
      </x:c>
      <x:c r="E6" t="str">
        <x:v>Bank</x:v>
      </x:c>
      <x:c r="F6" s="59" t="n">
        <x:v>650</x:v>
      </x:c>
      <x:c r="G6" s="59" t="str">
        <x:v>Treasury Master</x:v>
      </x:c>
      <x:c r="H6" s="59" t="n">
        <x:v>650</x:v>
      </x:c>
      <x:c r="I6" s="59" t="n">
        <x:v>0</x:v>
      </x:c>
      <x:c r="J6" s="59" t="n">
        <x:v>0.1</x:v>
      </x:c>
      <x:c r="K6" t="str">
        <x:v>OK</x:v>
      </x:c>
      <x:c r="L6" t="str">
        <x:v>Treasury</x:v>
      </x:c>
      <x:c r="M6" s="29" t="n">
        <x:v>46242</x:v>
      </x:c>
      <x:c r="N6" t="str"/>
      <x:c r="O6" t="str"/>
      <x:c r="P6" t="str"/>
      <x:c r="Q6" t="str"/>
    </x:row>
    <x:row r="7">
      <x:c r="A7" t="str">
        <x:v>REC004</x:v>
      </x:c>
      <x:c r="B7" s="29" t="n">
        <x:v>46234</x:v>
      </x:c>
      <x:c r="C7" t="str">
        <x:v>SPV05 / DA05</x:v>
      </x:c>
      <x:c r="D7" t="str">
        <x:v>Dư nợ</x:v>
      </x:c>
      <x:c r="E7" t="str">
        <x:v>Bank confirmation</x:v>
      </x:c>
      <x:c r="F7" s="59" t="n">
        <x:v>2235</x:v>
      </x:c>
      <x:c r="G7" s="59" t="str">
        <x:v>Loan register</x:v>
      </x:c>
      <x:c r="H7" s="59" t="n">
        <x:v>2232</x:v>
      </x:c>
      <x:c r="I7" s="59" t="n">
        <x:v>3</x:v>
      </x:c>
      <x:c r="J7" s="59" t="n">
        <x:v>0.1</x:v>
      </x:c>
      <x:c r="K7" t="str">
        <x:v>LỆCH</x:v>
      </x:c>
      <x:c r="L7" t="str">
        <x:v>Treasury</x:v>
      </x:c>
      <x:c r="M7" s="29" t="n">
        <x:v>46248</x:v>
      </x:c>
      <x:c r="N7" t="str">
        <x:v>Timing/cut-off</x:v>
      </x:c>
      <x:c r="O7" t="str">
        <x:v>Rà bank ref</x:v>
      </x:c>
      <x:c r="P7" t="str"/>
      <x:c r="Q7" t="str"/>
    </x:row>
  </x:sheetData>
  <x:mergeCells>
    <x:mergeCell ref="A1:Q1"/>
  </x:mergeCell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sheetData>
    <x:row r="1">
      <x:c r="A1" s="140" t="str">
        <x:v>60_Audit_Trail – Nhật ký thay đổi dữ liệu, giả định và phê duyệt</x:v>
      </x:c>
      <x:c r="B1" s="140"/>
      <x:c r="C1" s="140"/>
      <x:c r="D1" s="140"/>
      <x:c r="E1" s="140"/>
      <x:c r="F1" s="140"/>
      <x:c r="G1" s="140"/>
      <x:c r="H1" s="140"/>
      <x:c r="I1" s="140"/>
      <x:c r="J1" s="140"/>
      <x:c r="K1" s="140"/>
      <x:c r="L1" s="140"/>
      <x:c r="M1" s="140"/>
      <x:c r="N1" s="140"/>
      <x:c r="O1" s="140"/>
      <x:c r="P1" s="140"/>
      <x:c r="Q1" s="140"/>
      <x:c r="R1" s="140"/>
    </x:row>
    <x:row r="3">
      <x:c r="A3" s="145" t="str">
        <x:v>Mã nhật ký</x:v>
      </x:c>
      <x:c r="B3" s="145" t="str">
        <x:v>Thời điểm</x:v>
      </x:c>
      <x:c r="C3" s="145" t="str">
        <x:v>Người dùng</x:v>
      </x:c>
      <x:c r="D3" s="145" t="str">
        <x:v>Vai trò</x:v>
      </x:c>
      <x:c r="E3" s="145" t="str">
        <x:v>Phân hệ/Sheet</x:v>
      </x:c>
      <x:c r="F3" s="145" t="str">
        <x:v>Đối tượng</x:v>
      </x:c>
      <x:c r="G3" s="145" t="str">
        <x:v>Khóa bản ghi</x:v>
      </x:c>
      <x:c r="H3" s="145" t="str">
        <x:v>Trường thay đổi</x:v>
      </x:c>
      <x:c r="I3" s="145" t="str">
        <x:v>Giá trị trước</x:v>
      </x:c>
      <x:c r="J3" s="145" t="str">
        <x:v>Giá trị sau</x:v>
      </x:c>
      <x:c r="K3" s="145" t="str">
        <x:v>Loại thay đổi</x:v>
      </x:c>
      <x:c r="L3" s="145" t="str">
        <x:v>Lý do</x:v>
      </x:c>
      <x:c r="M3" s="145" t="str">
        <x:v>Mã luồng phê duyệt</x:v>
      </x:c>
      <x:c r="N3" s="145" t="str">
        <x:v>Phiên bản</x:v>
      </x:c>
      <x:c r="O3" s="145" t="str">
        <x:v>Kỳ ảnh hưởng</x:v>
      </x:c>
      <x:c r="P3" s="145" t="str">
        <x:v>Mức độ</x:v>
      </x:c>
      <x:c r="Q3" s="145" t="str">
        <x:v>Trạng thái rà soát</x:v>
      </x:c>
      <x:c r="R3" s="145" t="str">
        <x:v>Ghi chú</x:v>
      </x:c>
    </x:row>
    <x:row r="4">
      <x:c r="A4" t="str">
        <x:v>AUD001</x:v>
      </x:c>
      <x:c r="B4" s="146" t="n">
        <x:v>46247.37847222222</x:v>
      </x:c>
      <x:c r="C4" t="str">
        <x:v>fpa01</x:v>
      </x:c>
      <x:c r="D4" t="str">
        <x:v>FP&amp;A</x:v>
      </x:c>
      <x:c r="E4" t="str">
        <x:v>43_Rolling_Forecast</x:v>
      </x:c>
      <x:c r="F4" t="str">
        <x:v>DA03</x:v>
      </x:c>
      <x:c r="G4" t="str">
        <x:v>DA03</x:v>
      </x:c>
      <x:c r="H4" t="str">
        <x:v>Chi phí Δ</x:v>
      </x:c>
      <x:c r="I4" t="str">
        <x:v>0%</x:v>
      </x:c>
      <x:c r="J4" t="str">
        <x:v>+5%</x:v>
      </x:c>
      <x:c r="K4" t="str">
        <x:v>Assumption</x:v>
      </x:c>
      <x:c r="L4" t="str">
        <x:v>EAC update</x:v>
      </x:c>
      <x:c r="M4" t="str">
        <x:v>WF003</x:v>
      </x:c>
      <x:c r="N4" t="str">
        <x:v>LE_2026_08</x:v>
      </x:c>
      <x:c r="O4" t="str">
        <x:v>FY2026</x:v>
      </x:c>
      <x:c r="P4" t="str">
        <x:v>Cao</x:v>
      </x:c>
      <x:c r="Q4" t="str">
        <x:v>Đã review</x:v>
      </x:c>
      <x:c r="R4" t="str"/>
    </x:row>
    <x:row r="5">
      <x:c r="A5" t="str">
        <x:v>AUD002</x:v>
      </x:c>
      <x:c r="B5" s="146" t="n">
        <x:v>46247.38888888889</x:v>
      </x:c>
      <x:c r="C5" t="str">
        <x:v>treasury01</x:v>
      </x:c>
      <x:c r="D5" t="str">
        <x:v>Treasury</x:v>
      </x:c>
      <x:c r="E5" t="str">
        <x:v>33_No_vay_Covenant</x:v>
      </x:c>
      <x:c r="F5" t="str">
        <x:v>LN05</x:v>
      </x:c>
      <x:c r="G5" t="str">
        <x:v>LN05</x:v>
      </x:c>
      <x:c r="H5" t="str">
        <x:v>DSCR</x:v>
      </x:c>
      <x:c r="I5" t="str">
        <x:v>1.20x</x:v>
      </x:c>
      <x:c r="J5" t="str">
        <x:v>1.18x</x:v>
      </x:c>
      <x:c r="K5" t="str">
        <x:v>Data update</x:v>
      </x:c>
      <x:c r="L5" t="str">
        <x:v>Bank model</x:v>
      </x:c>
      <x:c r="M5" t="str">
        <x:v>WF004</x:v>
      </x:c>
      <x:c r="N5" t="str">
        <x:v>LE_2026_08</x:v>
      </x:c>
      <x:c r="O5" t="str">
        <x:v>12T</x:v>
      </x:c>
      <x:c r="P5" t="str">
        <x:v>Cao</x:v>
      </x:c>
      <x:c r="Q5" t="str">
        <x:v>Đã review</x:v>
      </x:c>
      <x:c r="R5" t="str"/>
    </x:row>
    <x:row r="6">
      <x:c r="A6" t="str">
        <x:v>AUD003</x:v>
      </x:c>
      <x:c r="B6" s="146" t="n">
        <x:v>46247.427083333336</x:v>
      </x:c>
      <x:c r="C6" t="str">
        <x:v>legal01</x:v>
      </x:c>
      <x:c r="D6" t="str">
        <x:v>Pháp chế</x:v>
      </x:c>
      <x:c r="E6" t="str">
        <x:v>14_Duong_gang_PL</x:v>
      </x:c>
      <x:c r="F6" t="str">
        <x:v>DA02</x:v>
      </x:c>
      <x:c r="G6" t="str">
        <x:v>DA02-LG07</x:v>
      </x:c>
      <x:c r="H6" t="str">
        <x:v>Deadline</x:v>
      </x:c>
      <x:c r="I6" t="str">
        <x:v>20/08/2026</x:v>
      </x:c>
      <x:c r="J6" t="str">
        <x:v>27/08/2026</x:v>
      </x:c>
      <x:c r="K6" t="str">
        <x:v>Schedule</x:v>
      </x:c>
      <x:c r="L6" t="str">
        <x:v>Bổ sung hồ sơ</x:v>
      </x:c>
      <x:c r="M6" t="str">
        <x:v>WF002</x:v>
      </x:c>
      <x:c r="N6" t="str">
        <x:v>LE_2026_08</x:v>
      </x:c>
      <x:c r="O6" t="str">
        <x:v>FY2026</x:v>
      </x:c>
      <x:c r="P6" t="str">
        <x:v>Rất cao</x:v>
      </x:c>
      <x:c r="Q6" t="str">
        <x:v>Chờ review</x:v>
      </x:c>
      <x:c r="R6" t="str"/>
    </x:row>
  </x:sheetData>
  <x:mergeCells>
    <x:mergeCell ref="A1:R1"/>
  </x:mergeCell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sheetData>
    <x:row r="1">
      <x:c r="A1" s="140" t="str">
        <x:v>61_Phan_quyen – Vai trò, quyền truy cập &amp; segregation of duties</x:v>
      </x:c>
      <x:c r="B1" s="140"/>
      <x:c r="C1" s="140"/>
      <x:c r="D1" s="140"/>
      <x:c r="E1" s="140"/>
      <x:c r="F1" s="140"/>
      <x:c r="G1" s="140"/>
      <x:c r="H1" s="140"/>
      <x:c r="I1" s="140"/>
      <x:c r="J1" s="140"/>
      <x:c r="K1" s="140"/>
      <x:c r="L1" s="140"/>
      <x:c r="M1" s="140"/>
      <x:c r="N1" s="140"/>
      <x:c r="O1" s="140"/>
      <x:c r="P1" s="140"/>
      <x:c r="Q1" s="140"/>
      <x:c r="R1" s="140"/>
      <x:c r="S1" s="140"/>
    </x:row>
    <x:row r="3">
      <x:c r="A3" s="145" t="str">
        <x:v>Mã vai trò</x:v>
      </x:c>
      <x:c r="B3" s="145" t="str">
        <x:v>Vai trò</x:v>
      </x:c>
      <x:c r="C3" s="145" t="str">
        <x:v>Phạm vi pháp nhân</x:v>
      </x:c>
      <x:c r="D3" s="145" t="str">
        <x:v>Phạm vi dự án</x:v>
      </x:c>
      <x:c r="E3" s="145" t="str">
        <x:v>Xem dữ liệu</x:v>
      </x:c>
      <x:c r="F3" s="145" t="str">
        <x:v>Nhập/Khu vực chờ</x:v>
      </x:c>
      <x:c r="G3" s="145" t="str">
        <x:v>Chuyển số thực tế</x:v>
      </x:c>
      <x:c r="H3" s="145" t="str">
        <x:v>Sửa dự báo</x:v>
      </x:c>
      <x:c r="I3" s="145" t="str">
        <x:v>Sửa pháp lý</x:v>
      </x:c>
      <x:c r="J3" s="145" t="str">
        <x:v>Sửa CAPEX</x:v>
      </x:c>
      <x:c r="K3" s="145" t="str">
        <x:v>Sửa khoản vay</x:v>
      </x:c>
      <x:c r="L3" s="145" t="str">
        <x:v>Duyệt luồng</x:v>
      </x:c>
      <x:c r="M3" s="145" t="str">
        <x:v>Khóa kỳ</x:v>
      </x:c>
      <x:c r="N3" s="145" t="str">
        <x:v>Khóa phiên bản</x:v>
      </x:c>
      <x:c r="O3" s="145" t="str">
        <x:v>Xem BCTC hợp nhất</x:v>
      </x:c>
      <x:c r="P3" s="145" t="str">
        <x:v>Xuất báo cáo HĐQT</x:v>
      </x:c>
      <x:c r="Q3" s="145" t="str">
        <x:v>Quản trị ánh xạ</x:v>
      </x:c>
      <x:c r="R3" s="145" t="str">
        <x:v>Rà soát nhật ký</x:v>
      </x:c>
      <x:c r="S3" s="145" t="str">
        <x:v>Ghi chú</x:v>
      </x:c>
    </x:row>
    <x:row r="4">
      <x:c r="A4" t="str">
        <x:v>R01</x:v>
      </x:c>
      <x:c r="B4" t="str">
        <x:v>TGĐ</x:v>
      </x:c>
      <x:c r="C4" t="str">
        <x:v>Tất cả</x:v>
      </x:c>
      <x:c r="D4" t="str">
        <x:v>Tất cả</x:v>
      </x:c>
      <x:c r="E4" t="str">
        <x:v>Có</x:v>
      </x:c>
      <x:c r="F4" t="str">
        <x:v>Không</x:v>
      </x:c>
      <x:c r="G4" t="str">
        <x:v>Không</x:v>
      </x:c>
      <x:c r="H4" t="str">
        <x:v>Không</x:v>
      </x:c>
      <x:c r="I4" t="str">
        <x:v>Không</x:v>
      </x:c>
      <x:c r="J4" t="str">
        <x:v>Không</x:v>
      </x:c>
      <x:c r="K4" t="str">
        <x:v>Không</x:v>
      </x:c>
      <x:c r="L4" t="str">
        <x:v>Có</x:v>
      </x:c>
      <x:c r="M4" t="str">
        <x:v>Không</x:v>
      </x:c>
      <x:c r="N4" t="str">
        <x:v>Có</x:v>
      </x:c>
      <x:c r="O4" t="str">
        <x:v>Có</x:v>
      </x:c>
      <x:c r="P4" t="str">
        <x:v>Có</x:v>
      </x:c>
      <x:c r="Q4" t="str">
        <x:v>Không</x:v>
      </x:c>
      <x:c r="R4" t="str">
        <x:v>Có</x:v>
      </x:c>
      <x:c r="S4" t="str">
        <x:v>Không trực tiếp sửa số liệu</x:v>
      </x:c>
    </x:row>
    <x:row r="5">
      <x:c r="A5" t="str">
        <x:v>R02</x:v>
      </x:c>
      <x:c r="B5" t="str">
        <x:v>CFO</x:v>
      </x:c>
      <x:c r="C5" t="str">
        <x:v>Tất cả</x:v>
      </x:c>
      <x:c r="D5" t="str">
        <x:v>Tất cả</x:v>
      </x:c>
      <x:c r="E5" t="str">
        <x:v>Có</x:v>
      </x:c>
      <x:c r="F5" t="str">
        <x:v>Có</x:v>
      </x:c>
      <x:c r="G5" t="str">
        <x:v>Có</x:v>
      </x:c>
      <x:c r="H5" t="str">
        <x:v>Có</x:v>
      </x:c>
      <x:c r="I5" t="str">
        <x:v>Không</x:v>
      </x:c>
      <x:c r="J5" t="str">
        <x:v>Có</x:v>
      </x:c>
      <x:c r="K5" t="str">
        <x:v>Có</x:v>
      </x:c>
      <x:c r="L5" t="str">
        <x:v>Có</x:v>
      </x:c>
      <x:c r="M5" t="str">
        <x:v>Có</x:v>
      </x:c>
      <x:c r="N5" t="str">
        <x:v>Có</x:v>
      </x:c>
      <x:c r="O5" t="str">
        <x:v>Có</x:v>
      </x:c>
      <x:c r="P5" t="str">
        <x:v>Có</x:v>
      </x:c>
      <x:c r="Q5" t="str">
        <x:v>Có</x:v>
      </x:c>
      <x:c r="R5" t="str">
        <x:v>Có</x:v>
      </x:c>
      <x:c r="S5" t="str">
        <x:v>Chủ hệ thống tài chính</x:v>
      </x:c>
    </x:row>
    <x:row r="6">
      <x:c r="A6" t="str">
        <x:v>R03</x:v>
      </x:c>
      <x:c r="B6" t="str">
        <x:v>Kế toán trưởng</x:v>
      </x:c>
      <x:c r="C6" t="str">
        <x:v>Tất cả</x:v>
      </x:c>
      <x:c r="D6" t="str">
        <x:v>Tất cả</x:v>
      </x:c>
      <x:c r="E6" t="str">
        <x:v>Có</x:v>
      </x:c>
      <x:c r="F6" t="str">
        <x:v>Có</x:v>
      </x:c>
      <x:c r="G6" t="str">
        <x:v>Có</x:v>
      </x:c>
      <x:c r="H6" t="str">
        <x:v>Không</x:v>
      </x:c>
      <x:c r="I6" t="str">
        <x:v>Không</x:v>
      </x:c>
      <x:c r="J6" t="str">
        <x:v>Không</x:v>
      </x:c>
      <x:c r="K6" t="str">
        <x:v>Không</x:v>
      </x:c>
      <x:c r="L6" t="str">
        <x:v>Có</x:v>
      </x:c>
      <x:c r="M6" t="str">
        <x:v>Có</x:v>
      </x:c>
      <x:c r="N6" t="str">
        <x:v>Không</x:v>
      </x:c>
      <x:c r="O6" t="str">
        <x:v>Có</x:v>
      </x:c>
      <x:c r="P6" t="str">
        <x:v>Có</x:v>
      </x:c>
      <x:c r="Q6" t="str">
        <x:v>Có</x:v>
      </x:c>
      <x:c r="R6" t="str">
        <x:v>Có</x:v>
      </x:c>
      <x:c r="S6" t="str">
        <x:v>Owner Actual/BCTC</x:v>
      </x:c>
    </x:row>
    <x:row r="7">
      <x:c r="A7" t="str">
        <x:v>R04</x:v>
      </x:c>
      <x:c r="B7" t="str">
        <x:v>FP&amp;A</x:v>
      </x:c>
      <x:c r="C7" t="str">
        <x:v>Tất cả</x:v>
      </x:c>
      <x:c r="D7" t="str">
        <x:v>Tất cả</x:v>
      </x:c>
      <x:c r="E7" t="str">
        <x:v>Có</x:v>
      </x:c>
      <x:c r="F7" t="str">
        <x:v>Có</x:v>
      </x:c>
      <x:c r="G7" t="str">
        <x:v>Không</x:v>
      </x:c>
      <x:c r="H7" t="str">
        <x:v>Có</x:v>
      </x:c>
      <x:c r="I7" t="str">
        <x:v>Không</x:v>
      </x:c>
      <x:c r="J7" t="str">
        <x:v>Không</x:v>
      </x:c>
      <x:c r="K7" t="str">
        <x:v>Không</x:v>
      </x:c>
      <x:c r="L7" t="str">
        <x:v>Không</x:v>
      </x:c>
      <x:c r="M7" t="str">
        <x:v>Không</x:v>
      </x:c>
      <x:c r="N7" t="str">
        <x:v>Không</x:v>
      </x:c>
      <x:c r="O7" t="str">
        <x:v>Có</x:v>
      </x:c>
      <x:c r="P7" t="str">
        <x:v>Có</x:v>
      </x:c>
      <x:c r="Q7" t="str">
        <x:v>Có</x:v>
      </x:c>
      <x:c r="R7" t="str">
        <x:v>Không</x:v>
      </x:c>
      <x:c r="S7" t="str">
        <x:v>Owner Budget/Forecast/LE</x:v>
      </x:c>
    </x:row>
    <x:row r="8">
      <x:c r="A8" t="str">
        <x:v>R05</x:v>
      </x:c>
      <x:c r="B8" t="str">
        <x:v>Treasury</x:v>
      </x:c>
      <x:c r="C8" t="str">
        <x:v>Tất cả</x:v>
      </x:c>
      <x:c r="D8" t="str">
        <x:v>Tất cả</x:v>
      </x:c>
      <x:c r="E8" t="str">
        <x:v>Có</x:v>
      </x:c>
      <x:c r="F8" t="str">
        <x:v>Có</x:v>
      </x:c>
      <x:c r="G8" t="str">
        <x:v>Không</x:v>
      </x:c>
      <x:c r="H8" t="str">
        <x:v>Không</x:v>
      </x:c>
      <x:c r="I8" t="str">
        <x:v>Không</x:v>
      </x:c>
      <x:c r="J8" t="str">
        <x:v>Không</x:v>
      </x:c>
      <x:c r="K8" t="str">
        <x:v>Có</x:v>
      </x:c>
      <x:c r="L8" t="str">
        <x:v>Không</x:v>
      </x:c>
      <x:c r="M8" t="str">
        <x:v>Không</x:v>
      </x:c>
      <x:c r="N8" t="str">
        <x:v>Không</x:v>
      </x:c>
      <x:c r="O8" t="str">
        <x:v>Có</x:v>
      </x:c>
      <x:c r="P8" t="str">
        <x:v>Có</x:v>
      </x:c>
      <x:c r="Q8" t="str">
        <x:v>Không</x:v>
      </x:c>
      <x:c r="R8" t="str">
        <x:v>Không</x:v>
      </x:c>
      <x:c r="S8" t="str">
        <x:v>Owner cash/debt/covenant</x:v>
      </x:c>
    </x:row>
    <x:row r="9">
      <x:c r="A9" t="str">
        <x:v>R06</x:v>
      </x:c>
      <x:c r="B9" t="str">
        <x:v>Pháp chế</x:v>
      </x:c>
      <x:c r="C9" t="str">
        <x:v>Theo phân công</x:v>
      </x:c>
      <x:c r="D9" t="str">
        <x:v>Theo phân công</x:v>
      </x:c>
      <x:c r="E9" t="str">
        <x:v>Có</x:v>
      </x:c>
      <x:c r="F9" t="str">
        <x:v>Có</x:v>
      </x:c>
      <x:c r="G9" t="str">
        <x:v>Không</x:v>
      </x:c>
      <x:c r="H9" t="str">
        <x:v>Không</x:v>
      </x:c>
      <x:c r="I9" t="str">
        <x:v>Có</x:v>
      </x:c>
      <x:c r="J9" t="str">
        <x:v>Không</x:v>
      </x:c>
      <x:c r="K9" t="str">
        <x:v>Không</x:v>
      </x:c>
      <x:c r="L9" t="str">
        <x:v>Không</x:v>
      </x:c>
      <x:c r="M9" t="str">
        <x:v>Không</x:v>
      </x:c>
      <x:c r="N9" t="str">
        <x:v>Không</x:v>
      </x:c>
      <x:c r="O9" t="str">
        <x:v>Không</x:v>
      </x:c>
      <x:c r="P9" t="str">
        <x:v>Không</x:v>
      </x:c>
      <x:c r="Q9" t="str">
        <x:v>Không</x:v>
      </x:c>
      <x:c r="R9" t="str">
        <x:v>Không</x:v>
      </x:c>
      <x:c r="S9" t="str">
        <x:v>Owner legal tracker</x:v>
      </x:c>
    </x:row>
    <x:row r="10">
      <x:c r="A10" t="str">
        <x:v>R07</x:v>
      </x:c>
      <x:c r="B10" t="str">
        <x:v>QLDA/PMO</x:v>
      </x:c>
      <x:c r="C10" t="str">
        <x:v>Theo phân công</x:v>
      </x:c>
      <x:c r="D10" t="str">
        <x:v>Theo phân công</x:v>
      </x:c>
      <x:c r="E10" t="str">
        <x:v>Có</x:v>
      </x:c>
      <x:c r="F10" t="str">
        <x:v>Có</x:v>
      </x:c>
      <x:c r="G10" t="str">
        <x:v>Không</x:v>
      </x:c>
      <x:c r="H10" t="str">
        <x:v>Không</x:v>
      </x:c>
      <x:c r="I10" t="str">
        <x:v>Không</x:v>
      </x:c>
      <x:c r="J10" t="str">
        <x:v>Có</x:v>
      </x:c>
      <x:c r="K10" t="str">
        <x:v>Không</x:v>
      </x:c>
      <x:c r="L10" t="str">
        <x:v>Không</x:v>
      </x:c>
      <x:c r="M10" t="str">
        <x:v>Không</x:v>
      </x:c>
      <x:c r="N10" t="str">
        <x:v>Không</x:v>
      </x:c>
      <x:c r="O10" t="str">
        <x:v>Không</x:v>
      </x:c>
      <x:c r="P10" t="str">
        <x:v>Không</x:v>
      </x:c>
      <x:c r="Q10" t="str">
        <x:v>Không</x:v>
      </x:c>
      <x:c r="R10" t="str">
        <x:v>Không</x:v>
      </x:c>
      <x:c r="S10" t="str">
        <x:v>Owner progress/CAPEX</x:v>
      </x:c>
    </x:row>
    <x:row r="11">
      <x:c r="A11" t="str">
        <x:v>R08</x:v>
      </x:c>
      <x:c r="B11" t="str">
        <x:v>Kiểm toán nội bộ</x:v>
      </x:c>
      <x:c r="C11" t="str">
        <x:v>Tất cả</x:v>
      </x:c>
      <x:c r="D11" t="str">
        <x:v>Tất cả</x:v>
      </x:c>
      <x:c r="E11" t="str">
        <x:v>Có</x:v>
      </x:c>
      <x:c r="F11" t="str">
        <x:v>Không</x:v>
      </x:c>
      <x:c r="G11" t="str">
        <x:v>Không</x:v>
      </x:c>
      <x:c r="H11" t="str">
        <x:v>Không</x:v>
      </x:c>
      <x:c r="I11" t="str">
        <x:v>Không</x:v>
      </x:c>
      <x:c r="J11" t="str">
        <x:v>Không</x:v>
      </x:c>
      <x:c r="K11" t="str">
        <x:v>Không</x:v>
      </x:c>
      <x:c r="L11" t="str">
        <x:v>Không</x:v>
      </x:c>
      <x:c r="M11" t="str">
        <x:v>Không</x:v>
      </x:c>
      <x:c r="N11" t="str">
        <x:v>Không</x:v>
      </x:c>
      <x:c r="O11" t="str">
        <x:v>Có</x:v>
      </x:c>
      <x:c r="P11" t="str">
        <x:v>Có</x:v>
      </x:c>
      <x:c r="Q11" t="str">
        <x:v>Không</x:v>
      </x:c>
      <x:c r="R11" t="str">
        <x:v>Có</x:v>
      </x:c>
      <x:c r="S11" t="str">
        <x:v>Read-only + audit</x:v>
      </x:c>
    </x:row>
  </x:sheetData>
  <x:mergeCells>
    <x:mergeCell ref="A1:S1"/>
  </x:mergeCell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sheetData>
    <x:row r="1">
      <x:c r="A1" s="140" t="str">
        <x:v>62_Khoa_Ky – Đóng/mở kỳ và khóa Actual</x:v>
      </x:c>
      <x:c r="B1" s="140"/>
      <x:c r="C1" s="140"/>
      <x:c r="D1" s="140"/>
      <x:c r="E1" s="140"/>
      <x:c r="F1" s="140"/>
      <x:c r="G1" s="140"/>
      <x:c r="H1" s="140"/>
      <x:c r="I1" s="140"/>
      <x:c r="J1" s="140"/>
      <x:c r="K1" s="140"/>
      <x:c r="L1" s="140"/>
      <x:c r="M1" s="140"/>
      <x:c r="N1" s="140"/>
      <x:c r="O1" s="140"/>
      <x:c r="P1" s="140"/>
    </x:row>
    <x:row r="3">
      <x:c r="A3" s="145" t="str">
        <x:v>Kỳ</x:v>
      </x:c>
      <x:c r="B3" s="145" t="str">
        <x:v>Pháp nhân</x:v>
      </x:c>
      <x:c r="C3" s="145" t="str">
        <x:v>Trạng thái số thực tế</x:v>
      </x:c>
      <x:c r="D3" s="145" t="str">
        <x:v>Ngày khóa mềm</x:v>
      </x:c>
      <x:c r="E3" s="145" t="str">
        <x:v>Ngày khóa cứng</x:v>
      </x:c>
      <x:c r="F3" s="145" t="str">
        <x:v>Người khóa</x:v>
      </x:c>
      <x:c r="G3" s="145" t="str">
        <x:v>Người phê duyệt mở lại</x:v>
      </x:c>
      <x:c r="H3" s="145" t="str">
        <x:v>Cho nhập?</x:v>
      </x:c>
      <x:c r="I3" s="145" t="str">
        <x:v>Cho chuyển vào Master?</x:v>
      </x:c>
      <x:c r="J3" s="145" t="str">
        <x:v>Cho sửa số thực tế?</x:v>
      </x:c>
      <x:c r="K3" s="145" t="str">
        <x:v>Cho hạch toán điều chỉnh?</x:v>
      </x:c>
      <x:c r="L3" s="145" t="str">
        <x:v>Cửa sổ điều chỉnh</x:v>
      </x:c>
      <x:c r="M3" s="145" t="str">
        <x:v>Lý do mở lại</x:v>
      </x:c>
      <x:c r="N3" s="145" t="str">
        <x:v>Mã luồng</x:v>
      </x:c>
      <x:c r="O3" s="145" t="str">
        <x:v>Yêu cầu nhật ký?</x:v>
      </x:c>
      <x:c r="P3" s="145" t="str">
        <x:v>Ghi chú</x:v>
      </x:c>
    </x:row>
    <x:row r="4">
      <x:c r="A4" s="58" t="n">
        <x:v>46234</x:v>
      </x:c>
      <x:c r="B4" t="str">
        <x:v>CTM</x:v>
      </x:c>
      <x:c r="C4" t="str">
        <x:v>Đã khóa</x:v>
      </x:c>
      <x:c r="D4" s="29" t="n">
        <x:v>46239</x:v>
      </x:c>
      <x:c r="E4" s="29" t="n">
        <x:v>46242</x:v>
      </x:c>
      <x:c r="F4" t="str">
        <x:v>KTT</x:v>
      </x:c>
      <x:c r="G4" t="str">
        <x:v>CFO</x:v>
      </x:c>
      <x:c r="H4" t="str">
        <x:v>Không</x:v>
      </x:c>
      <x:c r="I4" t="str">
        <x:v>Không</x:v>
      </x:c>
      <x:c r="J4" t="str">
        <x:v>Không</x:v>
      </x:c>
      <x:c r="K4" t="str">
        <x:v>Có</x:v>
      </x:c>
      <x:c r="L4" t="str">
        <x:v>D+10</x:v>
      </x:c>
      <x:c r="M4" t="str"/>
      <x:c r="N4" t="str">
        <x:v>WF001</x:v>
      </x:c>
      <x:c r="O4" t="str">
        <x:v>Có</x:v>
      </x:c>
      <x:c r="P4" t="str">
        <x:v>Actual Jul chính thức</x:v>
      </x:c>
    </x:row>
    <x:row r="5">
      <x:c r="A5" s="58" t="n">
        <x:v>46234</x:v>
      </x:c>
      <x:c r="B5" t="str">
        <x:v>SPV01</x:v>
      </x:c>
      <x:c r="C5" t="str">
        <x:v>Đã khóa</x:v>
      </x:c>
      <x:c r="D5" s="29" t="n">
        <x:v>46239</x:v>
      </x:c>
      <x:c r="E5" s="29" t="n">
        <x:v>46242</x:v>
      </x:c>
      <x:c r="F5" t="str">
        <x:v>KTT</x:v>
      </x:c>
      <x:c r="G5" t="str">
        <x:v>CFO</x:v>
      </x:c>
      <x:c r="H5" t="str">
        <x:v>Không</x:v>
      </x:c>
      <x:c r="I5" t="str">
        <x:v>Không</x:v>
      </x:c>
      <x:c r="J5" t="str">
        <x:v>Không</x:v>
      </x:c>
      <x:c r="K5" t="str">
        <x:v>Có</x:v>
      </x:c>
      <x:c r="L5" t="str">
        <x:v>D+10</x:v>
      </x:c>
      <x:c r="M5" t="str"/>
      <x:c r="N5" t="str">
        <x:v>WF001</x:v>
      </x:c>
      <x:c r="O5" t="str">
        <x:v>Có</x:v>
      </x:c>
      <x:c r="P5" t="str">
        <x:v>Actual Jul chính thức</x:v>
      </x:c>
    </x:row>
    <x:row r="6">
      <x:c r="A6" s="58" t="n">
        <x:v>46234</x:v>
      </x:c>
      <x:c r="B6" t="str">
        <x:v>SPV02</x:v>
      </x:c>
      <x:c r="C6" t="str">
        <x:v>Đã khóa</x:v>
      </x:c>
      <x:c r="D6" s="29" t="n">
        <x:v>46239</x:v>
      </x:c>
      <x:c r="E6" s="29" t="n">
        <x:v>46242</x:v>
      </x:c>
      <x:c r="F6" t="str">
        <x:v>KTT</x:v>
      </x:c>
      <x:c r="G6" t="str">
        <x:v>CFO</x:v>
      </x:c>
      <x:c r="H6" t="str">
        <x:v>Không</x:v>
      </x:c>
      <x:c r="I6" t="str">
        <x:v>Không</x:v>
      </x:c>
      <x:c r="J6" t="str">
        <x:v>Không</x:v>
      </x:c>
      <x:c r="K6" t="str">
        <x:v>Có</x:v>
      </x:c>
      <x:c r="L6" t="str">
        <x:v>D+10</x:v>
      </x:c>
      <x:c r="M6" t="str"/>
      <x:c r="N6" t="str">
        <x:v>WF001</x:v>
      </x:c>
      <x:c r="O6" t="str">
        <x:v>Có</x:v>
      </x:c>
      <x:c r="P6" t="str">
        <x:v>Actual Jul chính thức</x:v>
      </x:c>
    </x:row>
    <x:row r="7">
      <x:c r="A7" s="58" t="n">
        <x:v>46234</x:v>
      </x:c>
      <x:c r="B7" t="str">
        <x:v>SPV03</x:v>
      </x:c>
      <x:c r="C7" t="str">
        <x:v>Đã khóa</x:v>
      </x:c>
      <x:c r="D7" s="29" t="n">
        <x:v>46239</x:v>
      </x:c>
      <x:c r="E7" s="29" t="n">
        <x:v>46242</x:v>
      </x:c>
      <x:c r="F7" t="str">
        <x:v>KTT</x:v>
      </x:c>
      <x:c r="G7" t="str">
        <x:v>CFO</x:v>
      </x:c>
      <x:c r="H7" t="str">
        <x:v>Không</x:v>
      </x:c>
      <x:c r="I7" t="str">
        <x:v>Không</x:v>
      </x:c>
      <x:c r="J7" t="str">
        <x:v>Không</x:v>
      </x:c>
      <x:c r="K7" t="str">
        <x:v>Có</x:v>
      </x:c>
      <x:c r="L7" t="str">
        <x:v>D+10</x:v>
      </x:c>
      <x:c r="M7" t="str"/>
      <x:c r="N7" t="str">
        <x:v>WF001</x:v>
      </x:c>
      <x:c r="O7" t="str">
        <x:v>Có</x:v>
      </x:c>
      <x:c r="P7" t="str">
        <x:v>Actual Jul chính thức</x:v>
      </x:c>
    </x:row>
    <x:row r="8">
      <x:c r="A8" s="58" t="n">
        <x:v>46234</x:v>
      </x:c>
      <x:c r="B8" t="str">
        <x:v>SPV04</x:v>
      </x:c>
      <x:c r="C8" t="str">
        <x:v>Đã khóa</x:v>
      </x:c>
      <x:c r="D8" s="29" t="n">
        <x:v>46239</x:v>
      </x:c>
      <x:c r="E8" s="29" t="n">
        <x:v>46242</x:v>
      </x:c>
      <x:c r="F8" t="str">
        <x:v>KTT</x:v>
      </x:c>
      <x:c r="G8" t="str">
        <x:v>CFO</x:v>
      </x:c>
      <x:c r="H8" t="str">
        <x:v>Không</x:v>
      </x:c>
      <x:c r="I8" t="str">
        <x:v>Không</x:v>
      </x:c>
      <x:c r="J8" t="str">
        <x:v>Không</x:v>
      </x:c>
      <x:c r="K8" t="str">
        <x:v>Có</x:v>
      </x:c>
      <x:c r="L8" t="str">
        <x:v>D+10</x:v>
      </x:c>
      <x:c r="M8" t="str"/>
      <x:c r="N8" t="str">
        <x:v>WF001</x:v>
      </x:c>
      <x:c r="O8" t="str">
        <x:v>Có</x:v>
      </x:c>
      <x:c r="P8" t="str">
        <x:v>Actual Jul chính thức</x:v>
      </x:c>
    </x:row>
    <x:row r="9">
      <x:c r="A9" s="58" t="n">
        <x:v>46234</x:v>
      </x:c>
      <x:c r="B9" t="str">
        <x:v>SPV05</x:v>
      </x:c>
      <x:c r="C9" t="str">
        <x:v>Đã khóa</x:v>
      </x:c>
      <x:c r="D9" s="29" t="n">
        <x:v>46239</x:v>
      </x:c>
      <x:c r="E9" s="29" t="n">
        <x:v>46242</x:v>
      </x:c>
      <x:c r="F9" t="str">
        <x:v>KTT</x:v>
      </x:c>
      <x:c r="G9" t="str">
        <x:v>CFO</x:v>
      </x:c>
      <x:c r="H9" t="str">
        <x:v>Không</x:v>
      </x:c>
      <x:c r="I9" t="str">
        <x:v>Không</x:v>
      </x:c>
      <x:c r="J9" t="str">
        <x:v>Không</x:v>
      </x:c>
      <x:c r="K9" t="str">
        <x:v>Có</x:v>
      </x:c>
      <x:c r="L9" t="str">
        <x:v>D+10</x:v>
      </x:c>
      <x:c r="M9" t="str"/>
      <x:c r="N9" t="str">
        <x:v>WF001</x:v>
      </x:c>
      <x:c r="O9" t="str">
        <x:v>Có</x:v>
      </x:c>
      <x:c r="P9" t="str">
        <x:v>Actual Jul chính thức</x:v>
      </x:c>
    </x:row>
    <x:row r="10">
      <x:c r="A10" s="58" t="n">
        <x:v>46265</x:v>
      </x:c>
      <x:c r="B10" t="str">
        <x:v>CTM</x:v>
      </x:c>
      <x:c r="C10" t="str">
        <x:v>Đang mở</x:v>
      </x:c>
      <x:c r="D10" s="29"/>
      <x:c r="E10" s="29"/>
      <x:c r="F10" t="str"/>
      <x:c r="G10" t="str">
        <x:v>CFO</x:v>
      </x:c>
      <x:c r="H10" t="str">
        <x:v>Có</x:v>
      </x:c>
      <x:c r="I10" t="str">
        <x:v>Có</x:v>
      </x:c>
      <x:c r="J10" t="str">
        <x:v>Có</x:v>
      </x:c>
      <x:c r="K10" t="str">
        <x:v>Có</x:v>
      </x:c>
      <x:c r="L10" t="str">
        <x:v>D+10</x:v>
      </x:c>
      <x:c r="M10" t="str"/>
      <x:c r="N10" t="str"/>
      <x:c r="O10" t="str">
        <x:v>Có</x:v>
      </x:c>
      <x:c r="P10" t="str">
        <x:v>Kỳ hiện tại</x:v>
      </x:c>
    </x:row>
    <x:row r="11">
      <x:c r="A11" s="58" t="n">
        <x:v>46265</x:v>
      </x:c>
      <x:c r="B11" t="str">
        <x:v>SPV01</x:v>
      </x:c>
      <x:c r="C11" t="str">
        <x:v>Đang mở</x:v>
      </x:c>
      <x:c r="D11" s="29"/>
      <x:c r="E11" s="29"/>
      <x:c r="F11" t="str"/>
      <x:c r="G11" t="str">
        <x:v>CFO</x:v>
      </x:c>
      <x:c r="H11" t="str">
        <x:v>Có</x:v>
      </x:c>
      <x:c r="I11" t="str">
        <x:v>Có</x:v>
      </x:c>
      <x:c r="J11" t="str">
        <x:v>Có</x:v>
      </x:c>
      <x:c r="K11" t="str">
        <x:v>Có</x:v>
      </x:c>
      <x:c r="L11" t="str">
        <x:v>D+10</x:v>
      </x:c>
      <x:c r="M11" t="str"/>
      <x:c r="N11" t="str"/>
      <x:c r="O11" t="str">
        <x:v>Có</x:v>
      </x:c>
      <x:c r="P11" t="str">
        <x:v>Kỳ hiện tại</x:v>
      </x:c>
    </x:row>
    <x:row r="12">
      <x:c r="A12" s="58" t="n">
        <x:v>46265</x:v>
      </x:c>
      <x:c r="B12" t="str">
        <x:v>SPV02</x:v>
      </x:c>
      <x:c r="C12" t="str">
        <x:v>Đang mở</x:v>
      </x:c>
      <x:c r="D12" s="29"/>
      <x:c r="E12" s="29"/>
      <x:c r="F12" t="str"/>
      <x:c r="G12" t="str">
        <x:v>CFO</x:v>
      </x:c>
      <x:c r="H12" t="str">
        <x:v>Có</x:v>
      </x:c>
      <x:c r="I12" t="str">
        <x:v>Có</x:v>
      </x:c>
      <x:c r="J12" t="str">
        <x:v>Có</x:v>
      </x:c>
      <x:c r="K12" t="str">
        <x:v>Có</x:v>
      </x:c>
      <x:c r="L12" t="str">
        <x:v>D+10</x:v>
      </x:c>
      <x:c r="M12" t="str"/>
      <x:c r="N12" t="str"/>
      <x:c r="O12" t="str">
        <x:v>Có</x:v>
      </x:c>
      <x:c r="P12" t="str">
        <x:v>Kỳ hiện tại</x:v>
      </x:c>
    </x:row>
    <x:row r="13">
      <x:c r="A13" s="58" t="n">
        <x:v>46265</x:v>
      </x:c>
      <x:c r="B13" t="str">
        <x:v>SPV03</x:v>
      </x:c>
      <x:c r="C13" t="str">
        <x:v>Đang mở</x:v>
      </x:c>
      <x:c r="D13" s="29"/>
      <x:c r="E13" s="29"/>
      <x:c r="F13" t="str"/>
      <x:c r="G13" t="str">
        <x:v>CFO</x:v>
      </x:c>
      <x:c r="H13" t="str">
        <x:v>Có</x:v>
      </x:c>
      <x:c r="I13" t="str">
        <x:v>Có</x:v>
      </x:c>
      <x:c r="J13" t="str">
        <x:v>Có</x:v>
      </x:c>
      <x:c r="K13" t="str">
        <x:v>Có</x:v>
      </x:c>
      <x:c r="L13" t="str">
        <x:v>D+10</x:v>
      </x:c>
      <x:c r="M13" t="str"/>
      <x:c r="N13" t="str"/>
      <x:c r="O13" t="str">
        <x:v>Có</x:v>
      </x:c>
      <x:c r="P13" t="str">
        <x:v>Kỳ hiện tại</x:v>
      </x:c>
    </x:row>
    <x:row r="14">
      <x:c r="A14" s="58" t="n">
        <x:v>46265</x:v>
      </x:c>
      <x:c r="B14" t="str">
        <x:v>SPV04</x:v>
      </x:c>
      <x:c r="C14" t="str">
        <x:v>Đang mở</x:v>
      </x:c>
      <x:c r="D14" s="29"/>
      <x:c r="E14" s="29"/>
      <x:c r="F14" t="str"/>
      <x:c r="G14" t="str">
        <x:v>CFO</x:v>
      </x:c>
      <x:c r="H14" t="str">
        <x:v>Có</x:v>
      </x:c>
      <x:c r="I14" t="str">
        <x:v>Có</x:v>
      </x:c>
      <x:c r="J14" t="str">
        <x:v>Có</x:v>
      </x:c>
      <x:c r="K14" t="str">
        <x:v>Có</x:v>
      </x:c>
      <x:c r="L14" t="str">
        <x:v>D+10</x:v>
      </x:c>
      <x:c r="M14" t="str"/>
      <x:c r="N14" t="str"/>
      <x:c r="O14" t="str">
        <x:v>Có</x:v>
      </x:c>
      <x:c r="P14" t="str">
        <x:v>Kỳ hiện tại</x:v>
      </x:c>
    </x:row>
    <x:row r="15">
      <x:c r="A15" s="58" t="n">
        <x:v>46265</x:v>
      </x:c>
      <x:c r="B15" t="str">
        <x:v>SPV05</x:v>
      </x:c>
      <x:c r="C15" t="str">
        <x:v>Đang mở</x:v>
      </x:c>
      <x:c r="D15" s="29"/>
      <x:c r="E15" s="29"/>
      <x:c r="F15" t="str"/>
      <x:c r="G15" t="str">
        <x:v>CFO</x:v>
      </x:c>
      <x:c r="H15" t="str">
        <x:v>Có</x:v>
      </x:c>
      <x:c r="I15" t="str">
        <x:v>Có</x:v>
      </x:c>
      <x:c r="J15" t="str">
        <x:v>Có</x:v>
      </x:c>
      <x:c r="K15" t="str">
        <x:v>Có</x:v>
      </x:c>
      <x:c r="L15" t="str">
        <x:v>D+10</x:v>
      </x:c>
      <x:c r="M15" t="str"/>
      <x:c r="N15" t="str"/>
      <x:c r="O15" t="str">
        <x:v>Có</x:v>
      </x:c>
      <x:c r="P15" t="str">
        <x:v>Kỳ hiện tại</x:v>
      </x:c>
    </x:row>
  </x:sheetData>
  <x:mergeCells>
    <x:mergeCell ref="A1:P1"/>
  </x:mergeCell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sheetData>
    <x:row r="1">
      <x:c r="A1" s="140" t="str">
        <x:v>63_Data_Pipeline – Source → Staging → DQ → Approval → Master</x:v>
      </x:c>
      <x:c r="B1" s="140"/>
      <x:c r="C1" s="140"/>
      <x:c r="D1" s="140"/>
      <x:c r="E1" s="140"/>
      <x:c r="F1" s="140"/>
      <x:c r="G1" s="140"/>
      <x:c r="H1" s="140"/>
      <x:c r="I1" s="140"/>
      <x:c r="J1" s="140"/>
      <x:c r="K1" s="140"/>
      <x:c r="L1" s="140"/>
      <x:c r="M1" s="140"/>
      <x:c r="N1" s="140"/>
      <x:c r="O1" s="140"/>
      <x:c r="P1" s="140"/>
      <x:c r="Q1" s="140"/>
      <x:c r="R1" s="140"/>
    </x:row>
    <x:row r="3">
      <x:c r="A3" s="145" t="str">
        <x:v>Mã luồng</x:v>
      </x:c>
      <x:c r="B3" s="145" t="str">
        <x:v>Miền dữ liệu</x:v>
      </x:c>
      <x:c r="C3" s="145" t="str">
        <x:v>Nguồn</x:v>
      </x:c>
      <x:c r="D3" s="145" t="str">
        <x:v>Kỳ</x:v>
      </x:c>
      <x:c r="E3" s="145" t="str">
        <x:v>Bước hiện tại</x:v>
      </x:c>
      <x:c r="F3" s="145" t="str">
        <x:v>Đã nhận nguồn</x:v>
      </x:c>
      <x:c r="G3" s="145" t="str">
        <x:v>Kiểm tra cấu trúc</x:v>
      </x:c>
      <x:c r="H3" s="145" t="str">
        <x:v>Kiểm tra ánh xạ</x:v>
      </x:c>
      <x:c r="I3" s="145" t="str">
        <x:v>Kiểm tra chất lượng</x:v>
      </x:c>
      <x:c r="J3" s="145" t="str">
        <x:v>Đối chiếu</x:v>
      </x:c>
      <x:c r="K3" s="145" t="str">
        <x:v>Phê duyệt</x:v>
      </x:c>
      <x:c r="L3" s="145" t="str">
        <x:v>Kiểm tra khóa kỳ</x:v>
      </x:c>
      <x:c r="M3" s="145" t="str">
        <x:v>Đã chuyển vào Master</x:v>
      </x:c>
      <x:c r="N3" s="145" t="str">
        <x:v>Lô gần nhất</x:v>
      </x:c>
      <x:c r="O3" s="145" t="str">
        <x:v>Điểm chất lượng dữ liệu</x:v>
      </x:c>
      <x:c r="P3" s="145" t="str">
        <x:v>Trạng thái SLA</x:v>
      </x:c>
      <x:c r="Q3" s="145" t="str">
        <x:v>Hành động tiếp theo</x:v>
      </x:c>
      <x:c r="R3" s="145" t="str">
        <x:v>Phụ trách</x:v>
      </x:c>
    </x:row>
    <x:row r="4">
      <x:c r="A4" t="str">
        <x:v>PIPE01</x:v>
      </x:c>
      <x:c r="B4" t="str">
        <x:v>GL/BCTC</x:v>
      </x:c>
      <x:c r="C4" t="str">
        <x:v>SRC01</x:v>
      </x:c>
      <x:c r="D4" s="29" t="n">
        <x:v>46234</x:v>
      </x:c>
      <x:c r="E4" t="str">
        <x:v>Promoted</x:v>
      </x:c>
      <x:c r="F4" t="str">
        <x:v>Có</x:v>
      </x:c>
      <x:c r="G4" t="str">
        <x:v>OK</x:v>
      </x:c>
      <x:c r="H4" t="str">
        <x:v>OK</x:v>
      </x:c>
      <x:c r="I4" t="str">
        <x:v>OK</x:v>
      </x:c>
      <x:c r="J4" t="str">
        <x:v>OK</x:v>
      </x:c>
      <x:c r="K4" t="str">
        <x:v>OK</x:v>
      </x:c>
      <x:c r="L4" t="str">
        <x:v>OK</x:v>
      </x:c>
      <x:c r="M4" t="str">
        <x:v>Có</x:v>
      </x:c>
      <x:c r="N4" t="str">
        <x:v>B20260813_01</x:v>
      </x:c>
      <x:c r="O4" t="n">
        <x:v>99.99</x:v>
      </x:c>
      <x:c r="P4" t="str">
        <x:v>Trong SLA</x:v>
      </x:c>
      <x:c r="Q4" t="str">
        <x:v>Không</x:v>
      </x:c>
      <x:c r="R4" t="str">
        <x:v>Kế toán</x:v>
      </x:c>
    </x:row>
    <x:row r="5">
      <x:c r="A5" t="str">
        <x:v>PIPE02</x:v>
      </x:c>
      <x:c r="B5" t="str">
        <x:v>Sales</x:v>
      </x:c>
      <x:c r="C5" t="str">
        <x:v>SRC02</x:v>
      </x:c>
      <x:c r="D5" s="29" t="n">
        <x:v>46234</x:v>
      </x:c>
      <x:c r="E5" t="str">
        <x:v>Promoted</x:v>
      </x:c>
      <x:c r="F5" t="str">
        <x:v>Có</x:v>
      </x:c>
      <x:c r="G5" t="str">
        <x:v>OK</x:v>
      </x:c>
      <x:c r="H5" t="str">
        <x:v>OK</x:v>
      </x:c>
      <x:c r="I5" t="str">
        <x:v>OK</x:v>
      </x:c>
      <x:c r="J5" t="str">
        <x:v>OK</x:v>
      </x:c>
      <x:c r="K5" t="str">
        <x:v>OK</x:v>
      </x:c>
      <x:c r="L5" t="str">
        <x:v>OK</x:v>
      </x:c>
      <x:c r="M5" t="str">
        <x:v>Có</x:v>
      </x:c>
      <x:c r="N5" t="str">
        <x:v>B20260813_02</x:v>
      </x:c>
      <x:c r="O5" t="n">
        <x:v>99.92</x:v>
      </x:c>
      <x:c r="P5" t="str">
        <x:v>Trong SLA</x:v>
      </x:c>
      <x:c r="Q5" t="str">
        <x:v>Không</x:v>
      </x:c>
      <x:c r="R5" t="str">
        <x:v>FP&amp;A</x:v>
      </x:c>
    </x:row>
    <x:row r="6">
      <x:c r="A6" t="str">
        <x:v>PIPE03</x:v>
      </x:c>
      <x:c r="B6" t="str">
        <x:v>CAPEX</x:v>
      </x:c>
      <x:c r="C6" t="str">
        <x:v>SRC03</x:v>
      </x:c>
      <x:c r="D6" s="29" t="n">
        <x:v>46234</x:v>
      </x:c>
      <x:c r="E6" t="str">
        <x:v>Approval</x:v>
      </x:c>
      <x:c r="F6" t="str">
        <x:v>Có</x:v>
      </x:c>
      <x:c r="G6" t="str">
        <x:v>OK</x:v>
      </x:c>
      <x:c r="H6" t="str">
        <x:v>OK</x:v>
      </x:c>
      <x:c r="I6" t="str">
        <x:v>CẢNH BÁO</x:v>
      </x:c>
      <x:c r="J6" t="str">
        <x:v>OK</x:v>
      </x:c>
      <x:c r="K6" t="str">
        <x:v>Chờ</x:v>
      </x:c>
      <x:c r="L6" t="str">
        <x:v>OK</x:v>
      </x:c>
      <x:c r="M6" t="str">
        <x:v>Không</x:v>
      </x:c>
      <x:c r="N6" t="str">
        <x:v>B20260813_03</x:v>
      </x:c>
      <x:c r="O6" t="n">
        <x:v>98.82</x:v>
      </x:c>
      <x:c r="P6" t="str">
        <x:v>Trong SLA</x:v>
      </x:c>
      <x:c r="Q6" t="str">
        <x:v>Duyệt quarantine/duplicate</x:v>
      </x:c>
      <x:c r="R6" t="str">
        <x:v>PMO</x:v>
      </x:c>
    </x:row>
    <x:row r="7">
      <x:c r="A7" t="str">
        <x:v>PIPE04</x:v>
      </x:c>
      <x:c r="B7" t="str">
        <x:v>Bank/Cash</x:v>
      </x:c>
      <x:c r="C7" t="str">
        <x:v>SRC04</x:v>
      </x:c>
      <x:c r="D7" s="29" t="n">
        <x:v>46246</x:v>
      </x:c>
      <x:c r="E7" t="str">
        <x:v>Promoted</x:v>
      </x:c>
      <x:c r="F7" t="str">
        <x:v>Có</x:v>
      </x:c>
      <x:c r="G7" t="str">
        <x:v>OK</x:v>
      </x:c>
      <x:c r="H7" t="str">
        <x:v>OK</x:v>
      </x:c>
      <x:c r="I7" t="str">
        <x:v>OK</x:v>
      </x:c>
      <x:c r="J7" t="str">
        <x:v>OK</x:v>
      </x:c>
      <x:c r="K7" t="str">
        <x:v>OK</x:v>
      </x:c>
      <x:c r="L7" t="str">
        <x:v>Mở</x:v>
      </x:c>
      <x:c r="M7" t="str">
        <x:v>Có</x:v>
      </x:c>
      <x:c r="N7" t="str">
        <x:v>B20260813_04</x:v>
      </x:c>
      <x:c r="O7" t="n">
        <x:v>100</x:v>
      </x:c>
      <x:c r="P7" t="str">
        <x:v>Trong SLA</x:v>
      </x:c>
      <x:c r="Q7" t="str">
        <x:v>Không</x:v>
      </x:c>
      <x:c r="R7" t="str">
        <x:v>Treasury</x:v>
      </x:c>
    </x:row>
    <x:row r="8">
      <x:c r="A8" t="str">
        <x:v>PIPE05</x:v>
      </x:c>
      <x:c r="B8" t="str">
        <x:v>Legal</x:v>
      </x:c>
      <x:c r="C8" t="str">
        <x:v>SRC06</x:v>
      </x:c>
      <x:c r="D8" s="29" t="n">
        <x:v>46242</x:v>
      </x:c>
      <x:c r="E8" t="str">
        <x:v>DQ check</x:v>
      </x:c>
      <x:c r="F8" t="str">
        <x:v>Có</x:v>
      </x:c>
      <x:c r="G8" t="str">
        <x:v>OK</x:v>
      </x:c>
      <x:c r="H8" t="str">
        <x:v>OK</x:v>
      </x:c>
      <x:c r="I8" t="str">
        <x:v>LỖI</x:v>
      </x:c>
      <x:c r="J8" t="str">
        <x:v>Chưa</x:v>
      </x:c>
      <x:c r="K8" t="str">
        <x:v>Chưa</x:v>
      </x:c>
      <x:c r="L8" t="str">
        <x:v>Mở</x:v>
      </x:c>
      <x:c r="M8" t="str">
        <x:v>Không</x:v>
      </x:c>
      <x:c r="N8" t="str">
        <x:v>B20260813_05</x:v>
      </x:c>
      <x:c r="O8" t="n">
        <x:v>95.83</x:v>
      </x:c>
      <x:c r="P8" t="str">
        <x:v>Quá SLA</x:v>
      </x:c>
      <x:c r="Q8" t="str">
        <x:v>Bổ sung owner/status 2 thủ tục</x:v>
      </x:c>
      <x:c r="R8" t="str">
        <x:v>Pháp chế</x:v>
      </x:c>
    </x:row>
  </x:sheetData>
  <x:mergeCells>
    <x:mergeCell ref="A1:R1"/>
  </x:mergeCell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5"/>
  <x:sheetData>
    <x:row r="1">
      <x:c r="A1" s="140" t="str">
        <x:v>64_GoLive_Readiness – UAT / Sign-off / Go-Live readiness</x:v>
      </x:c>
      <x:c r="B1" s="140"/>
      <x:c r="C1" s="140"/>
      <x:c r="D1" s="140"/>
      <x:c r="E1" s="140"/>
      <x:c r="F1" s="140"/>
      <x:c r="G1" s="140"/>
      <x:c r="H1" s="140"/>
      <x:c r="I1" s="140"/>
      <x:c r="J1" s="140"/>
      <x:c r="K1" s="140"/>
      <x:c r="L1" s="140"/>
      <x:c r="M1" s="140"/>
      <x:c r="N1" s="140"/>
      <x:c r="O1" s="140"/>
      <x:c r="P1" s="140"/>
      <x:c r="Q1" s="140"/>
    </x:row>
    <x:row r="3">
      <x:c r="A3" s="145" t="str">
        <x:v>Hạng mục</x:v>
      </x:c>
      <x:c r="B3" s="145" t="str">
        <x:v>Tiêu chí</x:v>
      </x:c>
      <x:c r="C3" s="145" t="str">
        <x:v>Trọng số</x:v>
      </x:c>
      <x:c r="D3" s="145" t="str">
        <x:v>Điểm hiện tại</x:v>
      </x:c>
      <x:c r="E3" s="145" t="str">
        <x:v>Điểm quy đổi</x:v>
      </x:c>
      <x:c r="F3" s="145" t="str">
        <x:v>Trạng thái</x:v>
      </x:c>
      <x:c r="G3" s="145" t="str">
        <x:v>Khoảng thiếu</x:v>
      </x:c>
      <x:c r="H3" s="145" t="str">
        <x:v>Hành động</x:v>
      </x:c>
      <x:c r="I3" s="145" t="str">
        <x:v>Phụ trách</x:v>
      </x:c>
      <x:c r="J3" s="145" t="str">
        <x:v>Hạn xử lý</x:v>
      </x:c>
      <x:c r="K3" s="145" t="str">
        <x:v>Bằng chứng</x:v>
      </x:c>
      <x:c r="L3" s="145" t="str">
        <x:v>Điều kiện vận hành</x:v>
      </x:c>
      <x:c r="M3" s="145" t="str">
        <x:v>Mức độ</x:v>
      </x:c>
      <x:c r="N3" s="145" t="str">
        <x:v>Phụ thuộc</x:v>
      </x:c>
      <x:c r="O3" s="145" t="str">
        <x:v>Trạng thái kiểm thử</x:v>
      </x:c>
      <x:c r="P3" s="145" t="str">
        <x:v>Phê duyệt cuối</x:v>
      </x:c>
      <x:c r="Q3" s="145" t="str">
        <x:v>Ghi chú</x:v>
      </x:c>
    </x:row>
    <x:row r="4">
      <x:c r="A4" t="str">
        <x:v>Data</x:v>
      </x:c>
      <x:c r="B4" t="str">
        <x:v>Master data &amp; mapping được duyệt</x:v>
      </x:c>
      <x:c r="C4" s="63" t="n">
        <x:v>0.15</x:v>
      </x:c>
      <x:c r="D4" t="n">
        <x:v>85</x:v>
      </x:c>
      <x:c r="E4" t="n">
        <x:f>C4*D4</x:f>
        <x:v>12.75</x:v>
      </x:c>
      <x:c r="F4" t="str">
        <x:v>Amber</x:v>
      </x:c>
      <x:c r="G4" t="str">
        <x:v>Mapping CAPEX/Legal chưa final</x:v>
      </x:c>
      <x:c r="H4" t="str">
        <x:v>Hoàn tất mapping + UAT</x:v>
      </x:c>
      <x:c r="I4" t="str">
        <x:v>Data/FP&amp;A</x:v>
      </x:c>
      <x:c r="J4" s="29" t="n">
        <x:v>46259</x:v>
      </x:c>
      <x:c r="K4" t="str">
        <x:v>Bộ ánh xạ chuẩn</x:v>
      </x:c>
      <x:c r="L4" t="str">
        <x:v>&gt;=95 điểm</x:v>
      </x:c>
      <x:c r="M4" t="str">
        <x:v>Cao</x:v>
      </x:c>
      <x:c r="N4" t="str">
        <x:v>ERP/PMIS</x:v>
      </x:c>
      <x:c r="O4" t="str">
        <x:v>Đang test</x:v>
      </x:c>
      <x:c r="P4" t="str">
        <x:v>Chưa</x:v>
      </x:c>
      <x:c r="Q4" t="str"/>
    </x:row>
    <x:row r="5">
      <x:c r="A5" t="str">
        <x:v>Actual</x:v>
      </x:c>
      <x:c r="B5" t="str">
        <x:v>Monthly close &amp; Actual import</x:v>
      </x:c>
      <x:c r="C5" s="63" t="n">
        <x:v>0.15</x:v>
      </x:c>
      <x:c r="D5" t="n">
        <x:v>80</x:v>
      </x:c>
      <x:c r="E5" t="n">
        <x:f>C5*D5</x:f>
        <x:v>12</x:v>
      </x:c>
      <x:c r="F5" t="str">
        <x:v>Amber</x:v>
      </x:c>
      <x:c r="G5" t="str">
        <x:v>Actual mẫu, chưa ERP thật</x:v>
      </x:c>
      <x:c r="H5" t="str">
        <x:v>Pilot Jul/Aug cho 2 SPV</x:v>
      </x:c>
      <x:c r="I5" t="str">
        <x:v>KTT</x:v>
      </x:c>
      <x:c r="J5" s="29" t="n">
        <x:v>46265</x:v>
      </x:c>
      <x:c r="K5" t="str">
        <x:v>Close checklist</x:v>
      </x:c>
      <x:c r="L5" t="str">
        <x:v>2 kỳ pilot khớp</x:v>
      </x:c>
      <x:c r="M5" t="str">
        <x:v>Rất cao</x:v>
      </x:c>
      <x:c r="N5" t="str">
        <x:v>ERP/Bank</x:v>
      </x:c>
      <x:c r="O5" t="str">
        <x:v>Đang test</x:v>
      </x:c>
      <x:c r="P5" t="str">
        <x:v>Chưa</x:v>
      </x:c>
      <x:c r="Q5" t="str"/>
    </x:row>
    <x:row r="6">
      <x:c r="A6" t="str">
        <x:v>Security</x:v>
      </x:c>
      <x:c r="B6" t="str">
        <x:v>Phân quyền &amp; SoD</x:v>
      </x:c>
      <x:c r="C6" s="63" t="n">
        <x:v>0.1</x:v>
      </x:c>
      <x:c r="D6" t="n">
        <x:v>90</x:v>
      </x:c>
      <x:c r="E6" t="n">
        <x:f>C6*D6</x:f>
        <x:v>9</x:v>
      </x:c>
      <x:c r="F6" t="str">
        <x:v>Amber</x:v>
      </x:c>
      <x:c r="G6" t="str">
        <x:v>Chưa login thật</x:v>
      </x:c>
      <x:c r="H6" t="str">
        <x:v>Áp role matrix trong app</x:v>
      </x:c>
      <x:c r="I6" t="str">
        <x:v>CFO/IT</x:v>
      </x:c>
      <x:c r="J6" s="29" t="n">
        <x:v>46270</x:v>
      </x:c>
      <x:c r="K6" t="str">
        <x:v>Role matrix</x:v>
      </x:c>
      <x:c r="L6" t="str">
        <x:v>UAT access pass</x:v>
      </x:c>
      <x:c r="M6" t="str">
        <x:v>Cao</x:v>
      </x:c>
      <x:c r="N6" t="str">
        <x:v>Authentication</x:v>
      </x:c>
      <x:c r="O6" t="str">
        <x:v>Chưa test</x:v>
      </x:c>
      <x:c r="P6" t="str">
        <x:v>Chưa</x:v>
      </x:c>
      <x:c r="Q6" t="str"/>
    </x:row>
    <x:row r="7">
      <x:c r="A7" t="str">
        <x:v>Audit</x:v>
      </x:c>
      <x:c r="B7" t="str">
        <x:v>Audit trail</x:v>
      </x:c>
      <x:c r="C7" s="63" t="n">
        <x:v>0.1</x:v>
      </x:c>
      <x:c r="D7" t="n">
        <x:v>80</x:v>
      </x:c>
      <x:c r="E7" t="n">
        <x:f>C7*D7</x:f>
        <x:v>8</x:v>
      </x:c>
      <x:c r="F7" t="str">
        <x:v>Amber</x:v>
      </x:c>
      <x:c r="G7" t="str">
        <x:v>App chưa log tự động</x:v>
      </x:c>
      <x:c r="H7" t="str">
        <x:v>Ghi log edit/import</x:v>
      </x:c>
      <x:c r="I7" t="str">
        <x:v>IT/CFO</x:v>
      </x:c>
      <x:c r="J7" s="29" t="n">
        <x:v>46270</x:v>
      </x:c>
      <x:c r="K7" t="str">
        <x:v>Audit sample</x:v>
      </x:c>
      <x:c r="L7" t="str">
        <x:v>100% write event logged</x:v>
      </x:c>
      <x:c r="M7" t="str">
        <x:v>Cao</x:v>
      </x:c>
      <x:c r="N7" t="str">
        <x:v>User identity</x:v>
      </x:c>
      <x:c r="O7" t="str">
        <x:v>Chưa test</x:v>
      </x:c>
      <x:c r="P7" t="str">
        <x:v>Chưa</x:v>
      </x:c>
      <x:c r="Q7" t="str"/>
    </x:row>
    <x:row r="8">
      <x:c r="A8" t="str">
        <x:v>Planning</x:v>
      </x:c>
      <x:c r="B8" t="str">
        <x:v>Budget/LE/Forecast workflow</x:v>
      </x:c>
      <x:c r="C8" s="63" t="n">
        <x:v>0.1</x:v>
      </x:c>
      <x:c r="D8" t="n">
        <x:v>90</x:v>
      </x:c>
      <x:c r="E8" t="n">
        <x:f>C8*D8</x:f>
        <x:v>9</x:v>
      </x:c>
      <x:c r="F8" t="str">
        <x:v>Green</x:v>
      </x:c>
      <x:c r="G8" t="str">
        <x:v>Cần UAT approval</x:v>
      </x:c>
      <x:c r="H8" t="str">
        <x:v>Pilot LE_2026_08</x:v>
      </x:c>
      <x:c r="I8" t="str">
        <x:v>FP&amp;A</x:v>
      </x:c>
      <x:c r="J8" s="29" t="n">
        <x:v>46262</x:v>
      </x:c>
      <x:c r="K8" t="str">
        <x:v>WF001</x:v>
      </x:c>
      <x:c r="L8" t="str">
        <x:v>Workflow pass</x:v>
      </x:c>
      <x:c r="M8" t="str">
        <x:v>Trung bình</x:v>
      </x:c>
      <x:c r="N8" t="str">
        <x:v>Version control</x:v>
      </x:c>
      <x:c r="O8" t="str">
        <x:v>Đang test</x:v>
      </x:c>
      <x:c r="P8" t="str">
        <x:v>Chưa</x:v>
      </x:c>
      <x:c r="Q8" t="str"/>
    </x:row>
    <x:row r="9">
      <x:c r="A9" t="str">
        <x:v>Treasury</x:v>
      </x:c>
      <x:c r="B9" t="str">
        <x:v>Debt/Covenant/Bank reconcile</x:v>
      </x:c>
      <x:c r="C9" s="63" t="n">
        <x:v>0.1</x:v>
      </x:c>
      <x:c r="D9" t="n">
        <x:v>92</x:v>
      </x:c>
      <x:c r="E9" t="n">
        <x:f>C9*D9</x:f>
        <x:v>9.200000000000001</x:v>
      </x:c>
      <x:c r="F9" t="str">
        <x:v>Green</x:v>
      </x:c>
      <x:c r="G9" t="str">
        <x:v>Bank integration thủ công</x:v>
      </x:c>
      <x:c r="H9" t="str">
        <x:v>Pilot weekly Treasury</x:v>
      </x:c>
      <x:c r="I9" t="str">
        <x:v>Treasury</x:v>
      </x:c>
      <x:c r="J9" s="29" t="n">
        <x:v>46259</x:v>
      </x:c>
      <x:c r="K9" t="str">
        <x:v>Loan book</x:v>
      </x:c>
      <x:c r="L9" t="str">
        <x:v>Reconcile &lt;0.1 tỷ</x:v>
      </x:c>
      <x:c r="M9" t="str">
        <x:v>Cao</x:v>
      </x:c>
      <x:c r="N9" t="str">
        <x:v>Bank source</x:v>
      </x:c>
      <x:c r="O9" t="str">
        <x:v>Đang test</x:v>
      </x:c>
      <x:c r="P9" t="str">
        <x:v>Chưa</x:v>
      </x:c>
      <x:c r="Q9" t="str"/>
    </x:row>
    <x:row r="10">
      <x:c r="A10" t="str">
        <x:v>Legal</x:v>
      </x:c>
      <x:c r="B10" t="str">
        <x:v>Legal Gate &amp; tracker</x:v>
      </x:c>
      <x:c r="C10" s="63" t="n">
        <x:v>0.1</x:v>
      </x:c>
      <x:c r="D10" t="n">
        <x:v>85</x:v>
      </x:c>
      <x:c r="E10" t="n">
        <x:f>C10*D10</x:f>
        <x:v>8.5</x:v>
      </x:c>
      <x:c r="F10" t="str">
        <x:v>Amber</x:v>
      </x:c>
      <x:c r="G10" t="str">
        <x:v>2 legal records thiếu owner</x:v>
      </x:c>
      <x:c r="H10" t="str">
        <x:v>Clean legal batch</x:v>
      </x:c>
      <x:c r="I10" t="str">
        <x:v>Pháp chế</x:v>
      </x:c>
      <x:c r="J10" s="29" t="n">
        <x:v>46254</x:v>
      </x:c>
      <x:c r="K10" t="str">
        <x:v>Batch Legal</x:v>
      </x:c>
      <x:c r="L10" t="str">
        <x:v>0 critical DQ error</x:v>
      </x:c>
      <x:c r="M10" t="str">
        <x:v>Rất cao</x:v>
      </x:c>
      <x:c r="N10" t="str">
        <x:v>Legal owner</x:v>
      </x:c>
      <x:c r="O10" t="str">
        <x:v>Đang test</x:v>
      </x:c>
      <x:c r="P10" t="str">
        <x:v>Chưa</x:v>
      </x:c>
      <x:c r="Q10" t="str"/>
    </x:row>
    <x:row r="11">
      <x:c r="A11" t="str">
        <x:v>Reporting</x:v>
      </x:c>
      <x:c r="B11" t="str">
        <x:v>BCTC/Management/Board Pack</x:v>
      </x:c>
      <x:c r="C11" s="63" t="n">
        <x:v>0.1</x:v>
      </x:c>
      <x:c r="D11" t="n">
        <x:v>90</x:v>
      </x:c>
      <x:c r="E11" t="n">
        <x:f>C11*D11</x:f>
        <x:v>9</x:v>
      </x:c>
      <x:c r="F11" t="str">
        <x:v>Green</x:v>
      </x:c>
      <x:c r="G11" t="str">
        <x:v>Cần tie-out actual</x:v>
      </x:c>
      <x:c r="H11" t="str">
        <x:v>Tie-out pilot SPV04</x:v>
      </x:c>
      <x:c r="I11" t="str">
        <x:v>CFO/KTT</x:v>
      </x:c>
      <x:c r="J11" s="29" t="n">
        <x:v>46265</x:v>
      </x:c>
      <x:c r="K11" t="str">
        <x:v>Board pack</x:v>
      </x:c>
      <x:c r="L11" t="str">
        <x:v>BCTC reconcile</x:v>
      </x:c>
      <x:c r="M11" t="str">
        <x:v>Cao</x:v>
      </x:c>
      <x:c r="N11" t="str">
        <x:v>Actual import</x:v>
      </x:c>
      <x:c r="O11" t="str">
        <x:v>Đang test</x:v>
      </x:c>
      <x:c r="P11" t="str">
        <x:v>Chưa</x:v>
      </x:c>
      <x:c r="Q11" t="str"/>
    </x:row>
    <x:row r="13">
      <x:c r="A13" s="145" t="str">
        <x:v>Go-Live KPI</x:v>
      </x:c>
      <x:c r="B13" s="145" t="str">
        <x:v>Giá trị</x:v>
      </x:c>
      <x:c r="C13" s="145" t="str">
        <x:v>Ngưỡng</x:v>
      </x:c>
      <x:c r="D13" s="145" t="str">
        <x:v>Kết luận</x:v>
      </x:c>
    </x:row>
    <x:row r="14">
      <x:c r="A14" t="str">
        <x:v>Readiness Score</x:v>
      </x:c>
      <x:c r="B14" t="n">
        <x:f>SUM(E4:E11)</x:f>
        <x:v>77.45</x:v>
      </x:c>
      <x:c r="C14" t="n">
        <x:v>90</x:v>
      </x:c>
      <x:c r="D14" t="str">
        <x:f>IF(B14&gt;=C14,"Đạt","Chưa đạt")</x:f>
        <x:v>Chưa đạt</x:v>
      </x:c>
    </x:row>
    <x:row r="15">
      <x:c r="A15" t="str">
        <x:v>Critical/Rất cao chưa đóng</x:v>
      </x:c>
      <x:c r="B15" t="n">
        <x:f>COUNTIFS(M4:M11,"Rất cao",F4:F11,"&lt;&gt;Green")</x:f>
        <x:v>2</x:v>
      </x:c>
      <x:c r="C15" t="n">
        <x:v>0</x:v>
      </x:c>
      <x:c r="D15" t="str">
        <x:f>IF(B15&lt;=C15,"Đạt","Chưa đạt")</x:f>
        <x:v>Chưa đạt</x:v>
      </x:c>
    </x:row>
    <x:row r="16">
      <x:c r="A16" t="str">
        <x:v>Quyết định Go-Live</x:v>
      </x:c>
      <x:c r="B16" t="str">
        <x:f>IF(AND(D14="Đạt",D15="Đạt"),"GO","NO-GO")</x:f>
        <x:v>NO-GO</x:v>
      </x:c>
      <x:c r="C16"/>
      <x:c r="D16"/>
    </x:row>
  </x:sheetData>
  <x:mergeCells>
    <x:mergeCell ref="A1:Q1"/>
  </x:mergeCell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defaultRowHeight="15"/>
  <x:sheetData>
    <x:row r="1">
      <x:c r="A1" s="140" t="str">
        <x:v>65 – Trung tâm kiểm soát vận hành</x:v>
      </x:c>
      <x:c r="B1" s="140"/>
      <x:c r="C1" s="140"/>
    </x:row>
    <x:row r="3">
      <x:c r="A3" s="145" t="str">
        <x:v>KPI kiểm soát</x:v>
      </x:c>
      <x:c r="B3" s="145" t="str">
        <x:v>Giá trị</x:v>
      </x:c>
      <x:c r="C3" s="145" t="str">
        <x:v>Trạng thái</x:v>
      </x:c>
    </x:row>
    <x:row r="4">
      <x:c r="A4" t="str">
        <x:v>Batch bị chặn</x:v>
      </x:c>
      <x:c r="B4" t="n">
        <x:f>COUNTIF('58_Staging_Import'!Q4:Q100,"Bị chặn")</x:f>
        <x:v>1</x:v>
      </x:c>
      <x:c r="C4" t="str">
        <x:f>IF(B4&gt;0,"CẢNH BÁO","OK")</x:f>
        <x:v>CẢNH BÁO</x:v>
      </x:c>
    </x:row>
    <x:row r="5">
      <x:c r="A5" t="str">
        <x:v>Pipeline quá SLA</x:v>
      </x:c>
      <x:c r="B5" t="n">
        <x:f>COUNTIF('63_Data_Pipeline'!P4:P100,"Quá SLA")</x:f>
        <x:v>1</x:v>
      </x:c>
      <x:c r="C5" t="str">
        <x:f>IF(B5&gt;0,"CẢNH BÁO","OK")</x:f>
        <x:v>CẢNH BÁO</x:v>
      </x:c>
    </x:row>
    <x:row r="6">
      <x:c r="A6" t="str">
        <x:v>Đối chiếu bị lệch</x:v>
      </x:c>
      <x:c r="B6" t="n">
        <x:f>COUNTIF('59_Doi_chieu_Du_lieu'!K4:K100,"LỆCH")</x:f>
        <x:v>1</x:v>
      </x:c>
      <x:c r="C6" t="str">
        <x:f>IF(B6&gt;0,"CẢNH BÁO","OK")</x:f>
        <x:v>CẢNH BÁO</x:v>
      </x:c>
    </x:row>
    <x:row r="7">
      <x:c r="A7" t="str">
        <x:v>Audit chờ review</x:v>
      </x:c>
      <x:c r="B7" t="n">
        <x:f>COUNTIF('60_Audit_Trail'!Q4:Q100,"Chờ review")</x:f>
        <x:v>1</x:v>
      </x:c>
      <x:c r="C7" t="str">
        <x:f>IF(B7&gt;0,"CẢNH BÁO","OK")</x:f>
        <x:v>CẢNH BÁO</x:v>
      </x:c>
    </x:row>
    <x:row r="8">
      <x:c r="A8" t="str">
        <x:v>Kỳ đã khóa</x:v>
      </x:c>
      <x:c r="B8" t="n">
        <x:f>COUNTIF('62_Khoa_Ky'!C4:C100,"Đã khóa")</x:f>
        <x:v>6</x:v>
      </x:c>
      <x:c r="C8" t="str">
        <x:f>IF(B8&gt;=6,"OK","THEO DÕI")</x:f>
        <x:v>OK</x:v>
      </x:c>
    </x:row>
    <x:row r="9">
      <x:c r="A9" t="str">
        <x:v>Actual Jul đã khóa?</x:v>
      </x:c>
      <x:c r="B9" s="126" t="n">
        <x:f>IF(COUNTIFS('62_Khoa_Ky'!A4:A100,DATE(2026,7,31),'62_Khoa_Ky'!C4:C100,"Đã khóa")&gt;=6,1,0)</x:f>
        <x:v>1</x:v>
      </x:c>
      <x:c r="C9" t="str">
        <x:f>IF(B9=1,"OK","CẢNH BÁO")</x:f>
        <x:v>OK</x:v>
      </x:c>
    </x:row>
    <x:row r="10">
      <x:c r="A10" t="str">
        <x:v>DQ domain cảnh báo</x:v>
      </x:c>
      <x:c r="B10" t="n">
        <x:f>COUNTIF('54_Quan_tri_Du_lieu'!K4:K100,"CẢNH BÁO")</x:f>
        <x:v>2</x:v>
      </x:c>
      <x:c r="C10" t="str">
        <x:f>IF(B10&gt;0,"CẢNH BÁO","OK")</x:f>
        <x:v>CẢNH BÁO</x:v>
      </x:c>
    </x:row>
    <x:row r="11">
      <x:c r="A11" t="str">
        <x:v>Readiness Score</x:v>
      </x:c>
      <x:c r="B11" t="n">
        <x:f>'64_GoLive_Readiness'!B14</x:f>
        <x:v>77.45</x:v>
      </x:c>
      <x:c r="C11" t="str">
        <x:f>IF(B11&gt;=90,"OK","CẢNH BÁO")</x:f>
        <x:v>CẢNH BÁO</x:v>
      </x:c>
    </x:row>
    <x:row r="12">
      <x:c r="A12" t="str">
        <x:v>Critical Go-Live chưa đóng</x:v>
      </x:c>
      <x:c r="B12" t="n">
        <x:f>'64_GoLive_Readiness'!B15</x:f>
        <x:v>2</x:v>
      </x:c>
      <x:c r="C12" t="str">
        <x:f>IF(B12=0,"OK","CẢNH BÁO")</x:f>
        <x:v>CẢNH BÁO</x:v>
      </x:c>
    </x:row>
    <x:row r="13">
      <x:c r="A13" t="str">
        <x:v>Go-Live Decision</x:v>
      </x:c>
      <x:c r="B13" t="str">
        <x:f>'64_GoLive_Readiness'!B16</x:f>
        <x:v>NO-GO</x:v>
      </x:c>
      <x:c r="C13" t="str">
        <x:f>IF(B13="GO","OK","CẢNH BÁO")</x:f>
        <x:v>CẢNH BÁO</x:v>
      </x:c>
    </x:row>
  </x:sheetData>
  <x:mergeCells>
    <x:mergeCell ref="A1:C1"/>
  </x:mergeCells>
  <x:pageMargins left="0.7" right="0.7" top="0.75" bottom="0.75" header="0.3" footer="0.3"/>
</x:worksheet>
</file>